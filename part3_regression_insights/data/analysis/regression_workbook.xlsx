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 firstSheet="1" activeTab="1"/>
  </bookViews>
  <sheets>
    <sheet name="original_dataset" sheetId="1" r:id="rId1"/>
    <sheet name="cleaned_data" sheetId="2" r:id="rId2"/>
    <sheet name="dummy_variables" sheetId="3" r:id="rId3"/>
    <sheet name="simple_regression" sheetId="4" r:id="rId4"/>
    <sheet name="multiple_regression" sheetId="5" r:id="rId5"/>
    <sheet name="prediction_residuals" sheetId="6" r:id="rId6"/>
    <sheet name="model_comparison" sheetId="7" r:id="rId7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24" i="6"/>
  <c r="D324"/>
  <c r="C324"/>
  <c r="B324"/>
  <c r="A324"/>
  <c r="E323"/>
  <c r="D323"/>
  <c r="C323"/>
  <c r="B323"/>
  <c r="A323"/>
  <c r="E322"/>
  <c r="D322"/>
  <c r="C322"/>
  <c r="B322"/>
  <c r="A322"/>
  <c r="E321"/>
  <c r="D321"/>
  <c r="C321"/>
  <c r="B321"/>
  <c r="A321"/>
  <c r="E320"/>
  <c r="D320"/>
  <c r="C320"/>
  <c r="B320"/>
  <c r="A320"/>
  <c r="E319"/>
  <c r="D319"/>
  <c r="C319"/>
  <c r="B319"/>
  <c r="A319"/>
  <c r="E318"/>
  <c r="D318"/>
  <c r="C318"/>
  <c r="B318"/>
  <c r="A318"/>
  <c r="E317"/>
  <c r="D317"/>
  <c r="C317"/>
  <c r="B317"/>
  <c r="A317"/>
  <c r="E316"/>
  <c r="D316"/>
  <c r="C316"/>
  <c r="B316"/>
  <c r="A316"/>
  <c r="E315"/>
  <c r="D315"/>
  <c r="C315"/>
  <c r="B315"/>
  <c r="A315"/>
  <c r="E314"/>
  <c r="D314"/>
  <c r="C314"/>
  <c r="B314"/>
  <c r="A314"/>
  <c r="E313"/>
  <c r="D313"/>
  <c r="C313"/>
  <c r="B313"/>
  <c r="A313"/>
  <c r="E312"/>
  <c r="D312"/>
  <c r="C312"/>
  <c r="B312"/>
  <c r="A312"/>
  <c r="E311"/>
  <c r="D311"/>
  <c r="C311"/>
  <c r="B311"/>
  <c r="A311"/>
  <c r="E310"/>
  <c r="D310"/>
  <c r="C310"/>
  <c r="B310"/>
  <c r="A310"/>
  <c r="E309"/>
  <c r="D309"/>
  <c r="C309"/>
  <c r="B309"/>
  <c r="A309"/>
  <c r="E308"/>
  <c r="D308"/>
  <c r="C308"/>
  <c r="B308"/>
  <c r="A308"/>
  <c r="E307"/>
  <c r="D307"/>
  <c r="C307"/>
  <c r="B307"/>
  <c r="A307"/>
  <c r="E306"/>
  <c r="D306"/>
  <c r="C306"/>
  <c r="B306"/>
  <c r="A306"/>
  <c r="E305"/>
  <c r="D305"/>
  <c r="C305"/>
  <c r="B305"/>
  <c r="A305"/>
  <c r="E304"/>
  <c r="D304"/>
  <c r="C304"/>
  <c r="B304"/>
  <c r="A304"/>
  <c r="E303"/>
  <c r="D303"/>
  <c r="C303"/>
  <c r="B303"/>
  <c r="A303"/>
  <c r="E302"/>
  <c r="D302"/>
  <c r="C302"/>
  <c r="B302"/>
  <c r="A302"/>
  <c r="E301"/>
  <c r="D301"/>
  <c r="C301"/>
  <c r="B301"/>
  <c r="A301"/>
  <c r="E300"/>
  <c r="D300"/>
  <c r="C300"/>
  <c r="B300"/>
  <c r="A300"/>
  <c r="E299"/>
  <c r="D299"/>
  <c r="C299"/>
  <c r="B299"/>
  <c r="A299"/>
  <c r="E298"/>
  <c r="D298"/>
  <c r="C298"/>
  <c r="B298"/>
  <c r="A298"/>
  <c r="E297"/>
  <c r="D297"/>
  <c r="C297"/>
  <c r="B297"/>
  <c r="A297"/>
  <c r="E296"/>
  <c r="D296"/>
  <c r="C296"/>
  <c r="B296"/>
  <c r="A296"/>
  <c r="E295"/>
  <c r="D295"/>
  <c r="C295"/>
  <c r="B295"/>
  <c r="A295"/>
  <c r="E294"/>
  <c r="D294"/>
  <c r="C294"/>
  <c r="B294"/>
  <c r="A294"/>
  <c r="E293"/>
  <c r="D293"/>
  <c r="C293"/>
  <c r="B293"/>
  <c r="A293"/>
  <c r="E292"/>
  <c r="D292"/>
  <c r="C292"/>
  <c r="B292"/>
  <c r="A292"/>
  <c r="E291"/>
  <c r="D291"/>
  <c r="C291"/>
  <c r="B291"/>
  <c r="A291"/>
  <c r="E290"/>
  <c r="D290"/>
  <c r="C290"/>
  <c r="B290"/>
  <c r="A290"/>
  <c r="E289"/>
  <c r="D289"/>
  <c r="C289"/>
  <c r="B289"/>
  <c r="A289"/>
  <c r="E288"/>
  <c r="D288"/>
  <c r="C288"/>
  <c r="B288"/>
  <c r="A288"/>
  <c r="E287"/>
  <c r="D287"/>
  <c r="C287"/>
  <c r="B287"/>
  <c r="A287"/>
  <c r="E286"/>
  <c r="D286"/>
  <c r="C286"/>
  <c r="B286"/>
  <c r="A286"/>
  <c r="E285"/>
  <c r="D285"/>
  <c r="C285"/>
  <c r="B285"/>
  <c r="A285"/>
  <c r="E284"/>
  <c r="D284"/>
  <c r="C284"/>
  <c r="B284"/>
  <c r="A284"/>
  <c r="E283"/>
  <c r="D283"/>
  <c r="C283"/>
  <c r="B283"/>
  <c r="A283"/>
  <c r="E282"/>
  <c r="D282"/>
  <c r="C282"/>
  <c r="B282"/>
  <c r="A282"/>
  <c r="E281"/>
  <c r="D281"/>
  <c r="C281"/>
  <c r="B281"/>
  <c r="A281"/>
  <c r="E280"/>
  <c r="D280"/>
  <c r="C280"/>
  <c r="B280"/>
  <c r="A280"/>
  <c r="E279"/>
  <c r="D279"/>
  <c r="C279"/>
  <c r="B279"/>
  <c r="A279"/>
  <c r="E278"/>
  <c r="D278"/>
  <c r="C278"/>
  <c r="B278"/>
  <c r="A278"/>
  <c r="E277"/>
  <c r="D277"/>
  <c r="C277"/>
  <c r="B277"/>
  <c r="A277"/>
  <c r="E276"/>
  <c r="D276"/>
  <c r="C276"/>
  <c r="B276"/>
  <c r="A276"/>
  <c r="E275"/>
  <c r="D275"/>
  <c r="C275"/>
  <c r="B275"/>
  <c r="A275"/>
  <c r="E274"/>
  <c r="D274"/>
  <c r="C274"/>
  <c r="B274"/>
  <c r="A274"/>
  <c r="E273"/>
  <c r="D273"/>
  <c r="C273"/>
  <c r="B273"/>
  <c r="A273"/>
  <c r="E272"/>
  <c r="D272"/>
  <c r="C272"/>
  <c r="B272"/>
  <c r="A272"/>
  <c r="E271"/>
  <c r="D271"/>
  <c r="C271"/>
  <c r="B271"/>
  <c r="A271"/>
  <c r="E270"/>
  <c r="D270"/>
  <c r="C270"/>
  <c r="B270"/>
  <c r="A270"/>
  <c r="E269"/>
  <c r="D269"/>
  <c r="C269"/>
  <c r="B269"/>
  <c r="A269"/>
  <c r="E268"/>
  <c r="D268"/>
  <c r="C268"/>
  <c r="B268"/>
  <c r="A268"/>
  <c r="E267"/>
  <c r="D267"/>
  <c r="C267"/>
  <c r="B267"/>
  <c r="A267"/>
  <c r="E266"/>
  <c r="D266"/>
  <c r="C266"/>
  <c r="B266"/>
  <c r="A266"/>
  <c r="E265"/>
  <c r="D265"/>
  <c r="C265"/>
  <c r="B265"/>
  <c r="A265"/>
  <c r="E264"/>
  <c r="D264"/>
  <c r="C264"/>
  <c r="B264"/>
  <c r="A264"/>
  <c r="E263"/>
  <c r="D263"/>
  <c r="C263"/>
  <c r="B263"/>
  <c r="A263"/>
  <c r="E262"/>
  <c r="D262"/>
  <c r="C262"/>
  <c r="B262"/>
  <c r="A262"/>
  <c r="E261"/>
  <c r="D261"/>
  <c r="C261"/>
  <c r="B261"/>
  <c r="A261"/>
  <c r="E260"/>
  <c r="D260"/>
  <c r="C260"/>
  <c r="B260"/>
  <c r="A260"/>
  <c r="E259"/>
  <c r="D259"/>
  <c r="C259"/>
  <c r="B259"/>
  <c r="A259"/>
  <c r="E258"/>
  <c r="D258"/>
  <c r="C258"/>
  <c r="B258"/>
  <c r="A258"/>
  <c r="E257"/>
  <c r="D257"/>
  <c r="C257"/>
  <c r="B257"/>
  <c r="A257"/>
  <c r="E256"/>
  <c r="D256"/>
  <c r="C256"/>
  <c r="B256"/>
  <c r="A256"/>
  <c r="E255"/>
  <c r="D255"/>
  <c r="C255"/>
  <c r="B255"/>
  <c r="A255"/>
  <c r="E254"/>
  <c r="D254"/>
  <c r="C254"/>
  <c r="B254"/>
  <c r="A254"/>
  <c r="E253"/>
  <c r="D253"/>
  <c r="C253"/>
  <c r="B253"/>
  <c r="A253"/>
  <c r="E252"/>
  <c r="D252"/>
  <c r="C252"/>
  <c r="B252"/>
  <c r="A252"/>
  <c r="E251"/>
  <c r="D251"/>
  <c r="C251"/>
  <c r="B251"/>
  <c r="A251"/>
  <c r="E250"/>
  <c r="D250"/>
  <c r="C250"/>
  <c r="B250"/>
  <c r="A250"/>
  <c r="E249"/>
  <c r="D249"/>
  <c r="C249"/>
  <c r="B249"/>
  <c r="A249"/>
  <c r="E248"/>
  <c r="D248"/>
  <c r="C248"/>
  <c r="B248"/>
  <c r="A248"/>
  <c r="E247"/>
  <c r="D247"/>
  <c r="C247"/>
  <c r="B247"/>
  <c r="A247"/>
  <c r="E246"/>
  <c r="D246"/>
  <c r="C246"/>
  <c r="B246"/>
  <c r="A246"/>
  <c r="E245"/>
  <c r="D245"/>
  <c r="C245"/>
  <c r="B245"/>
  <c r="A245"/>
  <c r="E244"/>
  <c r="D244"/>
  <c r="C244"/>
  <c r="B244"/>
  <c r="A244"/>
  <c r="E243"/>
  <c r="D243"/>
  <c r="C243"/>
  <c r="B243"/>
  <c r="A243"/>
  <c r="E242"/>
  <c r="D242"/>
  <c r="C242"/>
  <c r="B242"/>
  <c r="A242"/>
  <c r="E241"/>
  <c r="D241"/>
  <c r="C241"/>
  <c r="B241"/>
  <c r="A241"/>
  <c r="E240"/>
  <c r="D240"/>
  <c r="C240"/>
  <c r="B240"/>
  <c r="A240"/>
  <c r="E239"/>
  <c r="D239"/>
  <c r="C239"/>
  <c r="B239"/>
  <c r="A239"/>
  <c r="E238"/>
  <c r="D238"/>
  <c r="C238"/>
  <c r="B238"/>
  <c r="A238"/>
  <c r="E237"/>
  <c r="D237"/>
  <c r="C237"/>
  <c r="B237"/>
  <c r="A237"/>
  <c r="E236"/>
  <c r="D236"/>
  <c r="C236"/>
  <c r="B236"/>
  <c r="A236"/>
  <c r="E235"/>
  <c r="D235"/>
  <c r="C235"/>
  <c r="B235"/>
  <c r="A235"/>
  <c r="E234"/>
  <c r="D234"/>
  <c r="C234"/>
  <c r="B234"/>
  <c r="A234"/>
  <c r="E233"/>
  <c r="D233"/>
  <c r="C233"/>
  <c r="B233"/>
  <c r="A233"/>
  <c r="E232"/>
  <c r="D232"/>
  <c r="C232"/>
  <c r="B232"/>
  <c r="A232"/>
  <c r="E231"/>
  <c r="D231"/>
  <c r="C231"/>
  <c r="B231"/>
  <c r="A231"/>
  <c r="E230"/>
  <c r="D230"/>
  <c r="C230"/>
  <c r="B230"/>
  <c r="A230"/>
  <c r="E229"/>
  <c r="D229"/>
  <c r="C229"/>
  <c r="B229"/>
  <c r="A229"/>
  <c r="E228"/>
  <c r="D228"/>
  <c r="C228"/>
  <c r="B228"/>
  <c r="A228"/>
  <c r="E227"/>
  <c r="D227"/>
  <c r="C227"/>
  <c r="B227"/>
  <c r="A227"/>
  <c r="E226"/>
  <c r="D226"/>
  <c r="C226"/>
  <c r="B226"/>
  <c r="A226"/>
  <c r="E225"/>
  <c r="D225"/>
  <c r="C225"/>
  <c r="B225"/>
  <c r="A225"/>
  <c r="E224"/>
  <c r="D224"/>
  <c r="C224"/>
  <c r="B224"/>
  <c r="A224"/>
  <c r="E223"/>
  <c r="D223"/>
  <c r="C223"/>
  <c r="B223"/>
  <c r="A223"/>
  <c r="E222"/>
  <c r="D222"/>
  <c r="C222"/>
  <c r="B222"/>
  <c r="A222"/>
  <c r="E221"/>
  <c r="D221"/>
  <c r="C221"/>
  <c r="B221"/>
  <c r="A221"/>
  <c r="E220"/>
  <c r="D220"/>
  <c r="C220"/>
  <c r="B220"/>
  <c r="A220"/>
  <c r="E219"/>
  <c r="D219"/>
  <c r="C219"/>
  <c r="B219"/>
  <c r="A219"/>
  <c r="E218"/>
  <c r="D218"/>
  <c r="C218"/>
  <c r="B218"/>
  <c r="A218"/>
  <c r="E217"/>
  <c r="D217"/>
  <c r="C217"/>
  <c r="B217"/>
  <c r="A217"/>
  <c r="E216"/>
  <c r="D216"/>
  <c r="C216"/>
  <c r="B216"/>
  <c r="A216"/>
  <c r="E215"/>
  <c r="D215"/>
  <c r="C215"/>
  <c r="B215"/>
  <c r="A215"/>
  <c r="E214"/>
  <c r="D214"/>
  <c r="C214"/>
  <c r="B214"/>
  <c r="A214"/>
  <c r="E213"/>
  <c r="D213"/>
  <c r="C213"/>
  <c r="B213"/>
  <c r="A213"/>
  <c r="E212"/>
  <c r="D212"/>
  <c r="C212"/>
  <c r="B212"/>
  <c r="A212"/>
  <c r="E211"/>
  <c r="D211"/>
  <c r="C211"/>
  <c r="B211"/>
  <c r="A211"/>
  <c r="E210"/>
  <c r="D210"/>
  <c r="C210"/>
  <c r="B210"/>
  <c r="A210"/>
  <c r="E209"/>
  <c r="D209"/>
  <c r="C209"/>
  <c r="B209"/>
  <c r="A209"/>
  <c r="E208"/>
  <c r="D208"/>
  <c r="C208"/>
  <c r="B208"/>
  <c r="A208"/>
  <c r="E207"/>
  <c r="D207"/>
  <c r="C207"/>
  <c r="B207"/>
  <c r="A207"/>
  <c r="E206"/>
  <c r="D206"/>
  <c r="C206"/>
  <c r="B206"/>
  <c r="A206"/>
  <c r="E205"/>
  <c r="D205"/>
  <c r="C205"/>
  <c r="B205"/>
  <c r="A205"/>
  <c r="E204"/>
  <c r="D204"/>
  <c r="C204"/>
  <c r="B204"/>
  <c r="A204"/>
  <c r="E203"/>
  <c r="D203"/>
  <c r="C203"/>
  <c r="B203"/>
  <c r="A203"/>
  <c r="E202"/>
  <c r="D202"/>
  <c r="C202"/>
  <c r="B202"/>
  <c r="A202"/>
  <c r="E201"/>
  <c r="D201"/>
  <c r="C201"/>
  <c r="B201"/>
  <c r="A201"/>
  <c r="E200"/>
  <c r="D200"/>
  <c r="C200"/>
  <c r="B200"/>
  <c r="A200"/>
  <c r="E199"/>
  <c r="D199"/>
  <c r="C199"/>
  <c r="B199"/>
  <c r="A199"/>
  <c r="E198"/>
  <c r="D198"/>
  <c r="C198"/>
  <c r="B198"/>
  <c r="A198"/>
  <c r="E197"/>
  <c r="D197"/>
  <c r="C197"/>
  <c r="B197"/>
  <c r="A197"/>
  <c r="E196"/>
  <c r="D196"/>
  <c r="C196"/>
  <c r="B196"/>
  <c r="A196"/>
  <c r="E195"/>
  <c r="D195"/>
  <c r="C195"/>
  <c r="B195"/>
  <c r="A195"/>
  <c r="E194"/>
  <c r="D194"/>
  <c r="C194"/>
  <c r="B194"/>
  <c r="A194"/>
  <c r="E193"/>
  <c r="D193"/>
  <c r="C193"/>
  <c r="B193"/>
  <c r="A193"/>
  <c r="E192"/>
  <c r="D192"/>
  <c r="C192"/>
  <c r="B192"/>
  <c r="A192"/>
  <c r="E191"/>
  <c r="D191"/>
  <c r="C191"/>
  <c r="B191"/>
  <c r="A191"/>
  <c r="E190"/>
  <c r="D190"/>
  <c r="C190"/>
  <c r="B190"/>
  <c r="A190"/>
  <c r="E189"/>
  <c r="D189"/>
  <c r="C189"/>
  <c r="B189"/>
  <c r="A189"/>
  <c r="E188"/>
  <c r="D188"/>
  <c r="C188"/>
  <c r="B188"/>
  <c r="A188"/>
  <c r="E187"/>
  <c r="D187"/>
  <c r="C187"/>
  <c r="B187"/>
  <c r="A187"/>
  <c r="E186"/>
  <c r="D186"/>
  <c r="C186"/>
  <c r="B186"/>
  <c r="A186"/>
  <c r="E185"/>
  <c r="D185"/>
  <c r="C185"/>
  <c r="B185"/>
  <c r="A185"/>
  <c r="E184"/>
  <c r="D184"/>
  <c r="C184"/>
  <c r="B184"/>
  <c r="A184"/>
  <c r="E183"/>
  <c r="D183"/>
  <c r="C183"/>
  <c r="B183"/>
  <c r="A183"/>
  <c r="E182"/>
  <c r="D182"/>
  <c r="C182"/>
  <c r="B182"/>
  <c r="A182"/>
  <c r="E181"/>
  <c r="D181"/>
  <c r="C181"/>
  <c r="B181"/>
  <c r="A181"/>
  <c r="E180"/>
  <c r="D180"/>
  <c r="C180"/>
  <c r="B180"/>
  <c r="A180"/>
  <c r="E179"/>
  <c r="D179"/>
  <c r="C179"/>
  <c r="B179"/>
  <c r="A179"/>
  <c r="E178"/>
  <c r="D178"/>
  <c r="C178"/>
  <c r="B178"/>
  <c r="A178"/>
  <c r="E177"/>
  <c r="D177"/>
  <c r="C177"/>
  <c r="B177"/>
  <c r="A177"/>
  <c r="E176"/>
  <c r="D176"/>
  <c r="C176"/>
  <c r="B176"/>
  <c r="A176"/>
  <c r="E175"/>
  <c r="D175"/>
  <c r="C175"/>
  <c r="B175"/>
  <c r="A175"/>
  <c r="E174"/>
  <c r="D174"/>
  <c r="C174"/>
  <c r="B174"/>
  <c r="A174"/>
  <c r="E173"/>
  <c r="D173"/>
  <c r="C173"/>
  <c r="B173"/>
  <c r="A173"/>
  <c r="E172"/>
  <c r="D172"/>
  <c r="C172"/>
  <c r="B172"/>
  <c r="A172"/>
  <c r="E171"/>
  <c r="D171"/>
  <c r="C171"/>
  <c r="B171"/>
  <c r="A171"/>
  <c r="E170"/>
  <c r="D170"/>
  <c r="C170"/>
  <c r="B170"/>
  <c r="A170"/>
  <c r="E169"/>
  <c r="D169"/>
  <c r="C169"/>
  <c r="B169"/>
  <c r="A169"/>
  <c r="E168"/>
  <c r="D168"/>
  <c r="C168"/>
  <c r="B168"/>
  <c r="A168"/>
  <c r="E167"/>
  <c r="D167"/>
  <c r="C167"/>
  <c r="B167"/>
  <c r="A167"/>
  <c r="E166"/>
  <c r="D166"/>
  <c r="C166"/>
  <c r="B166"/>
  <c r="A166"/>
  <c r="E165"/>
  <c r="D165"/>
  <c r="C165"/>
  <c r="B165"/>
  <c r="A165"/>
  <c r="E164"/>
  <c r="D164"/>
  <c r="C164"/>
  <c r="B164"/>
  <c r="A164"/>
  <c r="E163"/>
  <c r="D163"/>
  <c r="C163"/>
  <c r="B163"/>
  <c r="A163"/>
  <c r="E162"/>
  <c r="D162"/>
  <c r="C162"/>
  <c r="B162"/>
  <c r="A162"/>
  <c r="E161"/>
  <c r="D161"/>
  <c r="C161"/>
  <c r="B161"/>
  <c r="A161"/>
  <c r="E160"/>
  <c r="D160"/>
  <c r="C160"/>
  <c r="B160"/>
  <c r="A160"/>
  <c r="E159"/>
  <c r="D159"/>
  <c r="C159"/>
  <c r="B159"/>
  <c r="A159"/>
  <c r="E158"/>
  <c r="D158"/>
  <c r="C158"/>
  <c r="B158"/>
  <c r="A158"/>
  <c r="E157"/>
  <c r="D157"/>
  <c r="C157"/>
  <c r="B157"/>
  <c r="A157"/>
  <c r="E156"/>
  <c r="D156"/>
  <c r="C156"/>
  <c r="B156"/>
  <c r="A156"/>
  <c r="E155"/>
  <c r="D155"/>
  <c r="C155"/>
  <c r="B155"/>
  <c r="A155"/>
  <c r="E154"/>
  <c r="D154"/>
  <c r="C154"/>
  <c r="B154"/>
  <c r="A154"/>
  <c r="E153"/>
  <c r="D153"/>
  <c r="C153"/>
  <c r="B153"/>
  <c r="A153"/>
  <c r="E152"/>
  <c r="D152"/>
  <c r="C152"/>
  <c r="B152"/>
  <c r="A152"/>
  <c r="E151"/>
  <c r="D151"/>
  <c r="C151"/>
  <c r="B151"/>
  <c r="A151"/>
  <c r="E150"/>
  <c r="D150"/>
  <c r="C150"/>
  <c r="B150"/>
  <c r="A150"/>
  <c r="E149"/>
  <c r="D149"/>
  <c r="C149"/>
  <c r="B149"/>
  <c r="A149"/>
  <c r="E148"/>
  <c r="D148"/>
  <c r="C148"/>
  <c r="B148"/>
  <c r="A148"/>
  <c r="E147"/>
  <c r="D147"/>
  <c r="C147"/>
  <c r="B147"/>
  <c r="A147"/>
  <c r="E146"/>
  <c r="D146"/>
  <c r="C146"/>
  <c r="B146"/>
  <c r="A146"/>
  <c r="E145"/>
  <c r="D145"/>
  <c r="C145"/>
  <c r="B145"/>
  <c r="A145"/>
  <c r="E144"/>
  <c r="D144"/>
  <c r="C144"/>
  <c r="B144"/>
  <c r="A144"/>
  <c r="E143"/>
  <c r="D143"/>
  <c r="C143"/>
  <c r="B143"/>
  <c r="A143"/>
  <c r="E142"/>
  <c r="D142"/>
  <c r="C142"/>
  <c r="B142"/>
  <c r="A142"/>
  <c r="E141"/>
  <c r="D141"/>
  <c r="C141"/>
  <c r="B141"/>
  <c r="A141"/>
  <c r="E140"/>
  <c r="D140"/>
  <c r="C140"/>
  <c r="B140"/>
  <c r="A140"/>
  <c r="E139"/>
  <c r="D139"/>
  <c r="C139"/>
  <c r="B139"/>
  <c r="A139"/>
  <c r="E138"/>
  <c r="D138"/>
  <c r="C138"/>
  <c r="B138"/>
  <c r="A138"/>
  <c r="E137"/>
  <c r="D137"/>
  <c r="C137"/>
  <c r="B137"/>
  <c r="A137"/>
  <c r="E136"/>
  <c r="D136"/>
  <c r="C136"/>
  <c r="B136"/>
  <c r="A136"/>
  <c r="E135"/>
  <c r="D135"/>
  <c r="C135"/>
  <c r="B135"/>
  <c r="A135"/>
  <c r="E134"/>
  <c r="D134"/>
  <c r="C134"/>
  <c r="B134"/>
  <c r="A134"/>
  <c r="E133"/>
  <c r="D133"/>
  <c r="C133"/>
  <c r="B133"/>
  <c r="A133"/>
  <c r="E132"/>
  <c r="D132"/>
  <c r="C132"/>
  <c r="B132"/>
  <c r="A132"/>
  <c r="E131"/>
  <c r="D131"/>
  <c r="C131"/>
  <c r="B131"/>
  <c r="A131"/>
  <c r="E130"/>
  <c r="D130"/>
  <c r="C130"/>
  <c r="B130"/>
  <c r="A130"/>
  <c r="E129"/>
  <c r="D129"/>
  <c r="C129"/>
  <c r="B129"/>
  <c r="A129"/>
  <c r="E128"/>
  <c r="D128"/>
  <c r="C128"/>
  <c r="B128"/>
  <c r="A128"/>
  <c r="E127"/>
  <c r="D127"/>
  <c r="C127"/>
  <c r="B127"/>
  <c r="A127"/>
  <c r="E126"/>
  <c r="D126"/>
  <c r="C126"/>
  <c r="B126"/>
  <c r="A126"/>
  <c r="E125"/>
  <c r="D125"/>
  <c r="C125"/>
  <c r="B125"/>
  <c r="A125"/>
  <c r="E124"/>
  <c r="D124"/>
  <c r="C124"/>
  <c r="B124"/>
  <c r="A124"/>
  <c r="E123"/>
  <c r="D123"/>
  <c r="C123"/>
  <c r="B123"/>
  <c r="A123"/>
  <c r="E122"/>
  <c r="D122"/>
  <c r="C122"/>
  <c r="B122"/>
  <c r="A122"/>
  <c r="E121"/>
  <c r="D121"/>
  <c r="C121"/>
  <c r="B121"/>
  <c r="A121"/>
  <c r="E120"/>
  <c r="D120"/>
  <c r="C120"/>
  <c r="B120"/>
  <c r="A120"/>
  <c r="E119"/>
  <c r="D119"/>
  <c r="C119"/>
  <c r="B119"/>
  <c r="A119"/>
  <c r="E118"/>
  <c r="D118"/>
  <c r="C118"/>
  <c r="B118"/>
  <c r="A118"/>
  <c r="E117"/>
  <c r="D117"/>
  <c r="C117"/>
  <c r="B117"/>
  <c r="A117"/>
  <c r="E116"/>
  <c r="D116"/>
  <c r="C116"/>
  <c r="B116"/>
  <c r="A116"/>
  <c r="E115"/>
  <c r="D115"/>
  <c r="C115"/>
  <c r="B115"/>
  <c r="A115"/>
  <c r="E114"/>
  <c r="D114"/>
  <c r="C114"/>
  <c r="B114"/>
  <c r="A114"/>
  <c r="E113"/>
  <c r="D113"/>
  <c r="C113"/>
  <c r="B113"/>
  <c r="A113"/>
  <c r="E112"/>
  <c r="D112"/>
  <c r="C112"/>
  <c r="B112"/>
  <c r="A112"/>
  <c r="E111"/>
  <c r="D111"/>
  <c r="C111"/>
  <c r="B111"/>
  <c r="A111"/>
  <c r="E110"/>
  <c r="D110"/>
  <c r="C110"/>
  <c r="B110"/>
  <c r="A110"/>
  <c r="E109"/>
  <c r="D109"/>
  <c r="C109"/>
  <c r="B109"/>
  <c r="A109"/>
  <c r="E108"/>
  <c r="D108"/>
  <c r="C108"/>
  <c r="B108"/>
  <c r="A108"/>
  <c r="E107"/>
  <c r="D107"/>
  <c r="C107"/>
  <c r="B107"/>
  <c r="A107"/>
  <c r="E106"/>
  <c r="D106"/>
  <c r="C106"/>
  <c r="B106"/>
  <c r="A106"/>
  <c r="E105"/>
  <c r="D105"/>
  <c r="C105"/>
  <c r="B105"/>
  <c r="A105"/>
  <c r="E104"/>
  <c r="D104"/>
  <c r="C104"/>
  <c r="B104"/>
  <c r="A104"/>
  <c r="E103"/>
  <c r="D103"/>
  <c r="C103"/>
  <c r="B103"/>
  <c r="A103"/>
  <c r="E102"/>
  <c r="D102"/>
  <c r="C102"/>
  <c r="B102"/>
  <c r="A102"/>
  <c r="E101"/>
  <c r="D101"/>
  <c r="C101"/>
  <c r="B101"/>
  <c r="A101"/>
  <c r="E100"/>
  <c r="D100"/>
  <c r="C100"/>
  <c r="B100"/>
  <c r="A100"/>
  <c r="E99"/>
  <c r="D99"/>
  <c r="C99"/>
  <c r="B99"/>
  <c r="A99"/>
  <c r="E98"/>
  <c r="D98"/>
  <c r="C98"/>
  <c r="B98"/>
  <c r="A98"/>
  <c r="E97"/>
  <c r="D97"/>
  <c r="C97"/>
  <c r="B97"/>
  <c r="A97"/>
  <c r="E96"/>
  <c r="D96"/>
  <c r="C96"/>
  <c r="B96"/>
  <c r="A96"/>
  <c r="E95"/>
  <c r="D95"/>
  <c r="C95"/>
  <c r="B95"/>
  <c r="A95"/>
  <c r="E94"/>
  <c r="D94"/>
  <c r="C94"/>
  <c r="B94"/>
  <c r="A94"/>
  <c r="E93"/>
  <c r="D93"/>
  <c r="C93"/>
  <c r="B93"/>
  <c r="A93"/>
  <c r="E92"/>
  <c r="D92"/>
  <c r="C92"/>
  <c r="B92"/>
  <c r="A92"/>
  <c r="E91"/>
  <c r="D91"/>
  <c r="C91"/>
  <c r="B91"/>
  <c r="A91"/>
  <c r="E90"/>
  <c r="D90"/>
  <c r="C90"/>
  <c r="B90"/>
  <c r="A90"/>
  <c r="E89"/>
  <c r="D89"/>
  <c r="C89"/>
  <c r="B89"/>
  <c r="A89"/>
  <c r="E88"/>
  <c r="D88"/>
  <c r="C88"/>
  <c r="B88"/>
  <c r="A88"/>
  <c r="E87"/>
  <c r="D87"/>
  <c r="C87"/>
  <c r="B87"/>
  <c r="A87"/>
  <c r="E86"/>
  <c r="D86"/>
  <c r="C86"/>
  <c r="B86"/>
  <c r="A86"/>
  <c r="E85"/>
  <c r="D85"/>
  <c r="C85"/>
  <c r="B85"/>
  <c r="A85"/>
  <c r="E84"/>
  <c r="D84"/>
  <c r="C84"/>
  <c r="B84"/>
  <c r="A84"/>
  <c r="E83"/>
  <c r="D83"/>
  <c r="C83"/>
  <c r="B83"/>
  <c r="A83"/>
  <c r="E82"/>
  <c r="D82"/>
  <c r="C82"/>
  <c r="B82"/>
  <c r="A82"/>
  <c r="E81"/>
  <c r="D81"/>
  <c r="C81"/>
  <c r="B81"/>
  <c r="A81"/>
  <c r="E80"/>
  <c r="D80"/>
  <c r="C80"/>
  <c r="B80"/>
  <c r="A80"/>
  <c r="E79"/>
  <c r="D79"/>
  <c r="C79"/>
  <c r="B79"/>
  <c r="A79"/>
  <c r="E78"/>
  <c r="D78"/>
  <c r="C78"/>
  <c r="B78"/>
  <c r="A78"/>
  <c r="E77"/>
  <c r="D77"/>
  <c r="C77"/>
  <c r="B77"/>
  <c r="A77"/>
  <c r="E76"/>
  <c r="D76"/>
  <c r="C76"/>
  <c r="B76"/>
  <c r="A76"/>
  <c r="E75"/>
  <c r="D75"/>
  <c r="C75"/>
  <c r="B75"/>
  <c r="A75"/>
  <c r="E74"/>
  <c r="D74"/>
  <c r="C74"/>
  <c r="B74"/>
  <c r="A74"/>
  <c r="E73"/>
  <c r="D73"/>
  <c r="C73"/>
  <c r="B73"/>
  <c r="A73"/>
  <c r="E72"/>
  <c r="D72"/>
  <c r="C72"/>
  <c r="B72"/>
  <c r="A72"/>
  <c r="E71"/>
  <c r="D71"/>
  <c r="C71"/>
  <c r="B71"/>
  <c r="A71"/>
  <c r="E70"/>
  <c r="D70"/>
  <c r="C70"/>
  <c r="B70"/>
  <c r="A70"/>
  <c r="E69"/>
  <c r="D69"/>
  <c r="C69"/>
  <c r="B69"/>
  <c r="A69"/>
  <c r="E68"/>
  <c r="D68"/>
  <c r="C68"/>
  <c r="B68"/>
  <c r="A68"/>
  <c r="E67"/>
  <c r="D67"/>
  <c r="C67"/>
  <c r="B67"/>
  <c r="A67"/>
  <c r="E66"/>
  <c r="D66"/>
  <c r="C66"/>
  <c r="B66"/>
  <c r="A66"/>
  <c r="E65"/>
  <c r="D65"/>
  <c r="C65"/>
  <c r="B65"/>
  <c r="A65"/>
  <c r="E64"/>
  <c r="D64"/>
  <c r="C64"/>
  <c r="B64"/>
  <c r="A64"/>
  <c r="E63"/>
  <c r="D63"/>
  <c r="C63"/>
  <c r="B63"/>
  <c r="A63"/>
  <c r="E62"/>
  <c r="D62"/>
  <c r="C62"/>
  <c r="B62"/>
  <c r="A62"/>
  <c r="E61"/>
  <c r="D61"/>
  <c r="C61"/>
  <c r="B61"/>
  <c r="A61"/>
  <c r="E60"/>
  <c r="D60"/>
  <c r="C60"/>
  <c r="B60"/>
  <c r="A60"/>
  <c r="E59"/>
  <c r="D59"/>
  <c r="C59"/>
  <c r="B59"/>
  <c r="A59"/>
  <c r="E58"/>
  <c r="D58"/>
  <c r="C58"/>
  <c r="B58"/>
  <c r="A58"/>
  <c r="E57"/>
  <c r="D57"/>
  <c r="C57"/>
  <c r="B57"/>
  <c r="A57"/>
  <c r="E56"/>
  <c r="D56"/>
  <c r="C56"/>
  <c r="B56"/>
  <c r="A56"/>
  <c r="E55"/>
  <c r="D55"/>
  <c r="C55"/>
  <c r="B55"/>
  <c r="A55"/>
  <c r="E54"/>
  <c r="D54"/>
  <c r="C54"/>
  <c r="B54"/>
  <c r="A54"/>
  <c r="E53"/>
  <c r="D53"/>
  <c r="C53"/>
  <c r="B53"/>
  <c r="A53"/>
  <c r="E52"/>
  <c r="D52"/>
  <c r="C52"/>
  <c r="B52"/>
  <c r="A52"/>
  <c r="E51"/>
  <c r="D51"/>
  <c r="C51"/>
  <c r="B51"/>
  <c r="A51"/>
  <c r="E50"/>
  <c r="D50"/>
  <c r="C50"/>
  <c r="B50"/>
  <c r="A50"/>
  <c r="E49"/>
  <c r="D49"/>
  <c r="C49"/>
  <c r="B49"/>
  <c r="A49"/>
  <c r="E48"/>
  <c r="D48"/>
  <c r="C48"/>
  <c r="B48"/>
  <c r="A48"/>
  <c r="E47"/>
  <c r="D47"/>
  <c r="C47"/>
  <c r="B47"/>
  <c r="A47"/>
  <c r="E46"/>
  <c r="D46"/>
  <c r="C46"/>
  <c r="B46"/>
  <c r="A46"/>
  <c r="E45"/>
  <c r="D45"/>
  <c r="C45"/>
  <c r="B45"/>
  <c r="A45"/>
  <c r="E44"/>
  <c r="D44"/>
  <c r="C44"/>
  <c r="B44"/>
  <c r="A44"/>
  <c r="E43"/>
  <c r="D43"/>
  <c r="C43"/>
  <c r="B43"/>
  <c r="A43"/>
  <c r="E42"/>
  <c r="D42"/>
  <c r="C42"/>
  <c r="B42"/>
  <c r="A42"/>
  <c r="E41"/>
  <c r="D41"/>
  <c r="C41"/>
  <c r="B41"/>
  <c r="A41"/>
  <c r="E40"/>
  <c r="D40"/>
  <c r="C40"/>
  <c r="B40"/>
  <c r="A40"/>
  <c r="E39"/>
  <c r="D39"/>
  <c r="C39"/>
  <c r="B39"/>
  <c r="A39"/>
  <c r="E38"/>
  <c r="D38"/>
  <c r="C38"/>
  <c r="B38"/>
  <c r="A38"/>
  <c r="E37"/>
  <c r="D37"/>
  <c r="C37"/>
  <c r="B37"/>
  <c r="A37"/>
  <c r="E36"/>
  <c r="D36"/>
  <c r="C36"/>
  <c r="B36"/>
  <c r="A36"/>
  <c r="E35"/>
  <c r="D35"/>
  <c r="C35"/>
  <c r="B35"/>
  <c r="A35"/>
  <c r="E34"/>
  <c r="D34"/>
  <c r="C34"/>
  <c r="B34"/>
  <c r="A34"/>
  <c r="E33"/>
  <c r="D33"/>
  <c r="C33"/>
  <c r="B33"/>
  <c r="A33"/>
  <c r="E32"/>
  <c r="D32"/>
  <c r="C32"/>
  <c r="B32"/>
  <c r="A32"/>
  <c r="E31"/>
  <c r="D31"/>
  <c r="C31"/>
  <c r="B31"/>
  <c r="A31"/>
  <c r="E30"/>
  <c r="D30"/>
  <c r="C30"/>
  <c r="B30"/>
  <c r="A30"/>
  <c r="E29"/>
  <c r="D29"/>
  <c r="C29"/>
  <c r="B29"/>
  <c r="A29"/>
  <c r="E28"/>
  <c r="D28"/>
  <c r="C28"/>
  <c r="B28"/>
  <c r="A28"/>
  <c r="E27"/>
  <c r="D27"/>
  <c r="C27"/>
  <c r="B27"/>
  <c r="A27"/>
  <c r="E26"/>
  <c r="D26"/>
  <c r="C26"/>
  <c r="B26"/>
  <c r="A26"/>
  <c r="E25"/>
  <c r="D25"/>
  <c r="C25"/>
  <c r="B25"/>
  <c r="A25"/>
  <c r="E24"/>
  <c r="D24"/>
  <c r="C24"/>
  <c r="B24"/>
  <c r="A24"/>
  <c r="E23"/>
  <c r="D23"/>
  <c r="C23"/>
  <c r="B23"/>
  <c r="A23"/>
  <c r="E22"/>
  <c r="D22"/>
  <c r="C22"/>
  <c r="B22"/>
  <c r="A22"/>
  <c r="E21"/>
  <c r="D21"/>
  <c r="C21"/>
  <c r="B21"/>
  <c r="A21"/>
  <c r="E20"/>
  <c r="D20"/>
  <c r="C20"/>
  <c r="B20"/>
  <c r="A20"/>
  <c r="E19"/>
  <c r="D19"/>
  <c r="C19"/>
  <c r="B19"/>
  <c r="A19"/>
  <c r="E18"/>
  <c r="D18"/>
  <c r="C18"/>
  <c r="B18"/>
  <c r="A18"/>
  <c r="E17"/>
  <c r="D17"/>
  <c r="C17"/>
  <c r="B17"/>
  <c r="A17"/>
  <c r="E16"/>
  <c r="D16"/>
  <c r="C16"/>
  <c r="B16"/>
  <c r="A16"/>
  <c r="E15"/>
  <c r="D15"/>
  <c r="C15"/>
  <c r="B15"/>
  <c r="A15"/>
  <c r="E14"/>
  <c r="D14"/>
  <c r="C14"/>
  <c r="B14"/>
  <c r="A14"/>
  <c r="E13"/>
  <c r="D13"/>
  <c r="C13"/>
  <c r="B13"/>
  <c r="A13"/>
  <c r="E12"/>
  <c r="D12"/>
  <c r="C12"/>
  <c r="B12"/>
  <c r="A12"/>
  <c r="E11"/>
  <c r="D11"/>
  <c r="C11"/>
  <c r="B11"/>
  <c r="A11"/>
  <c r="E10"/>
  <c r="D10"/>
  <c r="C10"/>
  <c r="B10"/>
  <c r="A10"/>
  <c r="E9"/>
  <c r="D9"/>
  <c r="C9"/>
  <c r="B9"/>
  <c r="A9"/>
  <c r="E8"/>
  <c r="D8"/>
  <c r="C8"/>
  <c r="B8"/>
  <c r="A8"/>
  <c r="E7"/>
  <c r="D7"/>
  <c r="C7"/>
  <c r="B7"/>
  <c r="A7"/>
  <c r="E6"/>
  <c r="D6"/>
  <c r="C6"/>
  <c r="B6"/>
  <c r="A6"/>
  <c r="E5"/>
  <c r="D5"/>
  <c r="C5"/>
  <c r="B5"/>
  <c r="A5"/>
  <c r="K325" i="5"/>
  <c r="J325"/>
  <c r="I325"/>
  <c r="H325"/>
  <c r="G325"/>
  <c r="F325"/>
  <c r="E325"/>
  <c r="D325"/>
  <c r="C325"/>
  <c r="B325"/>
  <c r="A325"/>
  <c r="K324"/>
  <c r="J324"/>
  <c r="I324"/>
  <c r="H324"/>
  <c r="G324"/>
  <c r="F324"/>
  <c r="E324"/>
  <c r="D324"/>
  <c r="C324"/>
  <c r="B324"/>
  <c r="A324"/>
  <c r="K323"/>
  <c r="J323"/>
  <c r="I323"/>
  <c r="H323"/>
  <c r="G323"/>
  <c r="F323"/>
  <c r="E323"/>
  <c r="D323"/>
  <c r="C323"/>
  <c r="B323"/>
  <c r="A323"/>
  <c r="K322"/>
  <c r="J322"/>
  <c r="I322"/>
  <c r="H322"/>
  <c r="G322"/>
  <c r="F322"/>
  <c r="E322"/>
  <c r="D322"/>
  <c r="C322"/>
  <c r="B322"/>
  <c r="A322"/>
  <c r="K321"/>
  <c r="J321"/>
  <c r="I321"/>
  <c r="H321"/>
  <c r="G321"/>
  <c r="F321"/>
  <c r="E321"/>
  <c r="D321"/>
  <c r="C321"/>
  <c r="B321"/>
  <c r="A321"/>
  <c r="K320"/>
  <c r="J320"/>
  <c r="I320"/>
  <c r="H320"/>
  <c r="G320"/>
  <c r="F320"/>
  <c r="E320"/>
  <c r="D320"/>
  <c r="C320"/>
  <c r="B320"/>
  <c r="A320"/>
  <c r="K319"/>
  <c r="J319"/>
  <c r="I319"/>
  <c r="H319"/>
  <c r="G319"/>
  <c r="F319"/>
  <c r="E319"/>
  <c r="D319"/>
  <c r="C319"/>
  <c r="B319"/>
  <c r="A319"/>
  <c r="K318"/>
  <c r="J318"/>
  <c r="I318"/>
  <c r="H318"/>
  <c r="G318"/>
  <c r="F318"/>
  <c r="E318"/>
  <c r="D318"/>
  <c r="C318"/>
  <c r="B318"/>
  <c r="A318"/>
  <c r="K317"/>
  <c r="J317"/>
  <c r="I317"/>
  <c r="H317"/>
  <c r="G317"/>
  <c r="F317"/>
  <c r="E317"/>
  <c r="D317"/>
  <c r="C317"/>
  <c r="B317"/>
  <c r="A317"/>
  <c r="K316"/>
  <c r="J316"/>
  <c r="I316"/>
  <c r="H316"/>
  <c r="G316"/>
  <c r="F316"/>
  <c r="E316"/>
  <c r="D316"/>
  <c r="C316"/>
  <c r="B316"/>
  <c r="A316"/>
  <c r="K315"/>
  <c r="J315"/>
  <c r="I315"/>
  <c r="H315"/>
  <c r="G315"/>
  <c r="F315"/>
  <c r="E315"/>
  <c r="D315"/>
  <c r="C315"/>
  <c r="B315"/>
  <c r="A315"/>
  <c r="K314"/>
  <c r="J314"/>
  <c r="I314"/>
  <c r="H314"/>
  <c r="G314"/>
  <c r="F314"/>
  <c r="E314"/>
  <c r="D314"/>
  <c r="C314"/>
  <c r="B314"/>
  <c r="A314"/>
  <c r="K313"/>
  <c r="J313"/>
  <c r="I313"/>
  <c r="H313"/>
  <c r="G313"/>
  <c r="F313"/>
  <c r="E313"/>
  <c r="D313"/>
  <c r="C313"/>
  <c r="B313"/>
  <c r="A313"/>
  <c r="K312"/>
  <c r="J312"/>
  <c r="I312"/>
  <c r="H312"/>
  <c r="G312"/>
  <c r="F312"/>
  <c r="E312"/>
  <c r="D312"/>
  <c r="C312"/>
  <c r="B312"/>
  <c r="A312"/>
  <c r="K311"/>
  <c r="J311"/>
  <c r="I311"/>
  <c r="H311"/>
  <c r="G311"/>
  <c r="F311"/>
  <c r="E311"/>
  <c r="D311"/>
  <c r="C311"/>
  <c r="B311"/>
  <c r="A311"/>
  <c r="K310"/>
  <c r="J310"/>
  <c r="I310"/>
  <c r="H310"/>
  <c r="G310"/>
  <c r="F310"/>
  <c r="E310"/>
  <c r="D310"/>
  <c r="C310"/>
  <c r="B310"/>
  <c r="A310"/>
  <c r="K309"/>
  <c r="J309"/>
  <c r="I309"/>
  <c r="H309"/>
  <c r="G309"/>
  <c r="F309"/>
  <c r="E309"/>
  <c r="D309"/>
  <c r="C309"/>
  <c r="B309"/>
  <c r="A309"/>
  <c r="K308"/>
  <c r="J308"/>
  <c r="I308"/>
  <c r="H308"/>
  <c r="G308"/>
  <c r="F308"/>
  <c r="E308"/>
  <c r="D308"/>
  <c r="C308"/>
  <c r="B308"/>
  <c r="A308"/>
  <c r="K307"/>
  <c r="J307"/>
  <c r="I307"/>
  <c r="H307"/>
  <c r="G307"/>
  <c r="F307"/>
  <c r="E307"/>
  <c r="D307"/>
  <c r="C307"/>
  <c r="B307"/>
  <c r="A307"/>
  <c r="K306"/>
  <c r="J306"/>
  <c r="I306"/>
  <c r="H306"/>
  <c r="G306"/>
  <c r="F306"/>
  <c r="E306"/>
  <c r="D306"/>
  <c r="C306"/>
  <c r="B306"/>
  <c r="A306"/>
  <c r="K305"/>
  <c r="J305"/>
  <c r="I305"/>
  <c r="H305"/>
  <c r="G305"/>
  <c r="F305"/>
  <c r="E305"/>
  <c r="D305"/>
  <c r="C305"/>
  <c r="B305"/>
  <c r="A305"/>
  <c r="K304"/>
  <c r="J304"/>
  <c r="I304"/>
  <c r="H304"/>
  <c r="G304"/>
  <c r="F304"/>
  <c r="E304"/>
  <c r="D304"/>
  <c r="C304"/>
  <c r="B304"/>
  <c r="A304"/>
  <c r="K303"/>
  <c r="J303"/>
  <c r="I303"/>
  <c r="H303"/>
  <c r="G303"/>
  <c r="F303"/>
  <c r="E303"/>
  <c r="D303"/>
  <c r="C303"/>
  <c r="B303"/>
  <c r="A303"/>
  <c r="K302"/>
  <c r="J302"/>
  <c r="I302"/>
  <c r="H302"/>
  <c r="G302"/>
  <c r="F302"/>
  <c r="E302"/>
  <c r="D302"/>
  <c r="C302"/>
  <c r="B302"/>
  <c r="A302"/>
  <c r="K301"/>
  <c r="J301"/>
  <c r="I301"/>
  <c r="H301"/>
  <c r="G301"/>
  <c r="F301"/>
  <c r="E301"/>
  <c r="D301"/>
  <c r="C301"/>
  <c r="B301"/>
  <c r="A301"/>
  <c r="K300"/>
  <c r="J300"/>
  <c r="I300"/>
  <c r="H300"/>
  <c r="G300"/>
  <c r="F300"/>
  <c r="E300"/>
  <c r="D300"/>
  <c r="C300"/>
  <c r="B300"/>
  <c r="A300"/>
  <c r="K299"/>
  <c r="J299"/>
  <c r="I299"/>
  <c r="H299"/>
  <c r="G299"/>
  <c r="F299"/>
  <c r="E299"/>
  <c r="D299"/>
  <c r="C299"/>
  <c r="B299"/>
  <c r="A299"/>
  <c r="K298"/>
  <c r="J298"/>
  <c r="I298"/>
  <c r="H298"/>
  <c r="G298"/>
  <c r="F298"/>
  <c r="E298"/>
  <c r="D298"/>
  <c r="C298"/>
  <c r="B298"/>
  <c r="A298"/>
  <c r="K297"/>
  <c r="J297"/>
  <c r="I297"/>
  <c r="H297"/>
  <c r="G297"/>
  <c r="F297"/>
  <c r="E297"/>
  <c r="D297"/>
  <c r="C297"/>
  <c r="B297"/>
  <c r="A297"/>
  <c r="K296"/>
  <c r="J296"/>
  <c r="I296"/>
  <c r="H296"/>
  <c r="G296"/>
  <c r="F296"/>
  <c r="E296"/>
  <c r="D296"/>
  <c r="C296"/>
  <c r="B296"/>
  <c r="A296"/>
  <c r="K295"/>
  <c r="J295"/>
  <c r="I295"/>
  <c r="H295"/>
  <c r="G295"/>
  <c r="F295"/>
  <c r="E295"/>
  <c r="D295"/>
  <c r="C295"/>
  <c r="B295"/>
  <c r="A295"/>
  <c r="K294"/>
  <c r="J294"/>
  <c r="I294"/>
  <c r="H294"/>
  <c r="G294"/>
  <c r="F294"/>
  <c r="E294"/>
  <c r="D294"/>
  <c r="C294"/>
  <c r="B294"/>
  <c r="A294"/>
  <c r="K293"/>
  <c r="J293"/>
  <c r="I293"/>
  <c r="H293"/>
  <c r="G293"/>
  <c r="F293"/>
  <c r="E293"/>
  <c r="D293"/>
  <c r="C293"/>
  <c r="B293"/>
  <c r="A293"/>
  <c r="K292"/>
  <c r="J292"/>
  <c r="I292"/>
  <c r="H292"/>
  <c r="G292"/>
  <c r="F292"/>
  <c r="E292"/>
  <c r="D292"/>
  <c r="C292"/>
  <c r="B292"/>
  <c r="A292"/>
  <c r="K291"/>
  <c r="J291"/>
  <c r="I291"/>
  <c r="H291"/>
  <c r="G291"/>
  <c r="F291"/>
  <c r="E291"/>
  <c r="D291"/>
  <c r="C291"/>
  <c r="B291"/>
  <c r="A291"/>
  <c r="K290"/>
  <c r="J290"/>
  <c r="I290"/>
  <c r="H290"/>
  <c r="G290"/>
  <c r="F290"/>
  <c r="E290"/>
  <c r="D290"/>
  <c r="C290"/>
  <c r="B290"/>
  <c r="A290"/>
  <c r="K289"/>
  <c r="J289"/>
  <c r="I289"/>
  <c r="H289"/>
  <c r="G289"/>
  <c r="F289"/>
  <c r="E289"/>
  <c r="D289"/>
  <c r="C289"/>
  <c r="B289"/>
  <c r="A289"/>
  <c r="K288"/>
  <c r="J288"/>
  <c r="I288"/>
  <c r="H288"/>
  <c r="G288"/>
  <c r="F288"/>
  <c r="E288"/>
  <c r="D288"/>
  <c r="C288"/>
  <c r="B288"/>
  <c r="A288"/>
  <c r="K287"/>
  <c r="J287"/>
  <c r="I287"/>
  <c r="H287"/>
  <c r="G287"/>
  <c r="F287"/>
  <c r="E287"/>
  <c r="D287"/>
  <c r="C287"/>
  <c r="B287"/>
  <c r="A287"/>
  <c r="K286"/>
  <c r="J286"/>
  <c r="I286"/>
  <c r="H286"/>
  <c r="G286"/>
  <c r="F286"/>
  <c r="E286"/>
  <c r="D286"/>
  <c r="C286"/>
  <c r="B286"/>
  <c r="A286"/>
  <c r="K285"/>
  <c r="J285"/>
  <c r="I285"/>
  <c r="H285"/>
  <c r="G285"/>
  <c r="F285"/>
  <c r="E285"/>
  <c r="D285"/>
  <c r="C285"/>
  <c r="B285"/>
  <c r="A285"/>
  <c r="K284"/>
  <c r="J284"/>
  <c r="I284"/>
  <c r="H284"/>
  <c r="G284"/>
  <c r="F284"/>
  <c r="E284"/>
  <c r="D284"/>
  <c r="C284"/>
  <c r="B284"/>
  <c r="A284"/>
  <c r="K283"/>
  <c r="J283"/>
  <c r="I283"/>
  <c r="H283"/>
  <c r="G283"/>
  <c r="F283"/>
  <c r="E283"/>
  <c r="D283"/>
  <c r="C283"/>
  <c r="B283"/>
  <c r="A283"/>
  <c r="K282"/>
  <c r="J282"/>
  <c r="I282"/>
  <c r="H282"/>
  <c r="G282"/>
  <c r="F282"/>
  <c r="E282"/>
  <c r="D282"/>
  <c r="C282"/>
  <c r="B282"/>
  <c r="A282"/>
  <c r="K281"/>
  <c r="J281"/>
  <c r="I281"/>
  <c r="H281"/>
  <c r="G281"/>
  <c r="F281"/>
  <c r="E281"/>
  <c r="D281"/>
  <c r="C281"/>
  <c r="B281"/>
  <c r="A281"/>
  <c r="K280"/>
  <c r="J280"/>
  <c r="I280"/>
  <c r="H280"/>
  <c r="G280"/>
  <c r="F280"/>
  <c r="E280"/>
  <c r="D280"/>
  <c r="C280"/>
  <c r="B280"/>
  <c r="A280"/>
  <c r="K279"/>
  <c r="J279"/>
  <c r="I279"/>
  <c r="H279"/>
  <c r="G279"/>
  <c r="F279"/>
  <c r="E279"/>
  <c r="D279"/>
  <c r="C279"/>
  <c r="B279"/>
  <c r="A279"/>
  <c r="K278"/>
  <c r="J278"/>
  <c r="I278"/>
  <c r="H278"/>
  <c r="G278"/>
  <c r="F278"/>
  <c r="E278"/>
  <c r="D278"/>
  <c r="C278"/>
  <c r="B278"/>
  <c r="A278"/>
  <c r="K277"/>
  <c r="J277"/>
  <c r="I277"/>
  <c r="H277"/>
  <c r="G277"/>
  <c r="F277"/>
  <c r="E277"/>
  <c r="D277"/>
  <c r="C277"/>
  <c r="B277"/>
  <c r="A277"/>
  <c r="K276"/>
  <c r="J276"/>
  <c r="I276"/>
  <c r="H276"/>
  <c r="G276"/>
  <c r="F276"/>
  <c r="E276"/>
  <c r="D276"/>
  <c r="C276"/>
  <c r="B276"/>
  <c r="A276"/>
  <c r="K275"/>
  <c r="J275"/>
  <c r="I275"/>
  <c r="H275"/>
  <c r="G275"/>
  <c r="F275"/>
  <c r="E275"/>
  <c r="D275"/>
  <c r="C275"/>
  <c r="B275"/>
  <c r="A275"/>
  <c r="K274"/>
  <c r="J274"/>
  <c r="I274"/>
  <c r="H274"/>
  <c r="G274"/>
  <c r="F274"/>
  <c r="E274"/>
  <c r="D274"/>
  <c r="C274"/>
  <c r="B274"/>
  <c r="A274"/>
  <c r="K273"/>
  <c r="J273"/>
  <c r="I273"/>
  <c r="H273"/>
  <c r="G273"/>
  <c r="F273"/>
  <c r="E273"/>
  <c r="D273"/>
  <c r="C273"/>
  <c r="B273"/>
  <c r="A273"/>
  <c r="K272"/>
  <c r="J272"/>
  <c r="I272"/>
  <c r="H272"/>
  <c r="G272"/>
  <c r="F272"/>
  <c r="E272"/>
  <c r="D272"/>
  <c r="C272"/>
  <c r="B272"/>
  <c r="A272"/>
  <c r="K271"/>
  <c r="J271"/>
  <c r="I271"/>
  <c r="H271"/>
  <c r="G271"/>
  <c r="F271"/>
  <c r="E271"/>
  <c r="D271"/>
  <c r="C271"/>
  <c r="B271"/>
  <c r="A271"/>
  <c r="K270"/>
  <c r="J270"/>
  <c r="I270"/>
  <c r="H270"/>
  <c r="G270"/>
  <c r="F270"/>
  <c r="E270"/>
  <c r="D270"/>
  <c r="C270"/>
  <c r="B270"/>
  <c r="A270"/>
  <c r="K269"/>
  <c r="J269"/>
  <c r="I269"/>
  <c r="H269"/>
  <c r="G269"/>
  <c r="F269"/>
  <c r="E269"/>
  <c r="D269"/>
  <c r="C269"/>
  <c r="B269"/>
  <c r="A269"/>
  <c r="K268"/>
  <c r="J268"/>
  <c r="I268"/>
  <c r="H268"/>
  <c r="G268"/>
  <c r="F268"/>
  <c r="E268"/>
  <c r="D268"/>
  <c r="C268"/>
  <c r="B268"/>
  <c r="A268"/>
  <c r="K267"/>
  <c r="J267"/>
  <c r="I267"/>
  <c r="H267"/>
  <c r="G267"/>
  <c r="F267"/>
  <c r="E267"/>
  <c r="D267"/>
  <c r="C267"/>
  <c r="B267"/>
  <c r="A267"/>
  <c r="K266"/>
  <c r="J266"/>
  <c r="I266"/>
  <c r="H266"/>
  <c r="G266"/>
  <c r="F266"/>
  <c r="E266"/>
  <c r="D266"/>
  <c r="C266"/>
  <c r="B266"/>
  <c r="A266"/>
  <c r="K265"/>
  <c r="J265"/>
  <c r="I265"/>
  <c r="H265"/>
  <c r="G265"/>
  <c r="F265"/>
  <c r="E265"/>
  <c r="D265"/>
  <c r="C265"/>
  <c r="B265"/>
  <c r="A265"/>
  <c r="K264"/>
  <c r="J264"/>
  <c r="I264"/>
  <c r="H264"/>
  <c r="G264"/>
  <c r="F264"/>
  <c r="E264"/>
  <c r="D264"/>
  <c r="C264"/>
  <c r="B264"/>
  <c r="A264"/>
  <c r="K263"/>
  <c r="J263"/>
  <c r="I263"/>
  <c r="H263"/>
  <c r="G263"/>
  <c r="F263"/>
  <c r="E263"/>
  <c r="D263"/>
  <c r="C263"/>
  <c r="B263"/>
  <c r="A263"/>
  <c r="K262"/>
  <c r="J262"/>
  <c r="I262"/>
  <c r="H262"/>
  <c r="G262"/>
  <c r="F262"/>
  <c r="E262"/>
  <c r="D262"/>
  <c r="C262"/>
  <c r="B262"/>
  <c r="A262"/>
  <c r="K261"/>
  <c r="J261"/>
  <c r="I261"/>
  <c r="H261"/>
  <c r="G261"/>
  <c r="F261"/>
  <c r="E261"/>
  <c r="D261"/>
  <c r="C261"/>
  <c r="B261"/>
  <c r="A261"/>
  <c r="K260"/>
  <c r="J260"/>
  <c r="I260"/>
  <c r="H260"/>
  <c r="G260"/>
  <c r="F260"/>
  <c r="E260"/>
  <c r="D260"/>
  <c r="C260"/>
  <c r="B260"/>
  <c r="A260"/>
  <c r="K259"/>
  <c r="J259"/>
  <c r="I259"/>
  <c r="H259"/>
  <c r="G259"/>
  <c r="F259"/>
  <c r="E259"/>
  <c r="D259"/>
  <c r="C259"/>
  <c r="B259"/>
  <c r="A259"/>
  <c r="K258"/>
  <c r="J258"/>
  <c r="I258"/>
  <c r="H258"/>
  <c r="G258"/>
  <c r="F258"/>
  <c r="E258"/>
  <c r="D258"/>
  <c r="C258"/>
  <c r="B258"/>
  <c r="A258"/>
  <c r="K257"/>
  <c r="J257"/>
  <c r="I257"/>
  <c r="H257"/>
  <c r="G257"/>
  <c r="F257"/>
  <c r="E257"/>
  <c r="D257"/>
  <c r="C257"/>
  <c r="B257"/>
  <c r="A257"/>
  <c r="K256"/>
  <c r="J256"/>
  <c r="I256"/>
  <c r="H256"/>
  <c r="G256"/>
  <c r="F256"/>
  <c r="E256"/>
  <c r="D256"/>
  <c r="C256"/>
  <c r="B256"/>
  <c r="A256"/>
  <c r="K255"/>
  <c r="J255"/>
  <c r="I255"/>
  <c r="H255"/>
  <c r="G255"/>
  <c r="F255"/>
  <c r="E255"/>
  <c r="D255"/>
  <c r="C255"/>
  <c r="B255"/>
  <c r="A255"/>
  <c r="K254"/>
  <c r="J254"/>
  <c r="I254"/>
  <c r="H254"/>
  <c r="G254"/>
  <c r="F254"/>
  <c r="E254"/>
  <c r="D254"/>
  <c r="C254"/>
  <c r="B254"/>
  <c r="A254"/>
  <c r="K253"/>
  <c r="J253"/>
  <c r="I253"/>
  <c r="H253"/>
  <c r="G253"/>
  <c r="F253"/>
  <c r="E253"/>
  <c r="D253"/>
  <c r="C253"/>
  <c r="B253"/>
  <c r="A253"/>
  <c r="K252"/>
  <c r="J252"/>
  <c r="I252"/>
  <c r="H252"/>
  <c r="G252"/>
  <c r="F252"/>
  <c r="E252"/>
  <c r="D252"/>
  <c r="C252"/>
  <c r="B252"/>
  <c r="A252"/>
  <c r="K251"/>
  <c r="J251"/>
  <c r="I251"/>
  <c r="H251"/>
  <c r="G251"/>
  <c r="F251"/>
  <c r="E251"/>
  <c r="D251"/>
  <c r="C251"/>
  <c r="B251"/>
  <c r="A251"/>
  <c r="K250"/>
  <c r="J250"/>
  <c r="I250"/>
  <c r="H250"/>
  <c r="G250"/>
  <c r="F250"/>
  <c r="E250"/>
  <c r="D250"/>
  <c r="C250"/>
  <c r="B250"/>
  <c r="A250"/>
  <c r="K249"/>
  <c r="J249"/>
  <c r="I249"/>
  <c r="H249"/>
  <c r="G249"/>
  <c r="F249"/>
  <c r="E249"/>
  <c r="D249"/>
  <c r="C249"/>
  <c r="B249"/>
  <c r="A249"/>
  <c r="K248"/>
  <c r="J248"/>
  <c r="I248"/>
  <c r="H248"/>
  <c r="G248"/>
  <c r="F248"/>
  <c r="E248"/>
  <c r="D248"/>
  <c r="C248"/>
  <c r="B248"/>
  <c r="A248"/>
  <c r="K247"/>
  <c r="J247"/>
  <c r="I247"/>
  <c r="H247"/>
  <c r="G247"/>
  <c r="F247"/>
  <c r="E247"/>
  <c r="D247"/>
  <c r="C247"/>
  <c r="B247"/>
  <c r="A247"/>
  <c r="K246"/>
  <c r="J246"/>
  <c r="I246"/>
  <c r="H246"/>
  <c r="G246"/>
  <c r="F246"/>
  <c r="E246"/>
  <c r="D246"/>
  <c r="C246"/>
  <c r="B246"/>
  <c r="A246"/>
  <c r="K245"/>
  <c r="J245"/>
  <c r="I245"/>
  <c r="H245"/>
  <c r="G245"/>
  <c r="F245"/>
  <c r="E245"/>
  <c r="D245"/>
  <c r="C245"/>
  <c r="B245"/>
  <c r="A245"/>
  <c r="K244"/>
  <c r="J244"/>
  <c r="I244"/>
  <c r="H244"/>
  <c r="G244"/>
  <c r="F244"/>
  <c r="E244"/>
  <c r="D244"/>
  <c r="C244"/>
  <c r="B244"/>
  <c r="A244"/>
  <c r="K243"/>
  <c r="J243"/>
  <c r="I243"/>
  <c r="H243"/>
  <c r="G243"/>
  <c r="F243"/>
  <c r="E243"/>
  <c r="D243"/>
  <c r="C243"/>
  <c r="B243"/>
  <c r="A243"/>
  <c r="K242"/>
  <c r="J242"/>
  <c r="I242"/>
  <c r="H242"/>
  <c r="G242"/>
  <c r="F242"/>
  <c r="E242"/>
  <c r="D242"/>
  <c r="C242"/>
  <c r="B242"/>
  <c r="A242"/>
  <c r="K241"/>
  <c r="J241"/>
  <c r="I241"/>
  <c r="H241"/>
  <c r="G241"/>
  <c r="F241"/>
  <c r="E241"/>
  <c r="D241"/>
  <c r="C241"/>
  <c r="B241"/>
  <c r="A241"/>
  <c r="K240"/>
  <c r="J240"/>
  <c r="I240"/>
  <c r="H240"/>
  <c r="G240"/>
  <c r="F240"/>
  <c r="E240"/>
  <c r="D240"/>
  <c r="C240"/>
  <c r="B240"/>
  <c r="A240"/>
  <c r="K239"/>
  <c r="J239"/>
  <c r="I239"/>
  <c r="H239"/>
  <c r="G239"/>
  <c r="F239"/>
  <c r="E239"/>
  <c r="D239"/>
  <c r="C239"/>
  <c r="B239"/>
  <c r="A239"/>
  <c r="K238"/>
  <c r="J238"/>
  <c r="I238"/>
  <c r="H238"/>
  <c r="G238"/>
  <c r="F238"/>
  <c r="E238"/>
  <c r="D238"/>
  <c r="C238"/>
  <c r="B238"/>
  <c r="A238"/>
  <c r="K237"/>
  <c r="J237"/>
  <c r="I237"/>
  <c r="H237"/>
  <c r="G237"/>
  <c r="F237"/>
  <c r="E237"/>
  <c r="D237"/>
  <c r="C237"/>
  <c r="B237"/>
  <c r="A237"/>
  <c r="K236"/>
  <c r="J236"/>
  <c r="I236"/>
  <c r="H236"/>
  <c r="G236"/>
  <c r="F236"/>
  <c r="E236"/>
  <c r="D236"/>
  <c r="C236"/>
  <c r="B236"/>
  <c r="A236"/>
  <c r="K235"/>
  <c r="J235"/>
  <c r="I235"/>
  <c r="H235"/>
  <c r="G235"/>
  <c r="F235"/>
  <c r="E235"/>
  <c r="D235"/>
  <c r="C235"/>
  <c r="B235"/>
  <c r="A235"/>
  <c r="K234"/>
  <c r="J234"/>
  <c r="I234"/>
  <c r="H234"/>
  <c r="G234"/>
  <c r="F234"/>
  <c r="E234"/>
  <c r="D234"/>
  <c r="C234"/>
  <c r="B234"/>
  <c r="A234"/>
  <c r="K233"/>
  <c r="J233"/>
  <c r="I233"/>
  <c r="H233"/>
  <c r="G233"/>
  <c r="F233"/>
  <c r="E233"/>
  <c r="D233"/>
  <c r="C233"/>
  <c r="B233"/>
  <c r="A233"/>
  <c r="K232"/>
  <c r="J232"/>
  <c r="I232"/>
  <c r="H232"/>
  <c r="G232"/>
  <c r="F232"/>
  <c r="E232"/>
  <c r="D232"/>
  <c r="C232"/>
  <c r="B232"/>
  <c r="A232"/>
  <c r="K231"/>
  <c r="J231"/>
  <c r="I231"/>
  <c r="H231"/>
  <c r="G231"/>
  <c r="F231"/>
  <c r="E231"/>
  <c r="D231"/>
  <c r="C231"/>
  <c r="B231"/>
  <c r="A231"/>
  <c r="K230"/>
  <c r="J230"/>
  <c r="I230"/>
  <c r="H230"/>
  <c r="G230"/>
  <c r="F230"/>
  <c r="E230"/>
  <c r="D230"/>
  <c r="C230"/>
  <c r="B230"/>
  <c r="A230"/>
  <c r="K229"/>
  <c r="J229"/>
  <c r="I229"/>
  <c r="H229"/>
  <c r="G229"/>
  <c r="F229"/>
  <c r="E229"/>
  <c r="D229"/>
  <c r="C229"/>
  <c r="B229"/>
  <c r="A229"/>
  <c r="K228"/>
  <c r="J228"/>
  <c r="I228"/>
  <c r="H228"/>
  <c r="G228"/>
  <c r="F228"/>
  <c r="E228"/>
  <c r="D228"/>
  <c r="C228"/>
  <c r="B228"/>
  <c r="A228"/>
  <c r="K227"/>
  <c r="J227"/>
  <c r="I227"/>
  <c r="H227"/>
  <c r="G227"/>
  <c r="F227"/>
  <c r="E227"/>
  <c r="D227"/>
  <c r="C227"/>
  <c r="B227"/>
  <c r="A227"/>
  <c r="K226"/>
  <c r="J226"/>
  <c r="I226"/>
  <c r="H226"/>
  <c r="G226"/>
  <c r="F226"/>
  <c r="E226"/>
  <c r="D226"/>
  <c r="C226"/>
  <c r="B226"/>
  <c r="A226"/>
  <c r="K225"/>
  <c r="J225"/>
  <c r="I225"/>
  <c r="H225"/>
  <c r="G225"/>
  <c r="F225"/>
  <c r="E225"/>
  <c r="D225"/>
  <c r="C225"/>
  <c r="B225"/>
  <c r="A225"/>
  <c r="K224"/>
  <c r="J224"/>
  <c r="I224"/>
  <c r="H224"/>
  <c r="G224"/>
  <c r="F224"/>
  <c r="E224"/>
  <c r="D224"/>
  <c r="C224"/>
  <c r="B224"/>
  <c r="A224"/>
  <c r="K223"/>
  <c r="J223"/>
  <c r="I223"/>
  <c r="H223"/>
  <c r="G223"/>
  <c r="F223"/>
  <c r="E223"/>
  <c r="D223"/>
  <c r="C223"/>
  <c r="B223"/>
  <c r="A223"/>
  <c r="K222"/>
  <c r="J222"/>
  <c r="I222"/>
  <c r="H222"/>
  <c r="G222"/>
  <c r="F222"/>
  <c r="E222"/>
  <c r="D222"/>
  <c r="C222"/>
  <c r="B222"/>
  <c r="A222"/>
  <c r="K221"/>
  <c r="J221"/>
  <c r="I221"/>
  <c r="H221"/>
  <c r="G221"/>
  <c r="F221"/>
  <c r="E221"/>
  <c r="D221"/>
  <c r="C221"/>
  <c r="B221"/>
  <c r="A221"/>
  <c r="K220"/>
  <c r="J220"/>
  <c r="I220"/>
  <c r="H220"/>
  <c r="G220"/>
  <c r="F220"/>
  <c r="E220"/>
  <c r="D220"/>
  <c r="C220"/>
  <c r="B220"/>
  <c r="A220"/>
  <c r="K219"/>
  <c r="J219"/>
  <c r="I219"/>
  <c r="H219"/>
  <c r="G219"/>
  <c r="F219"/>
  <c r="E219"/>
  <c r="D219"/>
  <c r="C219"/>
  <c r="B219"/>
  <c r="A219"/>
  <c r="K218"/>
  <c r="J218"/>
  <c r="I218"/>
  <c r="H218"/>
  <c r="G218"/>
  <c r="F218"/>
  <c r="E218"/>
  <c r="D218"/>
  <c r="C218"/>
  <c r="B218"/>
  <c r="A218"/>
  <c r="K217"/>
  <c r="J217"/>
  <c r="I217"/>
  <c r="H217"/>
  <c r="G217"/>
  <c r="F217"/>
  <c r="E217"/>
  <c r="D217"/>
  <c r="C217"/>
  <c r="B217"/>
  <c r="A217"/>
  <c r="K216"/>
  <c r="J216"/>
  <c r="I216"/>
  <c r="H216"/>
  <c r="G216"/>
  <c r="F216"/>
  <c r="E216"/>
  <c r="D216"/>
  <c r="C216"/>
  <c r="B216"/>
  <c r="A216"/>
  <c r="K215"/>
  <c r="J215"/>
  <c r="I215"/>
  <c r="H215"/>
  <c r="G215"/>
  <c r="F215"/>
  <c r="E215"/>
  <c r="D215"/>
  <c r="C215"/>
  <c r="B215"/>
  <c r="A215"/>
  <c r="K214"/>
  <c r="J214"/>
  <c r="I214"/>
  <c r="H214"/>
  <c r="G214"/>
  <c r="F214"/>
  <c r="E214"/>
  <c r="D214"/>
  <c r="C214"/>
  <c r="B214"/>
  <c r="A214"/>
  <c r="K213"/>
  <c r="J213"/>
  <c r="I213"/>
  <c r="H213"/>
  <c r="G213"/>
  <c r="F213"/>
  <c r="E213"/>
  <c r="D213"/>
  <c r="C213"/>
  <c r="B213"/>
  <c r="A213"/>
  <c r="K212"/>
  <c r="J212"/>
  <c r="I212"/>
  <c r="H212"/>
  <c r="G212"/>
  <c r="F212"/>
  <c r="E212"/>
  <c r="D212"/>
  <c r="C212"/>
  <c r="B212"/>
  <c r="A212"/>
  <c r="K211"/>
  <c r="J211"/>
  <c r="I211"/>
  <c r="H211"/>
  <c r="G211"/>
  <c r="F211"/>
  <c r="E211"/>
  <c r="D211"/>
  <c r="C211"/>
  <c r="B211"/>
  <c r="A211"/>
  <c r="K210"/>
  <c r="J210"/>
  <c r="I210"/>
  <c r="H210"/>
  <c r="G210"/>
  <c r="F210"/>
  <c r="E210"/>
  <c r="D210"/>
  <c r="C210"/>
  <c r="B210"/>
  <c r="A210"/>
  <c r="K209"/>
  <c r="J209"/>
  <c r="I209"/>
  <c r="H209"/>
  <c r="G209"/>
  <c r="F209"/>
  <c r="E209"/>
  <c r="D209"/>
  <c r="C209"/>
  <c r="B209"/>
  <c r="A209"/>
  <c r="K208"/>
  <c r="J208"/>
  <c r="I208"/>
  <c r="H208"/>
  <c r="G208"/>
  <c r="F208"/>
  <c r="E208"/>
  <c r="D208"/>
  <c r="C208"/>
  <c r="B208"/>
  <c r="A208"/>
  <c r="K207"/>
  <c r="J207"/>
  <c r="I207"/>
  <c r="H207"/>
  <c r="G207"/>
  <c r="F207"/>
  <c r="E207"/>
  <c r="D207"/>
  <c r="C207"/>
  <c r="B207"/>
  <c r="A207"/>
  <c r="K206"/>
  <c r="J206"/>
  <c r="I206"/>
  <c r="H206"/>
  <c r="G206"/>
  <c r="F206"/>
  <c r="E206"/>
  <c r="D206"/>
  <c r="C206"/>
  <c r="B206"/>
  <c r="A206"/>
  <c r="K205"/>
  <c r="J205"/>
  <c r="I205"/>
  <c r="H205"/>
  <c r="G205"/>
  <c r="F205"/>
  <c r="E205"/>
  <c r="D205"/>
  <c r="C205"/>
  <c r="B205"/>
  <c r="A205"/>
  <c r="K204"/>
  <c r="J204"/>
  <c r="I204"/>
  <c r="H204"/>
  <c r="G204"/>
  <c r="F204"/>
  <c r="E204"/>
  <c r="D204"/>
  <c r="C204"/>
  <c r="B204"/>
  <c r="A204"/>
  <c r="K203"/>
  <c r="J203"/>
  <c r="I203"/>
  <c r="H203"/>
  <c r="G203"/>
  <c r="F203"/>
  <c r="E203"/>
  <c r="D203"/>
  <c r="C203"/>
  <c r="B203"/>
  <c r="A203"/>
  <c r="K202"/>
  <c r="J202"/>
  <c r="I202"/>
  <c r="H202"/>
  <c r="G202"/>
  <c r="F202"/>
  <c r="E202"/>
  <c r="D202"/>
  <c r="C202"/>
  <c r="B202"/>
  <c r="A202"/>
  <c r="K201"/>
  <c r="J201"/>
  <c r="I201"/>
  <c r="H201"/>
  <c r="G201"/>
  <c r="F201"/>
  <c r="E201"/>
  <c r="D201"/>
  <c r="C201"/>
  <c r="B201"/>
  <c r="A201"/>
  <c r="K200"/>
  <c r="J200"/>
  <c r="I200"/>
  <c r="H200"/>
  <c r="G200"/>
  <c r="F200"/>
  <c r="E200"/>
  <c r="D200"/>
  <c r="C200"/>
  <c r="B200"/>
  <c r="A200"/>
  <c r="K199"/>
  <c r="J199"/>
  <c r="I199"/>
  <c r="H199"/>
  <c r="G199"/>
  <c r="F199"/>
  <c r="E199"/>
  <c r="D199"/>
  <c r="C199"/>
  <c r="B199"/>
  <c r="A199"/>
  <c r="K198"/>
  <c r="J198"/>
  <c r="I198"/>
  <c r="H198"/>
  <c r="G198"/>
  <c r="F198"/>
  <c r="E198"/>
  <c r="D198"/>
  <c r="C198"/>
  <c r="B198"/>
  <c r="A198"/>
  <c r="K197"/>
  <c r="J197"/>
  <c r="I197"/>
  <c r="H197"/>
  <c r="G197"/>
  <c r="F197"/>
  <c r="E197"/>
  <c r="D197"/>
  <c r="C197"/>
  <c r="B197"/>
  <c r="A197"/>
  <c r="K196"/>
  <c r="J196"/>
  <c r="I196"/>
  <c r="H196"/>
  <c r="G196"/>
  <c r="F196"/>
  <c r="E196"/>
  <c r="D196"/>
  <c r="C196"/>
  <c r="B196"/>
  <c r="A196"/>
  <c r="K195"/>
  <c r="J195"/>
  <c r="I195"/>
  <c r="H195"/>
  <c r="G195"/>
  <c r="F195"/>
  <c r="E195"/>
  <c r="D195"/>
  <c r="C195"/>
  <c r="B195"/>
  <c r="A195"/>
  <c r="K194"/>
  <c r="J194"/>
  <c r="I194"/>
  <c r="H194"/>
  <c r="G194"/>
  <c r="F194"/>
  <c r="E194"/>
  <c r="D194"/>
  <c r="C194"/>
  <c r="B194"/>
  <c r="A194"/>
  <c r="K193"/>
  <c r="J193"/>
  <c r="I193"/>
  <c r="H193"/>
  <c r="G193"/>
  <c r="F193"/>
  <c r="E193"/>
  <c r="D193"/>
  <c r="C193"/>
  <c r="B193"/>
  <c r="A193"/>
  <c r="K192"/>
  <c r="J192"/>
  <c r="I192"/>
  <c r="H192"/>
  <c r="G192"/>
  <c r="F192"/>
  <c r="E192"/>
  <c r="D192"/>
  <c r="C192"/>
  <c r="B192"/>
  <c r="A192"/>
  <c r="K191"/>
  <c r="J191"/>
  <c r="I191"/>
  <c r="H191"/>
  <c r="G191"/>
  <c r="F191"/>
  <c r="E191"/>
  <c r="D191"/>
  <c r="C191"/>
  <c r="B191"/>
  <c r="A191"/>
  <c r="K190"/>
  <c r="J190"/>
  <c r="I190"/>
  <c r="H190"/>
  <c r="G190"/>
  <c r="F190"/>
  <c r="E190"/>
  <c r="D190"/>
  <c r="C190"/>
  <c r="B190"/>
  <c r="A190"/>
  <c r="K189"/>
  <c r="J189"/>
  <c r="I189"/>
  <c r="H189"/>
  <c r="G189"/>
  <c r="F189"/>
  <c r="E189"/>
  <c r="D189"/>
  <c r="C189"/>
  <c r="B189"/>
  <c r="A189"/>
  <c r="K188"/>
  <c r="J188"/>
  <c r="I188"/>
  <c r="H188"/>
  <c r="G188"/>
  <c r="F188"/>
  <c r="E188"/>
  <c r="D188"/>
  <c r="C188"/>
  <c r="B188"/>
  <c r="A188"/>
  <c r="K187"/>
  <c r="J187"/>
  <c r="I187"/>
  <c r="H187"/>
  <c r="G187"/>
  <c r="F187"/>
  <c r="E187"/>
  <c r="D187"/>
  <c r="C187"/>
  <c r="B187"/>
  <c r="A187"/>
  <c r="K186"/>
  <c r="J186"/>
  <c r="I186"/>
  <c r="H186"/>
  <c r="G186"/>
  <c r="F186"/>
  <c r="E186"/>
  <c r="D186"/>
  <c r="C186"/>
  <c r="B186"/>
  <c r="A186"/>
  <c r="K185"/>
  <c r="J185"/>
  <c r="I185"/>
  <c r="H185"/>
  <c r="G185"/>
  <c r="F185"/>
  <c r="E185"/>
  <c r="D185"/>
  <c r="C185"/>
  <c r="B185"/>
  <c r="A185"/>
  <c r="K184"/>
  <c r="J184"/>
  <c r="I184"/>
  <c r="H184"/>
  <c r="G184"/>
  <c r="F184"/>
  <c r="E184"/>
  <c r="D184"/>
  <c r="C184"/>
  <c r="B184"/>
  <c r="A184"/>
  <c r="K183"/>
  <c r="J183"/>
  <c r="I183"/>
  <c r="H183"/>
  <c r="G183"/>
  <c r="F183"/>
  <c r="E183"/>
  <c r="D183"/>
  <c r="C183"/>
  <c r="B183"/>
  <c r="A183"/>
  <c r="K182"/>
  <c r="J182"/>
  <c r="I182"/>
  <c r="H182"/>
  <c r="G182"/>
  <c r="F182"/>
  <c r="E182"/>
  <c r="D182"/>
  <c r="C182"/>
  <c r="B182"/>
  <c r="A182"/>
  <c r="K181"/>
  <c r="J181"/>
  <c r="I181"/>
  <c r="H181"/>
  <c r="G181"/>
  <c r="F181"/>
  <c r="E181"/>
  <c r="D181"/>
  <c r="C181"/>
  <c r="B181"/>
  <c r="A181"/>
  <c r="K180"/>
  <c r="J180"/>
  <c r="I180"/>
  <c r="H180"/>
  <c r="G180"/>
  <c r="F180"/>
  <c r="E180"/>
  <c r="D180"/>
  <c r="C180"/>
  <c r="B180"/>
  <c r="A180"/>
  <c r="K179"/>
  <c r="J179"/>
  <c r="I179"/>
  <c r="H179"/>
  <c r="G179"/>
  <c r="F179"/>
  <c r="E179"/>
  <c r="D179"/>
  <c r="C179"/>
  <c r="B179"/>
  <c r="A179"/>
  <c r="K178"/>
  <c r="J178"/>
  <c r="I178"/>
  <c r="H178"/>
  <c r="G178"/>
  <c r="F178"/>
  <c r="E178"/>
  <c r="D178"/>
  <c r="C178"/>
  <c r="B178"/>
  <c r="A178"/>
  <c r="K177"/>
  <c r="J177"/>
  <c r="I177"/>
  <c r="H177"/>
  <c r="G177"/>
  <c r="F177"/>
  <c r="E177"/>
  <c r="D177"/>
  <c r="C177"/>
  <c r="B177"/>
  <c r="A177"/>
  <c r="K176"/>
  <c r="J176"/>
  <c r="I176"/>
  <c r="H176"/>
  <c r="G176"/>
  <c r="F176"/>
  <c r="E176"/>
  <c r="D176"/>
  <c r="C176"/>
  <c r="B176"/>
  <c r="A176"/>
  <c r="K175"/>
  <c r="J175"/>
  <c r="I175"/>
  <c r="H175"/>
  <c r="G175"/>
  <c r="F175"/>
  <c r="E175"/>
  <c r="D175"/>
  <c r="C175"/>
  <c r="B175"/>
  <c r="A175"/>
  <c r="K174"/>
  <c r="J174"/>
  <c r="I174"/>
  <c r="H174"/>
  <c r="G174"/>
  <c r="F174"/>
  <c r="E174"/>
  <c r="D174"/>
  <c r="C174"/>
  <c r="B174"/>
  <c r="A174"/>
  <c r="K173"/>
  <c r="J173"/>
  <c r="I173"/>
  <c r="H173"/>
  <c r="G173"/>
  <c r="F173"/>
  <c r="E173"/>
  <c r="D173"/>
  <c r="C173"/>
  <c r="B173"/>
  <c r="A173"/>
  <c r="K172"/>
  <c r="J172"/>
  <c r="I172"/>
  <c r="H172"/>
  <c r="G172"/>
  <c r="F172"/>
  <c r="E172"/>
  <c r="D172"/>
  <c r="C172"/>
  <c r="B172"/>
  <c r="A172"/>
  <c r="K171"/>
  <c r="J171"/>
  <c r="I171"/>
  <c r="H171"/>
  <c r="G171"/>
  <c r="F171"/>
  <c r="E171"/>
  <c r="D171"/>
  <c r="C171"/>
  <c r="B171"/>
  <c r="A171"/>
  <c r="K170"/>
  <c r="J170"/>
  <c r="I170"/>
  <c r="H170"/>
  <c r="G170"/>
  <c r="F170"/>
  <c r="E170"/>
  <c r="D170"/>
  <c r="C170"/>
  <c r="B170"/>
  <c r="A170"/>
  <c r="K169"/>
  <c r="J169"/>
  <c r="I169"/>
  <c r="H169"/>
  <c r="G169"/>
  <c r="F169"/>
  <c r="E169"/>
  <c r="D169"/>
  <c r="C169"/>
  <c r="B169"/>
  <c r="A169"/>
  <c r="K168"/>
  <c r="J168"/>
  <c r="I168"/>
  <c r="H168"/>
  <c r="G168"/>
  <c r="F168"/>
  <c r="E168"/>
  <c r="D168"/>
  <c r="C168"/>
  <c r="B168"/>
  <c r="A168"/>
  <c r="K167"/>
  <c r="J167"/>
  <c r="I167"/>
  <c r="H167"/>
  <c r="G167"/>
  <c r="F167"/>
  <c r="E167"/>
  <c r="D167"/>
  <c r="C167"/>
  <c r="B167"/>
  <c r="A167"/>
  <c r="K166"/>
  <c r="J166"/>
  <c r="I166"/>
  <c r="H166"/>
  <c r="G166"/>
  <c r="F166"/>
  <c r="E166"/>
  <c r="D166"/>
  <c r="C166"/>
  <c r="B166"/>
  <c r="A166"/>
  <c r="K165"/>
  <c r="J165"/>
  <c r="I165"/>
  <c r="H165"/>
  <c r="G165"/>
  <c r="F165"/>
  <c r="E165"/>
  <c r="D165"/>
  <c r="C165"/>
  <c r="B165"/>
  <c r="A165"/>
  <c r="K164"/>
  <c r="J164"/>
  <c r="I164"/>
  <c r="H164"/>
  <c r="G164"/>
  <c r="F164"/>
  <c r="E164"/>
  <c r="D164"/>
  <c r="C164"/>
  <c r="B164"/>
  <c r="A164"/>
  <c r="K163"/>
  <c r="J163"/>
  <c r="I163"/>
  <c r="H163"/>
  <c r="G163"/>
  <c r="F163"/>
  <c r="E163"/>
  <c r="D163"/>
  <c r="C163"/>
  <c r="B163"/>
  <c r="A163"/>
  <c r="K162"/>
  <c r="J162"/>
  <c r="I162"/>
  <c r="H162"/>
  <c r="G162"/>
  <c r="F162"/>
  <c r="E162"/>
  <c r="D162"/>
  <c r="C162"/>
  <c r="B162"/>
  <c r="A162"/>
  <c r="K161"/>
  <c r="J161"/>
  <c r="I161"/>
  <c r="H161"/>
  <c r="G161"/>
  <c r="F161"/>
  <c r="E161"/>
  <c r="D161"/>
  <c r="C161"/>
  <c r="B161"/>
  <c r="A161"/>
  <c r="K160"/>
  <c r="J160"/>
  <c r="I160"/>
  <c r="H160"/>
  <c r="G160"/>
  <c r="F160"/>
  <c r="E160"/>
  <c r="D160"/>
  <c r="C160"/>
  <c r="B160"/>
  <c r="A160"/>
  <c r="K159"/>
  <c r="J159"/>
  <c r="I159"/>
  <c r="H159"/>
  <c r="G159"/>
  <c r="F159"/>
  <c r="E159"/>
  <c r="D159"/>
  <c r="C159"/>
  <c r="B159"/>
  <c r="A159"/>
  <c r="K158"/>
  <c r="J158"/>
  <c r="I158"/>
  <c r="H158"/>
  <c r="G158"/>
  <c r="F158"/>
  <c r="E158"/>
  <c r="D158"/>
  <c r="C158"/>
  <c r="B158"/>
  <c r="A158"/>
  <c r="K157"/>
  <c r="J157"/>
  <c r="I157"/>
  <c r="H157"/>
  <c r="G157"/>
  <c r="F157"/>
  <c r="E157"/>
  <c r="D157"/>
  <c r="C157"/>
  <c r="B157"/>
  <c r="A157"/>
  <c r="K156"/>
  <c r="J156"/>
  <c r="I156"/>
  <c r="H156"/>
  <c r="G156"/>
  <c r="F156"/>
  <c r="E156"/>
  <c r="D156"/>
  <c r="C156"/>
  <c r="B156"/>
  <c r="A156"/>
  <c r="K155"/>
  <c r="J155"/>
  <c r="I155"/>
  <c r="H155"/>
  <c r="G155"/>
  <c r="F155"/>
  <c r="E155"/>
  <c r="D155"/>
  <c r="C155"/>
  <c r="B155"/>
  <c r="A155"/>
  <c r="K154"/>
  <c r="J154"/>
  <c r="I154"/>
  <c r="H154"/>
  <c r="G154"/>
  <c r="F154"/>
  <c r="E154"/>
  <c r="D154"/>
  <c r="C154"/>
  <c r="B154"/>
  <c r="A154"/>
  <c r="K153"/>
  <c r="J153"/>
  <c r="I153"/>
  <c r="H153"/>
  <c r="G153"/>
  <c r="F153"/>
  <c r="E153"/>
  <c r="D153"/>
  <c r="C153"/>
  <c r="B153"/>
  <c r="A153"/>
  <c r="K152"/>
  <c r="J152"/>
  <c r="I152"/>
  <c r="H152"/>
  <c r="G152"/>
  <c r="F152"/>
  <c r="E152"/>
  <c r="D152"/>
  <c r="C152"/>
  <c r="B152"/>
  <c r="A152"/>
  <c r="K151"/>
  <c r="J151"/>
  <c r="I151"/>
  <c r="H151"/>
  <c r="G151"/>
  <c r="F151"/>
  <c r="E151"/>
  <c r="D151"/>
  <c r="C151"/>
  <c r="B151"/>
  <c r="A151"/>
  <c r="K150"/>
  <c r="J150"/>
  <c r="I150"/>
  <c r="H150"/>
  <c r="G150"/>
  <c r="F150"/>
  <c r="E150"/>
  <c r="D150"/>
  <c r="C150"/>
  <c r="B150"/>
  <c r="A150"/>
  <c r="K149"/>
  <c r="J149"/>
  <c r="I149"/>
  <c r="H149"/>
  <c r="G149"/>
  <c r="F149"/>
  <c r="E149"/>
  <c r="D149"/>
  <c r="C149"/>
  <c r="B149"/>
  <c r="A149"/>
  <c r="K148"/>
  <c r="J148"/>
  <c r="I148"/>
  <c r="H148"/>
  <c r="G148"/>
  <c r="F148"/>
  <c r="E148"/>
  <c r="D148"/>
  <c r="C148"/>
  <c r="B148"/>
  <c r="A148"/>
  <c r="K147"/>
  <c r="J147"/>
  <c r="I147"/>
  <c r="H147"/>
  <c r="G147"/>
  <c r="F147"/>
  <c r="E147"/>
  <c r="D147"/>
  <c r="C147"/>
  <c r="B147"/>
  <c r="A147"/>
  <c r="K146"/>
  <c r="J146"/>
  <c r="I146"/>
  <c r="H146"/>
  <c r="G146"/>
  <c r="F146"/>
  <c r="E146"/>
  <c r="D146"/>
  <c r="C146"/>
  <c r="B146"/>
  <c r="A146"/>
  <c r="K145"/>
  <c r="J145"/>
  <c r="I145"/>
  <c r="H145"/>
  <c r="G145"/>
  <c r="F145"/>
  <c r="E145"/>
  <c r="D145"/>
  <c r="C145"/>
  <c r="B145"/>
  <c r="A145"/>
  <c r="K144"/>
  <c r="J144"/>
  <c r="I144"/>
  <c r="H144"/>
  <c r="G144"/>
  <c r="F144"/>
  <c r="E144"/>
  <c r="D144"/>
  <c r="C144"/>
  <c r="B144"/>
  <c r="A144"/>
  <c r="K143"/>
  <c r="J143"/>
  <c r="I143"/>
  <c r="H143"/>
  <c r="G143"/>
  <c r="F143"/>
  <c r="E143"/>
  <c r="D143"/>
  <c r="C143"/>
  <c r="B143"/>
  <c r="A143"/>
  <c r="K142"/>
  <c r="J142"/>
  <c r="I142"/>
  <c r="H142"/>
  <c r="G142"/>
  <c r="F142"/>
  <c r="E142"/>
  <c r="D142"/>
  <c r="C142"/>
  <c r="B142"/>
  <c r="A142"/>
  <c r="K141"/>
  <c r="J141"/>
  <c r="I141"/>
  <c r="H141"/>
  <c r="G141"/>
  <c r="F141"/>
  <c r="E141"/>
  <c r="D141"/>
  <c r="C141"/>
  <c r="B141"/>
  <c r="A141"/>
  <c r="K140"/>
  <c r="J140"/>
  <c r="I140"/>
  <c r="H140"/>
  <c r="G140"/>
  <c r="F140"/>
  <c r="E140"/>
  <c r="D140"/>
  <c r="C140"/>
  <c r="B140"/>
  <c r="A140"/>
  <c r="K139"/>
  <c r="J139"/>
  <c r="I139"/>
  <c r="H139"/>
  <c r="G139"/>
  <c r="F139"/>
  <c r="E139"/>
  <c r="D139"/>
  <c r="C139"/>
  <c r="B139"/>
  <c r="A139"/>
  <c r="K138"/>
  <c r="J138"/>
  <c r="I138"/>
  <c r="H138"/>
  <c r="G138"/>
  <c r="F138"/>
  <c r="E138"/>
  <c r="D138"/>
  <c r="C138"/>
  <c r="B138"/>
  <c r="A138"/>
  <c r="K137"/>
  <c r="J137"/>
  <c r="I137"/>
  <c r="H137"/>
  <c r="G137"/>
  <c r="F137"/>
  <c r="E137"/>
  <c r="D137"/>
  <c r="C137"/>
  <c r="B137"/>
  <c r="A137"/>
  <c r="K136"/>
  <c r="J136"/>
  <c r="I136"/>
  <c r="H136"/>
  <c r="G136"/>
  <c r="F136"/>
  <c r="E136"/>
  <c r="D136"/>
  <c r="C136"/>
  <c r="B136"/>
  <c r="A136"/>
  <c r="K135"/>
  <c r="J135"/>
  <c r="I135"/>
  <c r="H135"/>
  <c r="G135"/>
  <c r="F135"/>
  <c r="E135"/>
  <c r="D135"/>
  <c r="C135"/>
  <c r="B135"/>
  <c r="A135"/>
  <c r="K134"/>
  <c r="J134"/>
  <c r="I134"/>
  <c r="H134"/>
  <c r="G134"/>
  <c r="F134"/>
  <c r="E134"/>
  <c r="D134"/>
  <c r="C134"/>
  <c r="B134"/>
  <c r="A134"/>
  <c r="K133"/>
  <c r="J133"/>
  <c r="I133"/>
  <c r="H133"/>
  <c r="G133"/>
  <c r="F133"/>
  <c r="E133"/>
  <c r="D133"/>
  <c r="C133"/>
  <c r="B133"/>
  <c r="A133"/>
  <c r="K132"/>
  <c r="J132"/>
  <c r="I132"/>
  <c r="H132"/>
  <c r="G132"/>
  <c r="F132"/>
  <c r="E132"/>
  <c r="D132"/>
  <c r="C132"/>
  <c r="B132"/>
  <c r="A132"/>
  <c r="K131"/>
  <c r="J131"/>
  <c r="I131"/>
  <c r="H131"/>
  <c r="G131"/>
  <c r="F131"/>
  <c r="E131"/>
  <c r="D131"/>
  <c r="C131"/>
  <c r="B131"/>
  <c r="A131"/>
  <c r="K130"/>
  <c r="J130"/>
  <c r="I130"/>
  <c r="H130"/>
  <c r="G130"/>
  <c r="F130"/>
  <c r="E130"/>
  <c r="D130"/>
  <c r="C130"/>
  <c r="B130"/>
  <c r="A130"/>
  <c r="K129"/>
  <c r="J129"/>
  <c r="I129"/>
  <c r="H129"/>
  <c r="G129"/>
  <c r="F129"/>
  <c r="E129"/>
  <c r="D129"/>
  <c r="C129"/>
  <c r="B129"/>
  <c r="A129"/>
  <c r="K128"/>
  <c r="J128"/>
  <c r="I128"/>
  <c r="H128"/>
  <c r="G128"/>
  <c r="F128"/>
  <c r="E128"/>
  <c r="D128"/>
  <c r="C128"/>
  <c r="B128"/>
  <c r="A128"/>
  <c r="K127"/>
  <c r="J127"/>
  <c r="I127"/>
  <c r="H127"/>
  <c r="G127"/>
  <c r="F127"/>
  <c r="E127"/>
  <c r="D127"/>
  <c r="C127"/>
  <c r="B127"/>
  <c r="A127"/>
  <c r="K126"/>
  <c r="J126"/>
  <c r="I126"/>
  <c r="H126"/>
  <c r="G126"/>
  <c r="F126"/>
  <c r="E126"/>
  <c r="D126"/>
  <c r="C126"/>
  <c r="B126"/>
  <c r="A126"/>
  <c r="K125"/>
  <c r="J125"/>
  <c r="I125"/>
  <c r="H125"/>
  <c r="G125"/>
  <c r="F125"/>
  <c r="E125"/>
  <c r="D125"/>
  <c r="C125"/>
  <c r="B125"/>
  <c r="A125"/>
  <c r="K124"/>
  <c r="J124"/>
  <c r="I124"/>
  <c r="H124"/>
  <c r="G124"/>
  <c r="F124"/>
  <c r="E124"/>
  <c r="D124"/>
  <c r="C124"/>
  <c r="B124"/>
  <c r="A124"/>
  <c r="K123"/>
  <c r="J123"/>
  <c r="I123"/>
  <c r="H123"/>
  <c r="G123"/>
  <c r="F123"/>
  <c r="E123"/>
  <c r="D123"/>
  <c r="C123"/>
  <c r="B123"/>
  <c r="A123"/>
  <c r="K122"/>
  <c r="J122"/>
  <c r="I122"/>
  <c r="H122"/>
  <c r="G122"/>
  <c r="F122"/>
  <c r="E122"/>
  <c r="D122"/>
  <c r="C122"/>
  <c r="B122"/>
  <c r="A122"/>
  <c r="K121"/>
  <c r="J121"/>
  <c r="I121"/>
  <c r="H121"/>
  <c r="G121"/>
  <c r="F121"/>
  <c r="E121"/>
  <c r="D121"/>
  <c r="C121"/>
  <c r="B121"/>
  <c r="A121"/>
  <c r="K120"/>
  <c r="J120"/>
  <c r="I120"/>
  <c r="H120"/>
  <c r="G120"/>
  <c r="F120"/>
  <c r="E120"/>
  <c r="D120"/>
  <c r="C120"/>
  <c r="B120"/>
  <c r="A120"/>
  <c r="K119"/>
  <c r="J119"/>
  <c r="I119"/>
  <c r="H119"/>
  <c r="G119"/>
  <c r="F119"/>
  <c r="E119"/>
  <c r="D119"/>
  <c r="C119"/>
  <c r="B119"/>
  <c r="A119"/>
  <c r="K118"/>
  <c r="J118"/>
  <c r="I118"/>
  <c r="H118"/>
  <c r="G118"/>
  <c r="F118"/>
  <c r="E118"/>
  <c r="D118"/>
  <c r="C118"/>
  <c r="B118"/>
  <c r="A118"/>
  <c r="K117"/>
  <c r="J117"/>
  <c r="I117"/>
  <c r="H117"/>
  <c r="G117"/>
  <c r="F117"/>
  <c r="E117"/>
  <c r="D117"/>
  <c r="C117"/>
  <c r="B117"/>
  <c r="A117"/>
  <c r="K116"/>
  <c r="J116"/>
  <c r="I116"/>
  <c r="H116"/>
  <c r="G116"/>
  <c r="F116"/>
  <c r="E116"/>
  <c r="D116"/>
  <c r="C116"/>
  <c r="B116"/>
  <c r="A116"/>
  <c r="K115"/>
  <c r="J115"/>
  <c r="I115"/>
  <c r="H115"/>
  <c r="G115"/>
  <c r="F115"/>
  <c r="E115"/>
  <c r="D115"/>
  <c r="C115"/>
  <c r="B115"/>
  <c r="A115"/>
  <c r="K114"/>
  <c r="J114"/>
  <c r="I114"/>
  <c r="H114"/>
  <c r="G114"/>
  <c r="F114"/>
  <c r="E114"/>
  <c r="D114"/>
  <c r="C114"/>
  <c r="B114"/>
  <c r="A114"/>
  <c r="K113"/>
  <c r="J113"/>
  <c r="I113"/>
  <c r="H113"/>
  <c r="G113"/>
  <c r="F113"/>
  <c r="E113"/>
  <c r="D113"/>
  <c r="C113"/>
  <c r="B113"/>
  <c r="A113"/>
  <c r="K112"/>
  <c r="J112"/>
  <c r="I112"/>
  <c r="H112"/>
  <c r="G112"/>
  <c r="F112"/>
  <c r="E112"/>
  <c r="D112"/>
  <c r="C112"/>
  <c r="B112"/>
  <c r="A112"/>
  <c r="K111"/>
  <c r="J111"/>
  <c r="I111"/>
  <c r="H111"/>
  <c r="G111"/>
  <c r="F111"/>
  <c r="E111"/>
  <c r="D111"/>
  <c r="C111"/>
  <c r="B111"/>
  <c r="A111"/>
  <c r="K110"/>
  <c r="J110"/>
  <c r="I110"/>
  <c r="H110"/>
  <c r="G110"/>
  <c r="F110"/>
  <c r="E110"/>
  <c r="D110"/>
  <c r="C110"/>
  <c r="B110"/>
  <c r="A110"/>
  <c r="K109"/>
  <c r="J109"/>
  <c r="I109"/>
  <c r="H109"/>
  <c r="G109"/>
  <c r="F109"/>
  <c r="E109"/>
  <c r="D109"/>
  <c r="C109"/>
  <c r="B109"/>
  <c r="A109"/>
  <c r="K108"/>
  <c r="J108"/>
  <c r="I108"/>
  <c r="H108"/>
  <c r="G108"/>
  <c r="F108"/>
  <c r="E108"/>
  <c r="D108"/>
  <c r="C108"/>
  <c r="B108"/>
  <c r="A108"/>
  <c r="K107"/>
  <c r="J107"/>
  <c r="I107"/>
  <c r="H107"/>
  <c r="G107"/>
  <c r="F107"/>
  <c r="E107"/>
  <c r="D107"/>
  <c r="C107"/>
  <c r="B107"/>
  <c r="A107"/>
  <c r="K106"/>
  <c r="J106"/>
  <c r="I106"/>
  <c r="H106"/>
  <c r="G106"/>
  <c r="F106"/>
  <c r="E106"/>
  <c r="D106"/>
  <c r="C106"/>
  <c r="B106"/>
  <c r="A106"/>
  <c r="K105"/>
  <c r="J105"/>
  <c r="I105"/>
  <c r="H105"/>
  <c r="G105"/>
  <c r="F105"/>
  <c r="E105"/>
  <c r="D105"/>
  <c r="C105"/>
  <c r="B105"/>
  <c r="A105"/>
  <c r="K104"/>
  <c r="J104"/>
  <c r="I104"/>
  <c r="H104"/>
  <c r="G104"/>
  <c r="F104"/>
  <c r="E104"/>
  <c r="D104"/>
  <c r="C104"/>
  <c r="B104"/>
  <c r="A104"/>
  <c r="K103"/>
  <c r="J103"/>
  <c r="I103"/>
  <c r="H103"/>
  <c r="G103"/>
  <c r="F103"/>
  <c r="E103"/>
  <c r="D103"/>
  <c r="C103"/>
  <c r="B103"/>
  <c r="A103"/>
  <c r="K102"/>
  <c r="J102"/>
  <c r="I102"/>
  <c r="H102"/>
  <c r="G102"/>
  <c r="F102"/>
  <c r="E102"/>
  <c r="D102"/>
  <c r="C102"/>
  <c r="B102"/>
  <c r="A102"/>
  <c r="K101"/>
  <c r="J101"/>
  <c r="I101"/>
  <c r="H101"/>
  <c r="G101"/>
  <c r="F101"/>
  <c r="E101"/>
  <c r="D101"/>
  <c r="C101"/>
  <c r="B101"/>
  <c r="A101"/>
  <c r="K100"/>
  <c r="J100"/>
  <c r="I100"/>
  <c r="H100"/>
  <c r="G100"/>
  <c r="F100"/>
  <c r="E100"/>
  <c r="D100"/>
  <c r="C100"/>
  <c r="B100"/>
  <c r="A100"/>
  <c r="K99"/>
  <c r="J99"/>
  <c r="I99"/>
  <c r="H99"/>
  <c r="G99"/>
  <c r="F99"/>
  <c r="E99"/>
  <c r="D99"/>
  <c r="C99"/>
  <c r="B99"/>
  <c r="A99"/>
  <c r="K98"/>
  <c r="J98"/>
  <c r="I98"/>
  <c r="H98"/>
  <c r="G98"/>
  <c r="F98"/>
  <c r="E98"/>
  <c r="D98"/>
  <c r="C98"/>
  <c r="B98"/>
  <c r="A98"/>
  <c r="K97"/>
  <c r="J97"/>
  <c r="I97"/>
  <c r="H97"/>
  <c r="G97"/>
  <c r="F97"/>
  <c r="E97"/>
  <c r="D97"/>
  <c r="C97"/>
  <c r="B97"/>
  <c r="A97"/>
  <c r="K96"/>
  <c r="J96"/>
  <c r="I96"/>
  <c r="H96"/>
  <c r="G96"/>
  <c r="F96"/>
  <c r="E96"/>
  <c r="D96"/>
  <c r="C96"/>
  <c r="B96"/>
  <c r="A96"/>
  <c r="K95"/>
  <c r="J95"/>
  <c r="I95"/>
  <c r="H95"/>
  <c r="G95"/>
  <c r="F95"/>
  <c r="E95"/>
  <c r="D95"/>
  <c r="C95"/>
  <c r="B95"/>
  <c r="A95"/>
  <c r="K94"/>
  <c r="J94"/>
  <c r="I94"/>
  <c r="H94"/>
  <c r="G94"/>
  <c r="F94"/>
  <c r="E94"/>
  <c r="D94"/>
  <c r="C94"/>
  <c r="B94"/>
  <c r="A94"/>
  <c r="K93"/>
  <c r="J93"/>
  <c r="I93"/>
  <c r="H93"/>
  <c r="G93"/>
  <c r="F93"/>
  <c r="E93"/>
  <c r="D93"/>
  <c r="C93"/>
  <c r="B93"/>
  <c r="A93"/>
  <c r="K92"/>
  <c r="J92"/>
  <c r="I92"/>
  <c r="H92"/>
  <c r="G92"/>
  <c r="F92"/>
  <c r="E92"/>
  <c r="D92"/>
  <c r="C92"/>
  <c r="B92"/>
  <c r="A92"/>
  <c r="K91"/>
  <c r="J91"/>
  <c r="I91"/>
  <c r="H91"/>
  <c r="G91"/>
  <c r="F91"/>
  <c r="E91"/>
  <c r="D91"/>
  <c r="C91"/>
  <c r="B91"/>
  <c r="A91"/>
  <c r="K90"/>
  <c r="J90"/>
  <c r="I90"/>
  <c r="H90"/>
  <c r="G90"/>
  <c r="F90"/>
  <c r="E90"/>
  <c r="D90"/>
  <c r="C90"/>
  <c r="B90"/>
  <c r="A90"/>
  <c r="K89"/>
  <c r="J89"/>
  <c r="I89"/>
  <c r="H89"/>
  <c r="G89"/>
  <c r="F89"/>
  <c r="E89"/>
  <c r="D89"/>
  <c r="C89"/>
  <c r="B89"/>
  <c r="A89"/>
  <c r="K88"/>
  <c r="J88"/>
  <c r="I88"/>
  <c r="H88"/>
  <c r="G88"/>
  <c r="F88"/>
  <c r="E88"/>
  <c r="D88"/>
  <c r="C88"/>
  <c r="B88"/>
  <c r="A88"/>
  <c r="K87"/>
  <c r="J87"/>
  <c r="I87"/>
  <c r="H87"/>
  <c r="G87"/>
  <c r="F87"/>
  <c r="E87"/>
  <c r="D87"/>
  <c r="C87"/>
  <c r="B87"/>
  <c r="A87"/>
  <c r="K86"/>
  <c r="J86"/>
  <c r="I86"/>
  <c r="H86"/>
  <c r="G86"/>
  <c r="F86"/>
  <c r="E86"/>
  <c r="D86"/>
  <c r="C86"/>
  <c r="B86"/>
  <c r="A86"/>
  <c r="K85"/>
  <c r="J85"/>
  <c r="I85"/>
  <c r="H85"/>
  <c r="G85"/>
  <c r="F85"/>
  <c r="E85"/>
  <c r="D85"/>
  <c r="C85"/>
  <c r="B85"/>
  <c r="A85"/>
  <c r="K84"/>
  <c r="J84"/>
  <c r="I84"/>
  <c r="H84"/>
  <c r="G84"/>
  <c r="F84"/>
  <c r="E84"/>
  <c r="D84"/>
  <c r="C84"/>
  <c r="B84"/>
  <c r="A84"/>
  <c r="K83"/>
  <c r="J83"/>
  <c r="I83"/>
  <c r="H83"/>
  <c r="G83"/>
  <c r="F83"/>
  <c r="E83"/>
  <c r="D83"/>
  <c r="C83"/>
  <c r="B83"/>
  <c r="A83"/>
  <c r="K82"/>
  <c r="J82"/>
  <c r="I82"/>
  <c r="H82"/>
  <c r="G82"/>
  <c r="F82"/>
  <c r="E82"/>
  <c r="D82"/>
  <c r="C82"/>
  <c r="B82"/>
  <c r="A82"/>
  <c r="K81"/>
  <c r="J81"/>
  <c r="I81"/>
  <c r="H81"/>
  <c r="G81"/>
  <c r="F81"/>
  <c r="E81"/>
  <c r="D81"/>
  <c r="C81"/>
  <c r="B81"/>
  <c r="A81"/>
  <c r="K80"/>
  <c r="J80"/>
  <c r="I80"/>
  <c r="H80"/>
  <c r="G80"/>
  <c r="F80"/>
  <c r="E80"/>
  <c r="D80"/>
  <c r="C80"/>
  <c r="B80"/>
  <c r="A80"/>
  <c r="K79"/>
  <c r="J79"/>
  <c r="I79"/>
  <c r="H79"/>
  <c r="G79"/>
  <c r="F79"/>
  <c r="E79"/>
  <c r="D79"/>
  <c r="C79"/>
  <c r="B79"/>
  <c r="A79"/>
  <c r="K78"/>
  <c r="J78"/>
  <c r="I78"/>
  <c r="H78"/>
  <c r="G78"/>
  <c r="F78"/>
  <c r="E78"/>
  <c r="D78"/>
  <c r="C78"/>
  <c r="B78"/>
  <c r="A78"/>
  <c r="K77"/>
  <c r="J77"/>
  <c r="I77"/>
  <c r="H77"/>
  <c r="G77"/>
  <c r="F77"/>
  <c r="E77"/>
  <c r="D77"/>
  <c r="C77"/>
  <c r="B77"/>
  <c r="A77"/>
  <c r="K76"/>
  <c r="J76"/>
  <c r="I76"/>
  <c r="H76"/>
  <c r="G76"/>
  <c r="F76"/>
  <c r="E76"/>
  <c r="D76"/>
  <c r="C76"/>
  <c r="B76"/>
  <c r="A76"/>
  <c r="K75"/>
  <c r="J75"/>
  <c r="I75"/>
  <c r="H75"/>
  <c r="G75"/>
  <c r="F75"/>
  <c r="E75"/>
  <c r="D75"/>
  <c r="C75"/>
  <c r="B75"/>
  <c r="A75"/>
  <c r="K74"/>
  <c r="J74"/>
  <c r="I74"/>
  <c r="H74"/>
  <c r="G74"/>
  <c r="F74"/>
  <c r="E74"/>
  <c r="D74"/>
  <c r="C74"/>
  <c r="B74"/>
  <c r="A74"/>
  <c r="K73"/>
  <c r="J73"/>
  <c r="I73"/>
  <c r="H73"/>
  <c r="G73"/>
  <c r="F73"/>
  <c r="E73"/>
  <c r="D73"/>
  <c r="C73"/>
  <c r="B73"/>
  <c r="A73"/>
  <c r="K72"/>
  <c r="J72"/>
  <c r="I72"/>
  <c r="H72"/>
  <c r="G72"/>
  <c r="F72"/>
  <c r="E72"/>
  <c r="D72"/>
  <c r="C72"/>
  <c r="B72"/>
  <c r="A72"/>
  <c r="K71"/>
  <c r="J71"/>
  <c r="I71"/>
  <c r="H71"/>
  <c r="G71"/>
  <c r="F71"/>
  <c r="E71"/>
  <c r="D71"/>
  <c r="C71"/>
  <c r="B71"/>
  <c r="A71"/>
  <c r="K70"/>
  <c r="J70"/>
  <c r="I70"/>
  <c r="H70"/>
  <c r="G70"/>
  <c r="F70"/>
  <c r="E70"/>
  <c r="D70"/>
  <c r="C70"/>
  <c r="B70"/>
  <c r="A70"/>
  <c r="K69"/>
  <c r="J69"/>
  <c r="I69"/>
  <c r="H69"/>
  <c r="G69"/>
  <c r="F69"/>
  <c r="E69"/>
  <c r="D69"/>
  <c r="C69"/>
  <c r="B69"/>
  <c r="A69"/>
  <c r="K68"/>
  <c r="J68"/>
  <c r="I68"/>
  <c r="H68"/>
  <c r="G68"/>
  <c r="F68"/>
  <c r="E68"/>
  <c r="D68"/>
  <c r="C68"/>
  <c r="B68"/>
  <c r="A68"/>
  <c r="K67"/>
  <c r="J67"/>
  <c r="I67"/>
  <c r="H67"/>
  <c r="G67"/>
  <c r="F67"/>
  <c r="E67"/>
  <c r="D67"/>
  <c r="C67"/>
  <c r="B67"/>
  <c r="A67"/>
  <c r="K66"/>
  <c r="J66"/>
  <c r="I66"/>
  <c r="H66"/>
  <c r="G66"/>
  <c r="F66"/>
  <c r="E66"/>
  <c r="D66"/>
  <c r="C66"/>
  <c r="B66"/>
  <c r="A66"/>
  <c r="K65"/>
  <c r="J65"/>
  <c r="I65"/>
  <c r="H65"/>
  <c r="G65"/>
  <c r="F65"/>
  <c r="E65"/>
  <c r="D65"/>
  <c r="C65"/>
  <c r="B65"/>
  <c r="A65"/>
  <c r="K64"/>
  <c r="J64"/>
  <c r="I64"/>
  <c r="H64"/>
  <c r="G64"/>
  <c r="F64"/>
  <c r="E64"/>
  <c r="D64"/>
  <c r="C64"/>
  <c r="B64"/>
  <c r="A64"/>
  <c r="K63"/>
  <c r="J63"/>
  <c r="I63"/>
  <c r="H63"/>
  <c r="G63"/>
  <c r="F63"/>
  <c r="E63"/>
  <c r="D63"/>
  <c r="C63"/>
  <c r="B63"/>
  <c r="A63"/>
  <c r="K62"/>
  <c r="J62"/>
  <c r="I62"/>
  <c r="H62"/>
  <c r="G62"/>
  <c r="F62"/>
  <c r="E62"/>
  <c r="D62"/>
  <c r="C62"/>
  <c r="B62"/>
  <c r="A62"/>
  <c r="K61"/>
  <c r="J61"/>
  <c r="I61"/>
  <c r="H61"/>
  <c r="G61"/>
  <c r="F61"/>
  <c r="E61"/>
  <c r="D61"/>
  <c r="C61"/>
  <c r="B61"/>
  <c r="A61"/>
  <c r="K60"/>
  <c r="J60"/>
  <c r="I60"/>
  <c r="H60"/>
  <c r="G60"/>
  <c r="F60"/>
  <c r="E60"/>
  <c r="D60"/>
  <c r="C60"/>
  <c r="B60"/>
  <c r="A60"/>
  <c r="K59"/>
  <c r="J59"/>
  <c r="I59"/>
  <c r="H59"/>
  <c r="G59"/>
  <c r="F59"/>
  <c r="E59"/>
  <c r="D59"/>
  <c r="C59"/>
  <c r="B59"/>
  <c r="A59"/>
  <c r="K58"/>
  <c r="J58"/>
  <c r="I58"/>
  <c r="H58"/>
  <c r="G58"/>
  <c r="F58"/>
  <c r="E58"/>
  <c r="D58"/>
  <c r="C58"/>
  <c r="B58"/>
  <c r="A58"/>
  <c r="K57"/>
  <c r="J57"/>
  <c r="I57"/>
  <c r="H57"/>
  <c r="G57"/>
  <c r="F57"/>
  <c r="E57"/>
  <c r="D57"/>
  <c r="C57"/>
  <c r="B57"/>
  <c r="A57"/>
  <c r="K56"/>
  <c r="J56"/>
  <c r="I56"/>
  <c r="H56"/>
  <c r="G56"/>
  <c r="F56"/>
  <c r="E56"/>
  <c r="D56"/>
  <c r="C56"/>
  <c r="B56"/>
  <c r="A56"/>
  <c r="K55"/>
  <c r="J55"/>
  <c r="I55"/>
  <c r="H55"/>
  <c r="G55"/>
  <c r="F55"/>
  <c r="E55"/>
  <c r="D55"/>
  <c r="C55"/>
  <c r="B55"/>
  <c r="A55"/>
  <c r="K54"/>
  <c r="J54"/>
  <c r="I54"/>
  <c r="H54"/>
  <c r="G54"/>
  <c r="F54"/>
  <c r="E54"/>
  <c r="D54"/>
  <c r="C54"/>
  <c r="B54"/>
  <c r="A54"/>
  <c r="K53"/>
  <c r="J53"/>
  <c r="I53"/>
  <c r="H53"/>
  <c r="G53"/>
  <c r="F53"/>
  <c r="E53"/>
  <c r="D53"/>
  <c r="C53"/>
  <c r="B53"/>
  <c r="A53"/>
  <c r="K52"/>
  <c r="J52"/>
  <c r="I52"/>
  <c r="H52"/>
  <c r="G52"/>
  <c r="F52"/>
  <c r="E52"/>
  <c r="D52"/>
  <c r="C52"/>
  <c r="B52"/>
  <c r="A52"/>
  <c r="K51"/>
  <c r="J51"/>
  <c r="I51"/>
  <c r="H51"/>
  <c r="G51"/>
  <c r="F51"/>
  <c r="E51"/>
  <c r="D51"/>
  <c r="C51"/>
  <c r="B51"/>
  <c r="A51"/>
  <c r="K50"/>
  <c r="J50"/>
  <c r="I50"/>
  <c r="H50"/>
  <c r="G50"/>
  <c r="F50"/>
  <c r="E50"/>
  <c r="D50"/>
  <c r="C50"/>
  <c r="B50"/>
  <c r="A50"/>
  <c r="K49"/>
  <c r="J49"/>
  <c r="I49"/>
  <c r="H49"/>
  <c r="G49"/>
  <c r="F49"/>
  <c r="E49"/>
  <c r="D49"/>
  <c r="C49"/>
  <c r="B49"/>
  <c r="A49"/>
  <c r="K48"/>
  <c r="J48"/>
  <c r="I48"/>
  <c r="H48"/>
  <c r="G48"/>
  <c r="F48"/>
  <c r="E48"/>
  <c r="D48"/>
  <c r="C48"/>
  <c r="B48"/>
  <c r="A48"/>
  <c r="K47"/>
  <c r="J47"/>
  <c r="I47"/>
  <c r="H47"/>
  <c r="G47"/>
  <c r="F47"/>
  <c r="E47"/>
  <c r="D47"/>
  <c r="C47"/>
  <c r="B47"/>
  <c r="A47"/>
  <c r="K46"/>
  <c r="J46"/>
  <c r="I46"/>
  <c r="H46"/>
  <c r="G46"/>
  <c r="F46"/>
  <c r="E46"/>
  <c r="D46"/>
  <c r="C46"/>
  <c r="B46"/>
  <c r="A46"/>
  <c r="K45"/>
  <c r="J45"/>
  <c r="I45"/>
  <c r="H45"/>
  <c r="G45"/>
  <c r="F45"/>
  <c r="E45"/>
  <c r="D45"/>
  <c r="C45"/>
  <c r="B45"/>
  <c r="A45"/>
  <c r="K44"/>
  <c r="J44"/>
  <c r="I44"/>
  <c r="H44"/>
  <c r="G44"/>
  <c r="F44"/>
  <c r="E44"/>
  <c r="D44"/>
  <c r="C44"/>
  <c r="B44"/>
  <c r="A44"/>
  <c r="K43"/>
  <c r="J43"/>
  <c r="I43"/>
  <c r="H43"/>
  <c r="G43"/>
  <c r="F43"/>
  <c r="E43"/>
  <c r="D43"/>
  <c r="C43"/>
  <c r="B43"/>
  <c r="A43"/>
  <c r="K42"/>
  <c r="J42"/>
  <c r="I42"/>
  <c r="H42"/>
  <c r="G42"/>
  <c r="F42"/>
  <c r="E42"/>
  <c r="D42"/>
  <c r="C42"/>
  <c r="B42"/>
  <c r="A42"/>
  <c r="K41"/>
  <c r="J41"/>
  <c r="I41"/>
  <c r="H41"/>
  <c r="G41"/>
  <c r="F41"/>
  <c r="E41"/>
  <c r="D41"/>
  <c r="C41"/>
  <c r="B41"/>
  <c r="A41"/>
  <c r="K40"/>
  <c r="J40"/>
  <c r="I40"/>
  <c r="H40"/>
  <c r="G40"/>
  <c r="F40"/>
  <c r="E40"/>
  <c r="D40"/>
  <c r="C40"/>
  <c r="B40"/>
  <c r="A40"/>
  <c r="K39"/>
  <c r="J39"/>
  <c r="I39"/>
  <c r="H39"/>
  <c r="G39"/>
  <c r="F39"/>
  <c r="E39"/>
  <c r="D39"/>
  <c r="C39"/>
  <c r="B39"/>
  <c r="A39"/>
  <c r="K38"/>
  <c r="J38"/>
  <c r="I38"/>
  <c r="H38"/>
  <c r="G38"/>
  <c r="F38"/>
  <c r="E38"/>
  <c r="D38"/>
  <c r="C38"/>
  <c r="B38"/>
  <c r="A38"/>
  <c r="K37"/>
  <c r="J37"/>
  <c r="I37"/>
  <c r="H37"/>
  <c r="G37"/>
  <c r="F37"/>
  <c r="E37"/>
  <c r="D37"/>
  <c r="C37"/>
  <c r="B37"/>
  <c r="A37"/>
  <c r="K36"/>
  <c r="J36"/>
  <c r="I36"/>
  <c r="H36"/>
  <c r="G36"/>
  <c r="F36"/>
  <c r="E36"/>
  <c r="D36"/>
  <c r="C36"/>
  <c r="B36"/>
  <c r="A36"/>
  <c r="K35"/>
  <c r="J35"/>
  <c r="I35"/>
  <c r="H35"/>
  <c r="G35"/>
  <c r="F35"/>
  <c r="E35"/>
  <c r="D35"/>
  <c r="C35"/>
  <c r="B35"/>
  <c r="A35"/>
  <c r="K34"/>
  <c r="J34"/>
  <c r="I34"/>
  <c r="H34"/>
  <c r="G34"/>
  <c r="F34"/>
  <c r="E34"/>
  <c r="D34"/>
  <c r="C34"/>
  <c r="B34"/>
  <c r="A34"/>
  <c r="O33"/>
  <c r="K33"/>
  <c r="J33"/>
  <c r="I33"/>
  <c r="H33"/>
  <c r="G33"/>
  <c r="F33"/>
  <c r="E33"/>
  <c r="D33"/>
  <c r="C33"/>
  <c r="B33"/>
  <c r="A33"/>
  <c r="O32"/>
  <c r="K32"/>
  <c r="J32"/>
  <c r="I32"/>
  <c r="H32"/>
  <c r="G32"/>
  <c r="F32"/>
  <c r="E32"/>
  <c r="D32"/>
  <c r="C32"/>
  <c r="B32"/>
  <c r="A32"/>
  <c r="K31"/>
  <c r="J31"/>
  <c r="I31"/>
  <c r="H31"/>
  <c r="G31"/>
  <c r="F31"/>
  <c r="E31"/>
  <c r="D31"/>
  <c r="C31"/>
  <c r="B31"/>
  <c r="A31"/>
  <c r="K30"/>
  <c r="J30"/>
  <c r="I30"/>
  <c r="H30"/>
  <c r="G30"/>
  <c r="F30"/>
  <c r="E30"/>
  <c r="D30"/>
  <c r="C30"/>
  <c r="B30"/>
  <c r="A30"/>
  <c r="K29"/>
  <c r="J29"/>
  <c r="I29"/>
  <c r="H29"/>
  <c r="G29"/>
  <c r="F29"/>
  <c r="E29"/>
  <c r="D29"/>
  <c r="C29"/>
  <c r="B29"/>
  <c r="A29"/>
  <c r="K28"/>
  <c r="J28"/>
  <c r="I28"/>
  <c r="H28"/>
  <c r="G28"/>
  <c r="F28"/>
  <c r="E28"/>
  <c r="D28"/>
  <c r="C28"/>
  <c r="B28"/>
  <c r="A28"/>
  <c r="K27"/>
  <c r="J27"/>
  <c r="I27"/>
  <c r="H27"/>
  <c r="G27"/>
  <c r="F27"/>
  <c r="E27"/>
  <c r="D27"/>
  <c r="C27"/>
  <c r="B27"/>
  <c r="A27"/>
  <c r="K26"/>
  <c r="J26"/>
  <c r="I26"/>
  <c r="H26"/>
  <c r="G26"/>
  <c r="F26"/>
  <c r="E26"/>
  <c r="D26"/>
  <c r="C26"/>
  <c r="B26"/>
  <c r="A26"/>
  <c r="K25"/>
  <c r="J25"/>
  <c r="I25"/>
  <c r="H25"/>
  <c r="G25"/>
  <c r="F25"/>
  <c r="E25"/>
  <c r="D25"/>
  <c r="C25"/>
  <c r="B25"/>
  <c r="A25"/>
  <c r="K24"/>
  <c r="J24"/>
  <c r="I24"/>
  <c r="H24"/>
  <c r="G24"/>
  <c r="F24"/>
  <c r="E24"/>
  <c r="D24"/>
  <c r="C24"/>
  <c r="B24"/>
  <c r="A24"/>
  <c r="K23"/>
  <c r="J23"/>
  <c r="I23"/>
  <c r="H23"/>
  <c r="G23"/>
  <c r="F23"/>
  <c r="E23"/>
  <c r="D23"/>
  <c r="C23"/>
  <c r="B23"/>
  <c r="A23"/>
  <c r="K22"/>
  <c r="J22"/>
  <c r="I22"/>
  <c r="H22"/>
  <c r="G22"/>
  <c r="F22"/>
  <c r="E22"/>
  <c r="D22"/>
  <c r="C22"/>
  <c r="B22"/>
  <c r="A22"/>
  <c r="K21"/>
  <c r="J21"/>
  <c r="I21"/>
  <c r="H21"/>
  <c r="G21"/>
  <c r="F21"/>
  <c r="E21"/>
  <c r="D21"/>
  <c r="C21"/>
  <c r="B21"/>
  <c r="A21"/>
  <c r="K20"/>
  <c r="J20"/>
  <c r="I20"/>
  <c r="H20"/>
  <c r="G20"/>
  <c r="F20"/>
  <c r="E20"/>
  <c r="D20"/>
  <c r="C20"/>
  <c r="B20"/>
  <c r="A20"/>
  <c r="K19"/>
  <c r="J19"/>
  <c r="I19"/>
  <c r="H19"/>
  <c r="G19"/>
  <c r="F19"/>
  <c r="E19"/>
  <c r="D19"/>
  <c r="C19"/>
  <c r="B19"/>
  <c r="A19"/>
  <c r="K18"/>
  <c r="J18"/>
  <c r="I18"/>
  <c r="H18"/>
  <c r="G18"/>
  <c r="F18"/>
  <c r="E18"/>
  <c r="D18"/>
  <c r="C18"/>
  <c r="B18"/>
  <c r="A18"/>
  <c r="K17"/>
  <c r="J17"/>
  <c r="I17"/>
  <c r="H17"/>
  <c r="G17"/>
  <c r="F17"/>
  <c r="E17"/>
  <c r="D17"/>
  <c r="C17"/>
  <c r="B17"/>
  <c r="A17"/>
  <c r="K16"/>
  <c r="J16"/>
  <c r="I16"/>
  <c r="H16"/>
  <c r="G16"/>
  <c r="F16"/>
  <c r="E16"/>
  <c r="D16"/>
  <c r="C16"/>
  <c r="B16"/>
  <c r="A16"/>
  <c r="K15"/>
  <c r="J15"/>
  <c r="I15"/>
  <c r="H15"/>
  <c r="G15"/>
  <c r="F15"/>
  <c r="E15"/>
  <c r="D15"/>
  <c r="C15"/>
  <c r="B15"/>
  <c r="A15"/>
  <c r="K14"/>
  <c r="J14"/>
  <c r="I14"/>
  <c r="H14"/>
  <c r="G14"/>
  <c r="F14"/>
  <c r="E14"/>
  <c r="D14"/>
  <c r="C14"/>
  <c r="B14"/>
  <c r="A14"/>
  <c r="K13"/>
  <c r="J13"/>
  <c r="I13"/>
  <c r="H13"/>
  <c r="G13"/>
  <c r="F13"/>
  <c r="E13"/>
  <c r="D13"/>
  <c r="C13"/>
  <c r="B13"/>
  <c r="A13"/>
  <c r="K12"/>
  <c r="J12"/>
  <c r="I12"/>
  <c r="H12"/>
  <c r="G12"/>
  <c r="F12"/>
  <c r="E12"/>
  <c r="D12"/>
  <c r="C12"/>
  <c r="B12"/>
  <c r="A12"/>
  <c r="K11"/>
  <c r="J11"/>
  <c r="I11"/>
  <c r="H11"/>
  <c r="G11"/>
  <c r="F11"/>
  <c r="E11"/>
  <c r="D11"/>
  <c r="C11"/>
  <c r="B11"/>
  <c r="A11"/>
  <c r="K10"/>
  <c r="J10"/>
  <c r="I10"/>
  <c r="H10"/>
  <c r="G10"/>
  <c r="F10"/>
  <c r="E10"/>
  <c r="D10"/>
  <c r="C10"/>
  <c r="B10"/>
  <c r="A10"/>
  <c r="K9"/>
  <c r="J9"/>
  <c r="I9"/>
  <c r="H9"/>
  <c r="G9"/>
  <c r="F9"/>
  <c r="E9"/>
  <c r="D9"/>
  <c r="C9"/>
  <c r="B9"/>
  <c r="A9"/>
  <c r="K8"/>
  <c r="J8"/>
  <c r="I8"/>
  <c r="H8"/>
  <c r="G8"/>
  <c r="F8"/>
  <c r="E8"/>
  <c r="D8"/>
  <c r="C8"/>
  <c r="B8"/>
  <c r="A8"/>
  <c r="K7"/>
  <c r="J7"/>
  <c r="I7"/>
  <c r="H7"/>
  <c r="G7"/>
  <c r="F7"/>
  <c r="E7"/>
  <c r="D7"/>
  <c r="C7"/>
  <c r="B7"/>
  <c r="A7"/>
  <c r="K6"/>
  <c r="J6"/>
  <c r="I6"/>
  <c r="H6"/>
  <c r="G6"/>
  <c r="F6"/>
  <c r="E6"/>
  <c r="D6"/>
  <c r="C6"/>
  <c r="N8" s="1" a="1"/>
  <c r="B6"/>
  <c r="A6"/>
  <c r="B46" i="4"/>
  <c r="B45"/>
  <c r="D8" i="7" s="1"/>
  <c r="B44" i="4"/>
  <c r="B43"/>
  <c r="B42"/>
  <c r="B41"/>
  <c r="C8" i="7" s="1"/>
  <c r="B40" i="4"/>
  <c r="B39"/>
  <c r="B35"/>
  <c r="B34"/>
  <c r="D7" i="7" s="1"/>
  <c r="B33" i="4"/>
  <c r="B32"/>
  <c r="B31"/>
  <c r="B30"/>
  <c r="C7" i="7" s="1"/>
  <c r="B29" i="4"/>
  <c r="B28"/>
  <c r="B24"/>
  <c r="B23"/>
  <c r="E6" i="7" s="1"/>
  <c r="B22" i="4"/>
  <c r="B21"/>
  <c r="B20"/>
  <c r="B19"/>
  <c r="C6" i="7" s="1"/>
  <c r="B18" i="4"/>
  <c r="B17"/>
  <c r="B13"/>
  <c r="B12"/>
  <c r="D5" i="7" s="1"/>
  <c r="B11" i="4"/>
  <c r="B10"/>
  <c r="B9"/>
  <c r="B8"/>
  <c r="C5" i="7" s="1"/>
  <c r="B7" i="4"/>
  <c r="B6"/>
  <c r="W12" i="5" l="1"/>
  <c r="S12"/>
  <c r="O12"/>
  <c r="V11"/>
  <c r="R11"/>
  <c r="N11"/>
  <c r="O31" s="1"/>
  <c r="U10"/>
  <c r="Q10"/>
  <c r="X9"/>
  <c r="P18" s="1"/>
  <c r="T9"/>
  <c r="P22" s="1"/>
  <c r="P9"/>
  <c r="P26" s="1"/>
  <c r="W8"/>
  <c r="S8"/>
  <c r="O8"/>
  <c r="X12"/>
  <c r="T12"/>
  <c r="P12"/>
  <c r="W11"/>
  <c r="S11"/>
  <c r="O11"/>
  <c r="V10"/>
  <c r="R10"/>
  <c r="N10"/>
  <c r="O30" s="1"/>
  <c r="C9" i="7" s="1"/>
  <c r="U9" i="5"/>
  <c r="P21" s="1"/>
  <c r="Q9"/>
  <c r="P25" s="1"/>
  <c r="X8"/>
  <c r="T8"/>
  <c r="P8"/>
  <c r="U12"/>
  <c r="Q12"/>
  <c r="X11"/>
  <c r="T11"/>
  <c r="P11"/>
  <c r="W10"/>
  <c r="S10"/>
  <c r="O10"/>
  <c r="V9"/>
  <c r="P20" s="1"/>
  <c r="R9"/>
  <c r="P24" s="1"/>
  <c r="N9"/>
  <c r="P28" s="1"/>
  <c r="U8"/>
  <c r="Q8"/>
  <c r="N8"/>
  <c r="V12"/>
  <c r="R12"/>
  <c r="N12"/>
  <c r="U11"/>
  <c r="Q11"/>
  <c r="X10"/>
  <c r="T10"/>
  <c r="P10"/>
  <c r="W9"/>
  <c r="P19" s="1"/>
  <c r="S9"/>
  <c r="P23" s="1"/>
  <c r="O9"/>
  <c r="P27" s="1"/>
  <c r="V8"/>
  <c r="R8"/>
  <c r="D6" i="7"/>
  <c r="E7"/>
  <c r="E8"/>
  <c r="E5"/>
  <c r="R25" i="5" l="1"/>
  <c r="O25"/>
  <c r="Q25"/>
  <c r="Q23"/>
  <c r="R23"/>
  <c r="O23"/>
  <c r="Q20"/>
  <c r="R20"/>
  <c r="O20"/>
  <c r="Q28"/>
  <c r="R28"/>
  <c r="O28"/>
  <c r="O18"/>
  <c r="Q18"/>
  <c r="R18"/>
  <c r="Q27"/>
  <c r="R27"/>
  <c r="O27"/>
  <c r="O22"/>
  <c r="Q22"/>
  <c r="R22"/>
  <c r="Q24"/>
  <c r="R24"/>
  <c r="O24"/>
  <c r="R21"/>
  <c r="O21"/>
  <c r="Q21"/>
  <c r="O26"/>
  <c r="Q26"/>
  <c r="R26"/>
  <c r="Q19"/>
  <c r="R19"/>
  <c r="O19"/>
  <c r="F323" i="6" l="1"/>
  <c r="G323" s="1"/>
  <c r="F319"/>
  <c r="G319" s="1"/>
  <c r="F315"/>
  <c r="G315" s="1"/>
  <c r="F311"/>
  <c r="G311" s="1"/>
  <c r="F307"/>
  <c r="G307" s="1"/>
  <c r="F303"/>
  <c r="G303" s="1"/>
  <c r="F299"/>
  <c r="G299" s="1"/>
  <c r="F295"/>
  <c r="G295" s="1"/>
  <c r="F291"/>
  <c r="G291" s="1"/>
  <c r="F287"/>
  <c r="G287" s="1"/>
  <c r="F283"/>
  <c r="G283" s="1"/>
  <c r="F279"/>
  <c r="G279" s="1"/>
  <c r="F275"/>
  <c r="G275" s="1"/>
  <c r="F271"/>
  <c r="G271" s="1"/>
  <c r="F267"/>
  <c r="G267" s="1"/>
  <c r="F263"/>
  <c r="G263" s="1"/>
  <c r="F259"/>
  <c r="G259" s="1"/>
  <c r="F255"/>
  <c r="G255" s="1"/>
  <c r="F251"/>
  <c r="G251" s="1"/>
  <c r="F247"/>
  <c r="G247" s="1"/>
  <c r="F243"/>
  <c r="G243" s="1"/>
  <c r="F239"/>
  <c r="G239" s="1"/>
  <c r="F235"/>
  <c r="G235" s="1"/>
  <c r="F231"/>
  <c r="G231" s="1"/>
  <c r="F227"/>
  <c r="G227" s="1"/>
  <c r="F223"/>
  <c r="G223" s="1"/>
  <c r="F219"/>
  <c r="G219" s="1"/>
  <c r="F215"/>
  <c r="G215" s="1"/>
  <c r="F211"/>
  <c r="G211" s="1"/>
  <c r="F207"/>
  <c r="G207" s="1"/>
  <c r="F203"/>
  <c r="G203" s="1"/>
  <c r="F199"/>
  <c r="G199" s="1"/>
  <c r="F195"/>
  <c r="G195" s="1"/>
  <c r="F191"/>
  <c r="G191" s="1"/>
  <c r="F187"/>
  <c r="G187" s="1"/>
  <c r="F183"/>
  <c r="G183" s="1"/>
  <c r="F179"/>
  <c r="G179" s="1"/>
  <c r="F175"/>
  <c r="G175" s="1"/>
  <c r="F171"/>
  <c r="G171" s="1"/>
  <c r="F167"/>
  <c r="G167" s="1"/>
  <c r="F163"/>
  <c r="G163" s="1"/>
  <c r="F159"/>
  <c r="G159" s="1"/>
  <c r="F155"/>
  <c r="G155" s="1"/>
  <c r="F151"/>
  <c r="G151" s="1"/>
  <c r="F147"/>
  <c r="G147" s="1"/>
  <c r="F143"/>
  <c r="G143" s="1"/>
  <c r="F139"/>
  <c r="G139" s="1"/>
  <c r="F135"/>
  <c r="G135" s="1"/>
  <c r="F131"/>
  <c r="G131" s="1"/>
  <c r="F127"/>
  <c r="G127" s="1"/>
  <c r="F123"/>
  <c r="G123" s="1"/>
  <c r="F119"/>
  <c r="G119" s="1"/>
  <c r="F115"/>
  <c r="G115" s="1"/>
  <c r="F111"/>
  <c r="G111" s="1"/>
  <c r="F107"/>
  <c r="G107" s="1"/>
  <c r="F103"/>
  <c r="G103" s="1"/>
  <c r="F99"/>
  <c r="G99" s="1"/>
  <c r="F95"/>
  <c r="G95" s="1"/>
  <c r="F91"/>
  <c r="G91" s="1"/>
  <c r="F87"/>
  <c r="G87" s="1"/>
  <c r="F83"/>
  <c r="G83" s="1"/>
  <c r="F79"/>
  <c r="G79" s="1"/>
  <c r="F75"/>
  <c r="G75" s="1"/>
  <c r="F71"/>
  <c r="G71" s="1"/>
  <c r="F67"/>
  <c r="G67" s="1"/>
  <c r="F63"/>
  <c r="G63" s="1"/>
  <c r="F59"/>
  <c r="G59" s="1"/>
  <c r="F55"/>
  <c r="G55" s="1"/>
  <c r="F51"/>
  <c r="G51" s="1"/>
  <c r="F47"/>
  <c r="G47" s="1"/>
  <c r="F43"/>
  <c r="G43" s="1"/>
  <c r="F39"/>
  <c r="G39" s="1"/>
  <c r="F35"/>
  <c r="G35" s="1"/>
  <c r="F31"/>
  <c r="G31" s="1"/>
  <c r="F27"/>
  <c r="G27" s="1"/>
  <c r="F23"/>
  <c r="G23" s="1"/>
  <c r="F19"/>
  <c r="G19" s="1"/>
  <c r="F15"/>
  <c r="G15" s="1"/>
  <c r="F11"/>
  <c r="G11" s="1"/>
  <c r="F7"/>
  <c r="G7" s="1"/>
  <c r="F322"/>
  <c r="G322" s="1"/>
  <c r="F318"/>
  <c r="G318" s="1"/>
  <c r="F314"/>
  <c r="G314" s="1"/>
  <c r="F310"/>
  <c r="G310" s="1"/>
  <c r="F306"/>
  <c r="G306" s="1"/>
  <c r="F302"/>
  <c r="G302" s="1"/>
  <c r="F298"/>
  <c r="G298" s="1"/>
  <c r="F294"/>
  <c r="G294" s="1"/>
  <c r="F290"/>
  <c r="G290" s="1"/>
  <c r="F286"/>
  <c r="G286" s="1"/>
  <c r="F282"/>
  <c r="G282" s="1"/>
  <c r="F278"/>
  <c r="G278" s="1"/>
  <c r="F274"/>
  <c r="G274" s="1"/>
  <c r="F270"/>
  <c r="G270" s="1"/>
  <c r="F266"/>
  <c r="G266" s="1"/>
  <c r="F262"/>
  <c r="G262" s="1"/>
  <c r="F258"/>
  <c r="G258" s="1"/>
  <c r="F254"/>
  <c r="G254" s="1"/>
  <c r="F250"/>
  <c r="G250" s="1"/>
  <c r="F246"/>
  <c r="G246" s="1"/>
  <c r="F242"/>
  <c r="G242" s="1"/>
  <c r="F238"/>
  <c r="G238" s="1"/>
  <c r="F234"/>
  <c r="G234" s="1"/>
  <c r="F230"/>
  <c r="G230" s="1"/>
  <c r="F226"/>
  <c r="G226" s="1"/>
  <c r="F222"/>
  <c r="G222" s="1"/>
  <c r="F218"/>
  <c r="G218" s="1"/>
  <c r="F214"/>
  <c r="G214" s="1"/>
  <c r="F210"/>
  <c r="G210" s="1"/>
  <c r="F206"/>
  <c r="G206" s="1"/>
  <c r="F202"/>
  <c r="G202" s="1"/>
  <c r="F198"/>
  <c r="G198" s="1"/>
  <c r="F194"/>
  <c r="G194" s="1"/>
  <c r="F190"/>
  <c r="G190" s="1"/>
  <c r="F186"/>
  <c r="G186" s="1"/>
  <c r="F182"/>
  <c r="G182" s="1"/>
  <c r="F178"/>
  <c r="G178" s="1"/>
  <c r="F174"/>
  <c r="G174" s="1"/>
  <c r="F170"/>
  <c r="G170" s="1"/>
  <c r="F166"/>
  <c r="G166" s="1"/>
  <c r="F162"/>
  <c r="G162" s="1"/>
  <c r="F158"/>
  <c r="G158" s="1"/>
  <c r="F154"/>
  <c r="G154" s="1"/>
  <c r="F150"/>
  <c r="G150" s="1"/>
  <c r="F146"/>
  <c r="G146" s="1"/>
  <c r="F142"/>
  <c r="G142" s="1"/>
  <c r="F138"/>
  <c r="G138" s="1"/>
  <c r="F134"/>
  <c r="G134" s="1"/>
  <c r="F130"/>
  <c r="G130" s="1"/>
  <c r="F126"/>
  <c r="G126" s="1"/>
  <c r="F122"/>
  <c r="G122" s="1"/>
  <c r="F118"/>
  <c r="G118" s="1"/>
  <c r="F114"/>
  <c r="G114" s="1"/>
  <c r="F110"/>
  <c r="G110" s="1"/>
  <c r="F106"/>
  <c r="G106" s="1"/>
  <c r="F102"/>
  <c r="G102" s="1"/>
  <c r="F98"/>
  <c r="G98" s="1"/>
  <c r="F94"/>
  <c r="G94" s="1"/>
  <c r="F90"/>
  <c r="G90" s="1"/>
  <c r="F86"/>
  <c r="G86" s="1"/>
  <c r="F82"/>
  <c r="G82" s="1"/>
  <c r="F78"/>
  <c r="G78" s="1"/>
  <c r="F74"/>
  <c r="G74" s="1"/>
  <c r="F70"/>
  <c r="G70" s="1"/>
  <c r="F66"/>
  <c r="G66" s="1"/>
  <c r="F62"/>
  <c r="G62" s="1"/>
  <c r="F58"/>
  <c r="G58" s="1"/>
  <c r="F54"/>
  <c r="G54" s="1"/>
  <c r="F50"/>
  <c r="G50" s="1"/>
  <c r="F46"/>
  <c r="G46" s="1"/>
  <c r="F42"/>
  <c r="G42" s="1"/>
  <c r="F38"/>
  <c r="G38" s="1"/>
  <c r="F34"/>
  <c r="G34" s="1"/>
  <c r="F30"/>
  <c r="G30" s="1"/>
  <c r="F26"/>
  <c r="G26" s="1"/>
  <c r="F22"/>
  <c r="G22" s="1"/>
  <c r="F18"/>
  <c r="G18" s="1"/>
  <c r="F14"/>
  <c r="G14" s="1"/>
  <c r="F10"/>
  <c r="G10" s="1"/>
  <c r="F6"/>
  <c r="G6" s="1"/>
  <c r="F321"/>
  <c r="G321" s="1"/>
  <c r="F317"/>
  <c r="G317" s="1"/>
  <c r="F313"/>
  <c r="G313" s="1"/>
  <c r="F309"/>
  <c r="G309" s="1"/>
  <c r="F305"/>
  <c r="G305" s="1"/>
  <c r="F301"/>
  <c r="G301" s="1"/>
  <c r="F297"/>
  <c r="G297" s="1"/>
  <c r="F293"/>
  <c r="G293" s="1"/>
  <c r="F289"/>
  <c r="G289" s="1"/>
  <c r="F285"/>
  <c r="G285" s="1"/>
  <c r="F281"/>
  <c r="G281" s="1"/>
  <c r="F277"/>
  <c r="G277" s="1"/>
  <c r="F273"/>
  <c r="G273" s="1"/>
  <c r="F269"/>
  <c r="G269" s="1"/>
  <c r="F265"/>
  <c r="G265" s="1"/>
  <c r="F261"/>
  <c r="G261" s="1"/>
  <c r="F257"/>
  <c r="G257" s="1"/>
  <c r="F253"/>
  <c r="G253" s="1"/>
  <c r="F249"/>
  <c r="G249" s="1"/>
  <c r="F245"/>
  <c r="G245" s="1"/>
  <c r="F241"/>
  <c r="G241" s="1"/>
  <c r="F237"/>
  <c r="G237" s="1"/>
  <c r="F233"/>
  <c r="G233" s="1"/>
  <c r="F229"/>
  <c r="G229" s="1"/>
  <c r="F225"/>
  <c r="G225" s="1"/>
  <c r="F221"/>
  <c r="G221" s="1"/>
  <c r="F217"/>
  <c r="G217" s="1"/>
  <c r="F213"/>
  <c r="G213" s="1"/>
  <c r="F209"/>
  <c r="G209" s="1"/>
  <c r="F205"/>
  <c r="G205" s="1"/>
  <c r="F201"/>
  <c r="G201" s="1"/>
  <c r="F197"/>
  <c r="G197" s="1"/>
  <c r="F193"/>
  <c r="G193" s="1"/>
  <c r="F189"/>
  <c r="G189" s="1"/>
  <c r="F185"/>
  <c r="G185" s="1"/>
  <c r="F181"/>
  <c r="G181" s="1"/>
  <c r="F177"/>
  <c r="G177" s="1"/>
  <c r="F173"/>
  <c r="G173" s="1"/>
  <c r="F169"/>
  <c r="G169" s="1"/>
  <c r="F165"/>
  <c r="G165" s="1"/>
  <c r="F161"/>
  <c r="G161" s="1"/>
  <c r="F157"/>
  <c r="G157" s="1"/>
  <c r="F153"/>
  <c r="G153" s="1"/>
  <c r="F149"/>
  <c r="G149" s="1"/>
  <c r="F145"/>
  <c r="G145" s="1"/>
  <c r="F141"/>
  <c r="G141" s="1"/>
  <c r="F137"/>
  <c r="G137" s="1"/>
  <c r="F133"/>
  <c r="G133" s="1"/>
  <c r="F129"/>
  <c r="G129" s="1"/>
  <c r="F125"/>
  <c r="G125" s="1"/>
  <c r="F121"/>
  <c r="G121" s="1"/>
  <c r="F117"/>
  <c r="G117" s="1"/>
  <c r="F113"/>
  <c r="G113" s="1"/>
  <c r="F109"/>
  <c r="G109" s="1"/>
  <c r="F105"/>
  <c r="G105" s="1"/>
  <c r="F101"/>
  <c r="G101" s="1"/>
  <c r="F97"/>
  <c r="G97" s="1"/>
  <c r="F93"/>
  <c r="G93" s="1"/>
  <c r="F89"/>
  <c r="G89" s="1"/>
  <c r="F85"/>
  <c r="G85" s="1"/>
  <c r="F81"/>
  <c r="G81" s="1"/>
  <c r="F77"/>
  <c r="G77" s="1"/>
  <c r="F73"/>
  <c r="G73" s="1"/>
  <c r="F69"/>
  <c r="G69" s="1"/>
  <c r="F65"/>
  <c r="G65" s="1"/>
  <c r="F61"/>
  <c r="G61" s="1"/>
  <c r="F57"/>
  <c r="G57" s="1"/>
  <c r="F53"/>
  <c r="G53" s="1"/>
  <c r="F49"/>
  <c r="G49" s="1"/>
  <c r="F45"/>
  <c r="G45" s="1"/>
  <c r="F41"/>
  <c r="G41" s="1"/>
  <c r="F37"/>
  <c r="G37" s="1"/>
  <c r="F33"/>
  <c r="G33" s="1"/>
  <c r="F29"/>
  <c r="G29" s="1"/>
  <c r="F25"/>
  <c r="G25" s="1"/>
  <c r="F21"/>
  <c r="G21" s="1"/>
  <c r="F17"/>
  <c r="G17" s="1"/>
  <c r="F13"/>
  <c r="G13" s="1"/>
  <c r="F9"/>
  <c r="G9" s="1"/>
  <c r="F5"/>
  <c r="G5" s="1"/>
  <c r="F324"/>
  <c r="G324" s="1"/>
  <c r="F320"/>
  <c r="G320" s="1"/>
  <c r="F316"/>
  <c r="G316" s="1"/>
  <c r="F312"/>
  <c r="G312" s="1"/>
  <c r="F308"/>
  <c r="G308" s="1"/>
  <c r="F304"/>
  <c r="G304" s="1"/>
  <c r="F300"/>
  <c r="G300" s="1"/>
  <c r="F296"/>
  <c r="G296" s="1"/>
  <c r="F292"/>
  <c r="G292" s="1"/>
  <c r="F288"/>
  <c r="G288" s="1"/>
  <c r="F284"/>
  <c r="G284" s="1"/>
  <c r="F280"/>
  <c r="G280" s="1"/>
  <c r="F276"/>
  <c r="G276" s="1"/>
  <c r="F272"/>
  <c r="G272" s="1"/>
  <c r="F268"/>
  <c r="G268" s="1"/>
  <c r="F264"/>
  <c r="G264" s="1"/>
  <c r="F260"/>
  <c r="G260" s="1"/>
  <c r="F256"/>
  <c r="G256" s="1"/>
  <c r="F252"/>
  <c r="G252" s="1"/>
  <c r="F248"/>
  <c r="G248" s="1"/>
  <c r="F244"/>
  <c r="G244" s="1"/>
  <c r="F240"/>
  <c r="G240" s="1"/>
  <c r="F236"/>
  <c r="G236" s="1"/>
  <c r="F232"/>
  <c r="G232" s="1"/>
  <c r="F228"/>
  <c r="G228" s="1"/>
  <c r="F224"/>
  <c r="G224" s="1"/>
  <c r="F220"/>
  <c r="G220" s="1"/>
  <c r="F216"/>
  <c r="G216" s="1"/>
  <c r="F212"/>
  <c r="G212" s="1"/>
  <c r="F208"/>
  <c r="G208" s="1"/>
  <c r="F204"/>
  <c r="G204" s="1"/>
  <c r="F200"/>
  <c r="G200" s="1"/>
  <c r="F196"/>
  <c r="G196" s="1"/>
  <c r="F192"/>
  <c r="G192" s="1"/>
  <c r="F188"/>
  <c r="G188" s="1"/>
  <c r="F184"/>
  <c r="G184" s="1"/>
  <c r="F180"/>
  <c r="G180" s="1"/>
  <c r="F176"/>
  <c r="G176" s="1"/>
  <c r="F172"/>
  <c r="G172" s="1"/>
  <c r="F168"/>
  <c r="G168" s="1"/>
  <c r="F164"/>
  <c r="G164" s="1"/>
  <c r="F160"/>
  <c r="G160" s="1"/>
  <c r="F156"/>
  <c r="G156" s="1"/>
  <c r="F152"/>
  <c r="G152" s="1"/>
  <c r="F148"/>
  <c r="G148" s="1"/>
  <c r="F144"/>
  <c r="G144" s="1"/>
  <c r="F140"/>
  <c r="G140" s="1"/>
  <c r="F136"/>
  <c r="G136" s="1"/>
  <c r="F132"/>
  <c r="G132" s="1"/>
  <c r="F128"/>
  <c r="G128" s="1"/>
  <c r="F124"/>
  <c r="G124" s="1"/>
  <c r="F120"/>
  <c r="G120" s="1"/>
  <c r="F116"/>
  <c r="G116" s="1"/>
  <c r="F112"/>
  <c r="G112" s="1"/>
  <c r="F108"/>
  <c r="G108" s="1"/>
  <c r="F104"/>
  <c r="G104" s="1"/>
  <c r="F100"/>
  <c r="G100" s="1"/>
  <c r="F96"/>
  <c r="G96" s="1"/>
  <c r="F92"/>
  <c r="G92" s="1"/>
  <c r="F88"/>
  <c r="G88" s="1"/>
  <c r="F84"/>
  <c r="G84" s="1"/>
  <c r="F80"/>
  <c r="G80" s="1"/>
  <c r="F76"/>
  <c r="G76" s="1"/>
  <c r="F72"/>
  <c r="G72" s="1"/>
  <c r="F68"/>
  <c r="G68" s="1"/>
  <c r="F64"/>
  <c r="G64" s="1"/>
  <c r="F60"/>
  <c r="G60" s="1"/>
  <c r="F56"/>
  <c r="G56" s="1"/>
  <c r="F52"/>
  <c r="G52" s="1"/>
  <c r="F48"/>
  <c r="G48" s="1"/>
  <c r="F44"/>
  <c r="G44" s="1"/>
  <c r="F40"/>
  <c r="G40" s="1"/>
  <c r="F36"/>
  <c r="G36" s="1"/>
  <c r="F32"/>
  <c r="G32" s="1"/>
  <c r="F28"/>
  <c r="G28" s="1"/>
  <c r="F24"/>
  <c r="G24" s="1"/>
  <c r="F20"/>
  <c r="G20" s="1"/>
  <c r="F16"/>
  <c r="G16" s="1"/>
  <c r="F12"/>
  <c r="G12" s="1"/>
  <c r="F8"/>
  <c r="G8" s="1"/>
  <c r="G339" l="1"/>
  <c r="G332"/>
  <c r="G338"/>
  <c r="G331"/>
  <c r="G341"/>
  <c r="G337"/>
  <c r="G330"/>
  <c r="G340"/>
  <c r="G333"/>
  <c r="G329"/>
  <c r="E341" l="1"/>
  <c r="A341"/>
  <c r="F341"/>
  <c r="B341"/>
  <c r="C341"/>
  <c r="D341"/>
  <c r="C339"/>
  <c r="D339"/>
  <c r="E339"/>
  <c r="A339"/>
  <c r="F339"/>
  <c r="B339"/>
  <c r="D333"/>
  <c r="E333"/>
  <c r="A333"/>
  <c r="F333"/>
  <c r="B333"/>
  <c r="C333"/>
  <c r="D329"/>
  <c r="E329"/>
  <c r="A329"/>
  <c r="F329"/>
  <c r="B329"/>
  <c r="C329"/>
  <c r="E337"/>
  <c r="A337"/>
  <c r="F337"/>
  <c r="B337"/>
  <c r="C337"/>
  <c r="D337"/>
  <c r="C332"/>
  <c r="D332"/>
  <c r="E332"/>
  <c r="A332"/>
  <c r="F332"/>
  <c r="B332"/>
  <c r="E330"/>
  <c r="A330"/>
  <c r="F330"/>
  <c r="B330"/>
  <c r="C330"/>
  <c r="D330"/>
  <c r="F338"/>
  <c r="B338"/>
  <c r="C338"/>
  <c r="D338"/>
  <c r="E338"/>
  <c r="A338"/>
  <c r="D340"/>
  <c r="E340"/>
  <c r="A340"/>
  <c r="F340"/>
  <c r="B340"/>
  <c r="C340"/>
  <c r="F331"/>
  <c r="B331"/>
  <c r="C331"/>
  <c r="D331"/>
  <c r="E331"/>
  <c r="A331"/>
</calcChain>
</file>

<file path=xl/sharedStrings.xml><?xml version="1.0" encoding="utf-8"?>
<sst xmlns="http://schemas.openxmlformats.org/spreadsheetml/2006/main" count="3386" uniqueCount="175">
  <si>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</si>
  <si>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</si>
  <si>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</si>
  <si>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</si>
  <si>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</si>
  <si>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</si>
  <si>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</si>
  <si>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</si>
  <si>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</si>
  <si>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</si>
  <si>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</si>
  <si>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</si>
  <si>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</si>
  <si>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</si>
  <si>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</si>
  <si>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</si>
  <si>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</si>
  <si>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</si>
  <si>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</si>
  <si>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</si>
  <si>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</si>
  <si>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</si>
  <si>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</si>
  <si>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</si>
  <si>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</si>
  <si>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</si>
  <si>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</si>
  <si>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</si>
  <si>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</si>
  <si>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</si>
  <si>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</si>
  <si>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</si>
  <si>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</si>
  <si>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</si>
  <si>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</si>
  <si>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</si>
  <si>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</si>
  <si>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</si>
  <si>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</si>
  <si>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</si>
  <si>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</si>
  <si>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</si>
  <si>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</si>
  <si>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</si>
  <si>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</si>
  <si>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</si>
  <si>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</si>
  <si>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</si>
  <si>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</si>
  <si>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</si>
  <si>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</si>
  <si>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</si>
  <si>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</si>
  <si>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</si>
  <si>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</si>
  <si>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</si>
  <si>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</si>
  <si>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</si>
  <si>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</si>
  <si>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</si>
  <si>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</si>
  <si>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</si>
  <si>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</si>
  <si>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</si>
  <si>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</si>
  <si>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</si>
  <si>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</si>
  <si>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</si>
  <si>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</si>
  <si>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</si>
  <si>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</si>
  <si>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</si>
  <si>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</si>
  <si>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</si>
  <si>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</si>
  <si>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</si>
  <si>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</si>
  <si>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</si>
  <si>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</si>
  <si>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</si>
  <si>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</si>
  <si>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</si>
  <si>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</si>
  <si>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</si>
  <si>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</si>
  <si>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</si>
  <si>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</si>
  <si>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</si>
  <si>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</si>
  <si>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</si>
  <si>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</si>
  <si>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</si>
  <si>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</si>
  <si>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</si>
  <si>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</si>
  <si>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</si>
  <si>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</si>
  <si>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</si>
  <si>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</si>
  <si>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</si>
  <si>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</si>
  <si>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</si>
  <si>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2025-01-01</t>
  </si>
  <si>
    <t>2025-02-01</t>
  </si>
  <si>
    <t>2025-03-01</t>
  </si>
  <si>
    <t>2025-04-01</t>
  </si>
  <si>
    <t>is_Airport</t>
  </si>
  <si>
    <t>is_Mall</t>
  </si>
  <si>
    <t>is_Residential</t>
  </si>
  <si>
    <t>is_North</t>
  </si>
  <si>
    <t>is_South</t>
  </si>
  <si>
    <t>is_West</t>
  </si>
  <si>
    <t>SIMPLE LINEAR REGRESSION MODELS</t>
  </si>
  <si>
    <t>MODEL 1: monthly_sales ~ footfall</t>
  </si>
  <si>
    <t>Independent variable (X)</t>
  </si>
  <si>
    <t>Slope (coefficient)</t>
  </si>
  <si>
    <t>Intercept</t>
  </si>
  <si>
    <t>R-squared</t>
  </si>
  <si>
    <t>Correlation (r)</t>
  </si>
  <si>
    <t>Std error of slope</t>
  </si>
  <si>
    <t>t-stat</t>
  </si>
  <si>
    <t>p-value</t>
  </si>
  <si>
    <t>n (observations)</t>
  </si>
  <si>
    <t>MODEL 2: monthly_sales ~ marketing_spend</t>
  </si>
  <si>
    <t>MODEL 3 (supplementary): monthly_sales ~ staff_count</t>
  </si>
  <si>
    <t>MODEL 4 (supplementary, weak): monthly_sales ~ avg_discount_pct</t>
  </si>
  <si>
    <t>MULTIPLE LINEAR REGRESSION MODEL</t>
  </si>
  <si>
    <t>Y = monthly_sales. Predictors: footfall, marketing_spend, inventory_availability_pct, staff_count, is_Airport, is_Mall, is_Residential, is_North, is_South, is_West (dummy reference categories: store_type=High Street, region=East)</t>
  </si>
  <si>
    <t>Consolidated predictor matrix (referenced from cleaned_data and dummy_variables)</t>
  </si>
  <si>
    <t>MULTIPLE REGRESSION OUTPUT (LINEST)</t>
  </si>
  <si>
    <t>Coefficients (last-&gt;first: const last, is_West first var):</t>
  </si>
  <si>
    <t>inventory_pct</t>
  </si>
  <si>
    <t>intercept</t>
  </si>
  <si>
    <t>Note: cells with #N/A in rows 10-12 beyond column O are unused LINEST padding slots (normal behavior, not errors).</t>
  </si>
  <si>
    <t>Row1=coefficients, Row2=std errors, Row3=R2 &amp; SE(y), Row4=F-stat &amp; df, Row5=SSreg &amp; SSresid</t>
  </si>
  <si>
    <t>Readable Coefficient Summary</t>
  </si>
  <si>
    <t>Variable</t>
  </si>
  <si>
    <t>Coefficient</t>
  </si>
  <si>
    <t>Std Error</t>
  </si>
  <si>
    <t>F-statistic</t>
  </si>
  <si>
    <t>k (predictors)</t>
  </si>
  <si>
    <t>PREDICTED SALES &amp; RESIDUAL CALCULATION (Final Model: Multiple Regression)</t>
  </si>
  <si>
    <t>predicted_sales = Intercept + sum(coefficient_i * X_i). residual = monthly_sales (actual) - predicted_sales. Coefficients pulled live from 'multiple_regression' sheet.</t>
  </si>
  <si>
    <t>monthly_sales (actual)</t>
  </si>
  <si>
    <t>predicted_sales</t>
  </si>
  <si>
    <t>residual</t>
  </si>
  <si>
    <t>TOP 5 LARGEST POSITIVE RESIDUALS (model under-predicts these)</t>
  </si>
  <si>
    <t>TOP 5 LARGEST NEGATIVE RESIDUALS (model over-predicts these)</t>
  </si>
  <si>
    <t>MODEL COMPARISON SUMMARY</t>
  </si>
  <si>
    <t>All R-squared and significance values pulled live from simple_regression and multiple_regression sheets.</t>
  </si>
  <si>
    <t>Model</t>
  </si>
  <si>
    <t>Variables Used</t>
  </si>
  <si>
    <t>Key p-value</t>
  </si>
  <si>
    <t>Significant?</t>
  </si>
  <si>
    <t>Notes</t>
  </si>
  <si>
    <t>Simple Regression 1</t>
  </si>
  <si>
    <t>monthly_sales ~ footfall</t>
  </si>
  <si>
    <t>Strongest single predictor; high explanatory power alone</t>
  </si>
  <si>
    <t>Simple Regression 2</t>
  </si>
  <si>
    <t>monthly_sales ~ marketing_spend</t>
  </si>
  <si>
    <t>Significant but explains far less variance alone</t>
  </si>
  <si>
    <t>Simple Regression 3</t>
  </si>
  <si>
    <t>monthly_sales ~ staff_count</t>
  </si>
  <si>
    <t>Strong alone, but correlated with footfall (overlap)</t>
  </si>
  <si>
    <t>Simple Regression 4</t>
  </si>
  <si>
    <t>monthly_sales ~ avg_discount_pct</t>
  </si>
  <si>
    <t>Not statistically significant on its own</t>
  </si>
  <si>
    <t>Multiple Regression (FINAL)</t>
  </si>
  <si>
    <t>footfall + marketing_spend + inventory_availability_pct + staff_count + store_type dummies + region dummies</t>
  </si>
  <si>
    <t>see notes</t>
  </si>
  <si>
    <t>Mostly Yes</t>
  </si>
  <si>
    <t>Best overall fit; selected as final model</t>
  </si>
  <si>
    <t xml:space="preserve">ORIGINAL DATASET </t>
  </si>
  <si>
    <t xml:space="preserve">CLEANED </t>
  </si>
  <si>
    <t xml:space="preserve">DUMMY VARIABLE </t>
  </si>
</sst>
</file>

<file path=xl/styles.xml><?xml version="1.0" encoding="utf-8"?>
<styleSheet xmlns="http://schemas.openxmlformats.org/spreadsheetml/2006/main">
  <numFmts count="5">
    <numFmt numFmtId="164" formatCode="yyyy\-mm\-dd\ h:mm:ss"/>
    <numFmt numFmtId="165" formatCode="0.0000"/>
    <numFmt numFmtId="166" formatCode="0.000000"/>
    <numFmt numFmtId="167" formatCode="#,##0.0000"/>
    <numFmt numFmtId="168" formatCode="yyyy\-mm"/>
  </numFmts>
  <fonts count="12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color rgb="FF1F4E78"/>
      <name val="Arial"/>
      <charset val="1"/>
    </font>
    <font>
      <sz val="10"/>
      <name val="Arial"/>
      <charset val="1"/>
    </font>
    <font>
      <sz val="11"/>
      <color rgb="FF000000"/>
      <name val="Arial"/>
      <charset val="1"/>
    </font>
    <font>
      <sz val="8"/>
      <color rgb="FF008000"/>
      <name val="Arial"/>
      <charset val="1"/>
    </font>
    <font>
      <sz val="8"/>
      <name val="Arial"/>
      <charset val="1"/>
    </font>
    <font>
      <i/>
      <sz val="8"/>
      <color rgb="FF808080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/>
    <xf numFmtId="164" fontId="4" fillId="0" borderId="1" xfId="0" applyNumberFormat="1" applyFont="1" applyBorder="1" applyAlignment="1" applyProtection="1"/>
    <xf numFmtId="0" fontId="5" fillId="0" borderId="0" xfId="0" applyFont="1" applyAlignment="1" applyProtection="1"/>
    <xf numFmtId="0" fontId="6" fillId="0" borderId="1" xfId="0" applyFont="1" applyBorder="1" applyAlignment="1" applyProtection="1"/>
    <xf numFmtId="0" fontId="7" fillId="3" borderId="1" xfId="0" applyFont="1" applyFill="1" applyBorder="1" applyAlignment="1" applyProtection="1"/>
    <xf numFmtId="165" fontId="7" fillId="3" borderId="1" xfId="0" applyNumberFormat="1" applyFont="1" applyFill="1" applyBorder="1" applyAlignment="1" applyProtection="1"/>
    <xf numFmtId="4" fontId="7" fillId="3" borderId="1" xfId="0" applyNumberFormat="1" applyFont="1" applyFill="1" applyBorder="1" applyAlignment="1" applyProtection="1"/>
    <xf numFmtId="2" fontId="7" fillId="3" borderId="1" xfId="0" applyNumberFormat="1" applyFont="1" applyFill="1" applyBorder="1" applyAlignment="1" applyProtection="1"/>
    <xf numFmtId="166" fontId="7" fillId="3" borderId="1" xfId="0" applyNumberFormat="1" applyFont="1" applyFill="1" applyBorder="1" applyAlignment="1" applyProtection="1"/>
    <xf numFmtId="0" fontId="8" fillId="0" borderId="0" xfId="0" applyFont="1" applyAlignment="1" applyProtection="1"/>
    <xf numFmtId="167" fontId="9" fillId="3" borderId="1" xfId="0" applyNumberFormat="1" applyFont="1" applyFill="1" applyBorder="1" applyAlignment="1" applyProtection="1"/>
    <xf numFmtId="0" fontId="10" fillId="0" borderId="0" xfId="0" applyFont="1" applyAlignment="1" applyProtection="1"/>
    <xf numFmtId="0" fontId="4" fillId="3" borderId="1" xfId="0" applyFont="1" applyFill="1" applyBorder="1" applyAlignment="1" applyProtection="1"/>
    <xf numFmtId="167" fontId="4" fillId="3" borderId="1" xfId="0" applyNumberFormat="1" applyFont="1" applyFill="1" applyBorder="1" applyAlignment="1" applyProtection="1"/>
    <xf numFmtId="2" fontId="4" fillId="3" borderId="1" xfId="0" applyNumberFormat="1" applyFont="1" applyFill="1" applyBorder="1" applyAlignment="1" applyProtection="1"/>
    <xf numFmtId="166" fontId="4" fillId="3" borderId="1" xfId="0" applyNumberFormat="1" applyFont="1" applyFill="1" applyBorder="1" applyAlignment="1" applyProtection="1"/>
    <xf numFmtId="0" fontId="11" fillId="0" borderId="1" xfId="0" applyFont="1" applyBorder="1" applyAlignment="1" applyProtection="1"/>
    <xf numFmtId="165" fontId="0" fillId="3" borderId="1" xfId="0" applyNumberFormat="1" applyFill="1" applyBorder="1" applyAlignment="1" applyProtection="1"/>
    <xf numFmtId="2" fontId="0" fillId="3" borderId="1" xfId="0" applyNumberFormat="1" applyFill="1" applyBorder="1" applyAlignment="1" applyProtection="1"/>
    <xf numFmtId="0" fontId="0" fillId="3" borderId="1" xfId="0" applyFill="1" applyBorder="1" applyAlignment="1" applyProtection="1"/>
    <xf numFmtId="168" fontId="4" fillId="0" borderId="1" xfId="0" applyNumberFormat="1" applyFont="1" applyBorder="1" applyAlignment="1" applyProtection="1"/>
    <xf numFmtId="4" fontId="4" fillId="0" borderId="1" xfId="0" applyNumberFormat="1" applyFont="1" applyBorder="1" applyAlignment="1" applyProtection="1"/>
    <xf numFmtId="168" fontId="4" fillId="3" borderId="1" xfId="0" applyNumberFormat="1" applyFont="1" applyFill="1" applyBorder="1" applyAlignment="1" applyProtection="1"/>
    <xf numFmtId="4" fontId="4" fillId="3" borderId="1" xfId="0" applyNumberFormat="1" applyFont="1" applyFill="1" applyBorder="1" applyAlignment="1" applyProtection="1"/>
    <xf numFmtId="0" fontId="4" fillId="4" borderId="1" xfId="0" applyFont="1" applyFill="1" applyBorder="1" applyAlignment="1" applyProtection="1"/>
    <xf numFmtId="168" fontId="4" fillId="4" borderId="1" xfId="0" applyNumberFormat="1" applyFont="1" applyFill="1" applyBorder="1" applyAlignment="1" applyProtection="1"/>
    <xf numFmtId="4" fontId="4" fillId="4" borderId="1" xfId="0" applyNumberFormat="1" applyFont="1" applyFill="1" applyBorder="1" applyAlignment="1" applyProtection="1"/>
    <xf numFmtId="0" fontId="4" fillId="0" borderId="1" xfId="0" applyFont="1" applyBorder="1" applyAlignment="1" applyProtection="1">
      <alignment vertical="top" wrapText="1"/>
    </xf>
    <xf numFmtId="165" fontId="4" fillId="0" borderId="1" xfId="0" applyNumberFormat="1" applyFont="1" applyBorder="1" applyAlignment="1" applyProtection="1">
      <alignment vertical="top" wrapText="1"/>
    </xf>
    <xf numFmtId="166" fontId="4" fillId="0" borderId="1" xfId="0" applyNumberFormat="1" applyFont="1" applyBorder="1" applyAlignment="1" applyProtection="1">
      <alignment vertical="top" wrapText="1"/>
    </xf>
    <xf numFmtId="0" fontId="4" fillId="3" borderId="1" xfId="0" applyFont="1" applyFill="1" applyBorder="1" applyAlignment="1" applyProtection="1">
      <alignment vertical="top" wrapText="1"/>
    </xf>
    <xf numFmtId="165" fontId="4" fillId="3" borderId="1" xfId="0" applyNumberFormat="1" applyFont="1" applyFill="1" applyBorder="1" applyAlignment="1" applyProtection="1">
      <alignment vertical="top" wrapText="1"/>
    </xf>
    <xf numFmtId="0" fontId="2" fillId="0" borderId="0" xfId="0" applyFont="1" applyBorder="1" applyAlignment="1" applyProtection="1"/>
    <xf numFmtId="0" fontId="5" fillId="0" borderId="0" xfId="0" applyFont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4"/>
  <sheetViews>
    <sheetView workbookViewId="0">
      <pane ySplit="4" topLeftCell="A5" activePane="bottomLeft" state="frozen"/>
      <selection pane="bottomLeft" activeCell="E2" sqref="E2"/>
    </sheetView>
  </sheetViews>
  <sheetFormatPr defaultColWidth="8.6640625" defaultRowHeight="14.4"/>
  <cols>
    <col min="1" max="1" width="10" style="1" customWidth="1"/>
    <col min="2" max="2" width="14" style="1" customWidth="1"/>
    <col min="3" max="3" width="8" style="1" customWidth="1"/>
    <col min="4" max="4" width="12" style="1" customWidth="1"/>
    <col min="5" max="5" width="14" style="1" customWidth="1"/>
    <col min="6" max="6" width="9" style="1" customWidth="1"/>
    <col min="7" max="7" width="13" style="1" customWidth="1"/>
    <col min="8" max="8" width="10" style="1" customWidth="1"/>
    <col min="9" max="9" width="17" style="1" customWidth="1"/>
    <col min="10" max="10" width="18" style="1" customWidth="1"/>
    <col min="11" max="11" width="11" style="1" customWidth="1"/>
    <col min="12" max="13" width="13" style="1" customWidth="1"/>
    <col min="14" max="14" width="14" style="1" customWidth="1"/>
  </cols>
  <sheetData>
    <row r="1" spans="1:14" ht="15.75" customHeight="1">
      <c r="A1" s="2" t="s">
        <v>172</v>
      </c>
    </row>
    <row r="2" spans="1:14" ht="15" customHeight="1">
      <c r="A2" s="3"/>
    </row>
    <row r="4" spans="1:14" ht="23.2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</row>
    <row r="5" spans="1:14" ht="15" customHeight="1">
      <c r="A5" s="5" t="s">
        <v>14</v>
      </c>
      <c r="B5" s="6">
        <v>45658</v>
      </c>
      <c r="C5" s="5" t="s">
        <v>15</v>
      </c>
      <c r="D5" s="5" t="s">
        <v>16</v>
      </c>
      <c r="E5" s="5">
        <v>70389.11</v>
      </c>
      <c r="F5" s="5">
        <v>8302</v>
      </c>
      <c r="G5" s="5">
        <v>4.2000000000000003E-2</v>
      </c>
      <c r="H5" s="5">
        <v>17</v>
      </c>
      <c r="I5" s="5">
        <v>75</v>
      </c>
      <c r="J5" s="5">
        <v>5.28</v>
      </c>
      <c r="K5" s="5">
        <v>1</v>
      </c>
      <c r="L5" s="5">
        <v>3.1</v>
      </c>
      <c r="M5" s="5">
        <v>658832.62</v>
      </c>
      <c r="N5" s="5">
        <v>84349.93</v>
      </c>
    </row>
    <row r="6" spans="1:14" ht="15" customHeight="1">
      <c r="A6" s="5" t="s">
        <v>14</v>
      </c>
      <c r="B6" s="6">
        <v>45689</v>
      </c>
      <c r="C6" s="5" t="s">
        <v>15</v>
      </c>
      <c r="D6" s="5" t="s">
        <v>16</v>
      </c>
      <c r="E6" s="5">
        <v>43827.89</v>
      </c>
      <c r="F6" s="5">
        <v>8487</v>
      </c>
      <c r="G6" s="5">
        <v>0.16800000000000001</v>
      </c>
      <c r="H6" s="5">
        <v>23</v>
      </c>
      <c r="I6" s="5">
        <v>84.4</v>
      </c>
      <c r="J6" s="5">
        <v>4.3099999999999996</v>
      </c>
      <c r="K6" s="5">
        <v>0</v>
      </c>
      <c r="L6" s="5">
        <v>2.8</v>
      </c>
      <c r="M6" s="5">
        <v>634436</v>
      </c>
      <c r="N6" s="5">
        <v>106130.54</v>
      </c>
    </row>
    <row r="7" spans="1:14" ht="15" customHeight="1">
      <c r="A7" s="5" t="s">
        <v>14</v>
      </c>
      <c r="B7" s="6">
        <v>45717</v>
      </c>
      <c r="C7" s="5" t="s">
        <v>15</v>
      </c>
      <c r="D7" s="5" t="s">
        <v>16</v>
      </c>
      <c r="E7" s="5">
        <v>59921.75</v>
      </c>
      <c r="F7" s="5">
        <v>9113</v>
      </c>
      <c r="G7" s="5">
        <v>0.13300000000000001</v>
      </c>
      <c r="H7" s="5">
        <v>20</v>
      </c>
      <c r="I7" s="5">
        <v>88</v>
      </c>
      <c r="J7" s="5">
        <v>12</v>
      </c>
      <c r="K7" s="5">
        <v>0</v>
      </c>
      <c r="L7" s="5">
        <v>3.2</v>
      </c>
      <c r="M7" s="5">
        <v>678722.06</v>
      </c>
      <c r="N7" s="5">
        <v>101883.86</v>
      </c>
    </row>
    <row r="8" spans="1:14" ht="15" customHeight="1">
      <c r="A8" s="5" t="s">
        <v>14</v>
      </c>
      <c r="B8" s="6">
        <v>45748</v>
      </c>
      <c r="C8" s="5" t="s">
        <v>15</v>
      </c>
      <c r="D8" s="5" t="s">
        <v>16</v>
      </c>
      <c r="E8" s="5">
        <v>56856.63</v>
      </c>
      <c r="F8" s="5">
        <v>9431</v>
      </c>
      <c r="G8" s="5">
        <v>0.14199999999999999</v>
      </c>
      <c r="H8" s="5">
        <v>23</v>
      </c>
      <c r="I8" s="5">
        <v>86.9</v>
      </c>
      <c r="J8" s="5">
        <v>4.97</v>
      </c>
      <c r="K8" s="5">
        <v>0</v>
      </c>
      <c r="L8" s="5">
        <v>3.4</v>
      </c>
      <c r="M8" s="5">
        <v>658920.30000000005</v>
      </c>
      <c r="N8" s="5">
        <v>97910.37</v>
      </c>
    </row>
    <row r="9" spans="1:14" ht="15" customHeight="1">
      <c r="A9" s="5" t="s">
        <v>17</v>
      </c>
      <c r="B9" s="6">
        <v>45658</v>
      </c>
      <c r="C9" s="5" t="s">
        <v>15</v>
      </c>
      <c r="D9" s="5" t="s">
        <v>18</v>
      </c>
      <c r="E9" s="5">
        <v>48412.639999999999</v>
      </c>
      <c r="F9" s="5">
        <v>9545</v>
      </c>
      <c r="G9" s="5">
        <v>0.23100000000000001</v>
      </c>
      <c r="H9" s="5">
        <v>21</v>
      </c>
      <c r="I9" s="5">
        <v>97.6</v>
      </c>
      <c r="J9" s="5">
        <v>6.94</v>
      </c>
      <c r="K9" s="5">
        <v>1</v>
      </c>
      <c r="L9" s="5">
        <v>4.2</v>
      </c>
      <c r="M9" s="5">
        <v>741341.44</v>
      </c>
      <c r="N9" s="5">
        <v>119208.17</v>
      </c>
    </row>
    <row r="10" spans="1:14" ht="15" customHeight="1">
      <c r="A10" s="5" t="s">
        <v>17</v>
      </c>
      <c r="B10" s="6">
        <v>45689</v>
      </c>
      <c r="C10" s="5" t="s">
        <v>15</v>
      </c>
      <c r="D10" s="5" t="s">
        <v>18</v>
      </c>
      <c r="E10" s="5">
        <v>64811.21</v>
      </c>
      <c r="F10" s="5">
        <v>9792</v>
      </c>
      <c r="G10" s="5">
        <v>0.112</v>
      </c>
      <c r="H10" s="5">
        <v>20</v>
      </c>
      <c r="I10" s="5">
        <v>84.2</v>
      </c>
      <c r="J10" s="5">
        <v>2.88</v>
      </c>
      <c r="K10" s="5">
        <v>0</v>
      </c>
      <c r="L10" s="5">
        <v>4.2</v>
      </c>
      <c r="M10" s="5">
        <v>761835.34</v>
      </c>
      <c r="N10" s="5">
        <v>149602.23000000001</v>
      </c>
    </row>
    <row r="11" spans="1:14" ht="15" customHeight="1">
      <c r="A11" s="5" t="s">
        <v>17</v>
      </c>
      <c r="B11" s="6">
        <v>45717</v>
      </c>
      <c r="C11" s="5" t="s">
        <v>15</v>
      </c>
      <c r="D11" s="5" t="s">
        <v>18</v>
      </c>
      <c r="E11" s="5">
        <v>46213.45</v>
      </c>
      <c r="F11" s="5">
        <v>10616</v>
      </c>
      <c r="G11" s="5">
        <v>0.122</v>
      </c>
      <c r="H11" s="5">
        <v>22</v>
      </c>
      <c r="I11" s="5">
        <v>85.2</v>
      </c>
      <c r="J11" s="5">
        <v>0.2</v>
      </c>
      <c r="K11" s="5">
        <v>1</v>
      </c>
      <c r="L11" s="5">
        <v>4.0999999999999996</v>
      </c>
      <c r="M11" s="5">
        <v>806615.54</v>
      </c>
      <c r="N11" s="5">
        <v>131364.62</v>
      </c>
    </row>
    <row r="12" spans="1:14" ht="15" customHeight="1">
      <c r="A12" s="5" t="s">
        <v>17</v>
      </c>
      <c r="B12" s="6">
        <v>45748</v>
      </c>
      <c r="C12" s="5" t="s">
        <v>15</v>
      </c>
      <c r="D12" s="5" t="s">
        <v>18</v>
      </c>
      <c r="E12" s="5">
        <v>68148.52</v>
      </c>
      <c r="F12" s="5">
        <v>8567</v>
      </c>
      <c r="G12" s="5">
        <v>0.127</v>
      </c>
      <c r="H12" s="5">
        <v>23</v>
      </c>
      <c r="I12" s="5">
        <v>95.6</v>
      </c>
      <c r="J12" s="5">
        <v>0.8</v>
      </c>
      <c r="K12" s="5">
        <v>0</v>
      </c>
      <c r="L12" s="5">
        <v>3.9</v>
      </c>
      <c r="M12" s="5">
        <v>850164.26</v>
      </c>
      <c r="N12" s="5">
        <v>149262.75</v>
      </c>
    </row>
    <row r="13" spans="1:14" ht="15" customHeight="1">
      <c r="A13" s="5" t="s">
        <v>19</v>
      </c>
      <c r="B13" s="6">
        <v>45658</v>
      </c>
      <c r="C13" s="5" t="s">
        <v>20</v>
      </c>
      <c r="D13" s="5" t="s">
        <v>21</v>
      </c>
      <c r="E13" s="5">
        <v>71838.86</v>
      </c>
      <c r="F13" s="5">
        <v>10979</v>
      </c>
      <c r="G13" s="5">
        <v>0.215</v>
      </c>
      <c r="H13" s="5">
        <v>26</v>
      </c>
      <c r="I13" s="5">
        <v>88.6</v>
      </c>
      <c r="J13" s="5">
        <v>7.7</v>
      </c>
      <c r="K13" s="5">
        <v>1</v>
      </c>
      <c r="L13" s="5">
        <v>3.8</v>
      </c>
      <c r="M13" s="5">
        <v>930581.7</v>
      </c>
      <c r="N13" s="5">
        <v>136207.98000000001</v>
      </c>
    </row>
    <row r="14" spans="1:14" ht="15" customHeight="1">
      <c r="A14" s="5" t="s">
        <v>19</v>
      </c>
      <c r="B14" s="6">
        <v>45689</v>
      </c>
      <c r="C14" s="5" t="s">
        <v>20</v>
      </c>
      <c r="D14" s="5" t="s">
        <v>21</v>
      </c>
      <c r="E14" s="5">
        <v>68133.440000000002</v>
      </c>
      <c r="F14" s="5">
        <v>9459</v>
      </c>
      <c r="G14" s="5">
        <v>0.22</v>
      </c>
      <c r="H14" s="5">
        <v>21</v>
      </c>
      <c r="I14" s="5">
        <v>85</v>
      </c>
      <c r="J14" s="5">
        <v>1.91</v>
      </c>
      <c r="K14" s="5">
        <v>0</v>
      </c>
      <c r="L14" s="5">
        <v>4.2</v>
      </c>
      <c r="M14" s="5">
        <v>779010.94</v>
      </c>
      <c r="N14" s="5">
        <v>106328.09</v>
      </c>
    </row>
    <row r="15" spans="1:14" ht="15" customHeight="1">
      <c r="A15" s="5" t="s">
        <v>19</v>
      </c>
      <c r="B15" s="6">
        <v>45717</v>
      </c>
      <c r="C15" s="5" t="s">
        <v>20</v>
      </c>
      <c r="D15" s="5" t="s">
        <v>21</v>
      </c>
      <c r="E15" s="5">
        <v>34285.21</v>
      </c>
      <c r="F15" s="5">
        <v>9172</v>
      </c>
      <c r="G15" s="5">
        <v>0.21299999999999999</v>
      </c>
      <c r="H15" s="5">
        <v>22</v>
      </c>
      <c r="I15" s="5">
        <v>88.3</v>
      </c>
      <c r="J15" s="5">
        <v>10.46</v>
      </c>
      <c r="K15" s="5">
        <v>1</v>
      </c>
      <c r="L15" s="5">
        <v>3.8</v>
      </c>
      <c r="M15" s="5">
        <v>723060.76</v>
      </c>
      <c r="N15" s="5">
        <v>123131.24</v>
      </c>
    </row>
    <row r="16" spans="1:14" ht="15" customHeight="1">
      <c r="A16" s="5" t="s">
        <v>19</v>
      </c>
      <c r="B16" s="6">
        <v>45748</v>
      </c>
      <c r="C16" s="5" t="s">
        <v>20</v>
      </c>
      <c r="D16" s="5" t="s">
        <v>21</v>
      </c>
      <c r="E16" s="5">
        <v>67979.88</v>
      </c>
      <c r="F16" s="5">
        <v>11230</v>
      </c>
      <c r="G16" s="5">
        <v>2E-3</v>
      </c>
      <c r="H16" s="5">
        <v>28</v>
      </c>
      <c r="I16" s="5">
        <v>85.3</v>
      </c>
      <c r="J16" s="5">
        <v>7.16</v>
      </c>
      <c r="K16" s="5">
        <v>0</v>
      </c>
      <c r="L16" s="5">
        <v>3.8</v>
      </c>
      <c r="M16" s="5">
        <v>910791.94</v>
      </c>
      <c r="N16" s="5">
        <v>158891.28</v>
      </c>
    </row>
    <row r="17" spans="1:14" ht="15" customHeight="1">
      <c r="A17" s="5" t="s">
        <v>22</v>
      </c>
      <c r="B17" s="6">
        <v>45658</v>
      </c>
      <c r="C17" s="5" t="s">
        <v>15</v>
      </c>
      <c r="D17" s="5" t="s">
        <v>16</v>
      </c>
      <c r="E17" s="5">
        <v>71828.259999999995</v>
      </c>
      <c r="F17" s="5">
        <v>12775</v>
      </c>
      <c r="G17" s="5">
        <v>0.11600000000000001</v>
      </c>
      <c r="H17" s="5">
        <v>30</v>
      </c>
      <c r="I17" s="5">
        <v>81.7</v>
      </c>
      <c r="J17" s="5">
        <v>4.24</v>
      </c>
      <c r="K17" s="5">
        <v>1</v>
      </c>
      <c r="L17" s="5">
        <v>4.2</v>
      </c>
      <c r="M17" s="5">
        <v>922168.6</v>
      </c>
      <c r="N17" s="5">
        <v>107494.53</v>
      </c>
    </row>
    <row r="18" spans="1:14" ht="15" customHeight="1">
      <c r="A18" s="5" t="s">
        <v>22</v>
      </c>
      <c r="B18" s="6">
        <v>45689</v>
      </c>
      <c r="C18" s="5" t="s">
        <v>15</v>
      </c>
      <c r="D18" s="5" t="s">
        <v>16</v>
      </c>
      <c r="E18" s="5">
        <v>55716.82</v>
      </c>
      <c r="F18" s="5">
        <v>10054</v>
      </c>
      <c r="G18" s="5">
        <v>0.14599999999999999</v>
      </c>
      <c r="H18" s="5">
        <v>24</v>
      </c>
      <c r="I18" s="5">
        <v>84.9</v>
      </c>
      <c r="J18" s="5">
        <v>1.06</v>
      </c>
      <c r="K18" s="5">
        <v>0</v>
      </c>
      <c r="L18" s="5">
        <v>4.3</v>
      </c>
      <c r="M18" s="5">
        <v>726606.28</v>
      </c>
      <c r="N18" s="5">
        <v>122729.29</v>
      </c>
    </row>
    <row r="19" spans="1:14" ht="15" customHeight="1">
      <c r="A19" s="5" t="s">
        <v>22</v>
      </c>
      <c r="B19" s="6">
        <v>45717</v>
      </c>
      <c r="C19" s="5" t="s">
        <v>15</v>
      </c>
      <c r="D19" s="5" t="s">
        <v>16</v>
      </c>
      <c r="E19" s="5">
        <v>59909.51</v>
      </c>
      <c r="F19" s="5">
        <v>8895</v>
      </c>
      <c r="G19" s="5">
        <v>0.22800000000000001</v>
      </c>
      <c r="H19" s="5">
        <v>23</v>
      </c>
      <c r="I19" s="5">
        <v>88.8</v>
      </c>
      <c r="J19" s="5">
        <v>0.27</v>
      </c>
      <c r="K19" s="5">
        <v>0</v>
      </c>
      <c r="L19" s="5">
        <v>4.3</v>
      </c>
      <c r="M19" s="5">
        <v>746501.09</v>
      </c>
      <c r="N19" s="5">
        <v>136816.72</v>
      </c>
    </row>
    <row r="20" spans="1:14" ht="15" customHeight="1">
      <c r="A20" s="5" t="s">
        <v>22</v>
      </c>
      <c r="B20" s="6">
        <v>45748</v>
      </c>
      <c r="C20" s="5" t="s">
        <v>15</v>
      </c>
      <c r="D20" s="5" t="s">
        <v>16</v>
      </c>
      <c r="E20" s="5">
        <v>75305.710000000006</v>
      </c>
      <c r="F20" s="5">
        <v>10940</v>
      </c>
      <c r="G20" s="5">
        <v>6.0000000000000001E-3</v>
      </c>
      <c r="H20" s="5">
        <v>26</v>
      </c>
      <c r="I20" s="5">
        <v>76.5</v>
      </c>
      <c r="J20" s="5">
        <v>1.32</v>
      </c>
      <c r="K20" s="5">
        <v>0</v>
      </c>
      <c r="L20" s="5">
        <v>4.5</v>
      </c>
      <c r="M20" s="5">
        <v>834017.02</v>
      </c>
      <c r="N20" s="5">
        <v>114745.03</v>
      </c>
    </row>
    <row r="21" spans="1:14" ht="15" customHeight="1">
      <c r="A21" s="5" t="s">
        <v>23</v>
      </c>
      <c r="B21" s="6">
        <v>45658</v>
      </c>
      <c r="C21" s="5" t="s">
        <v>24</v>
      </c>
      <c r="D21" s="5" t="s">
        <v>16</v>
      </c>
      <c r="E21" s="5">
        <v>48804.22</v>
      </c>
      <c r="F21" s="5">
        <v>7057</v>
      </c>
      <c r="G21" s="5">
        <v>5.0000000000000001E-3</v>
      </c>
      <c r="H21" s="5">
        <v>15</v>
      </c>
      <c r="I21" s="5">
        <v>87.7</v>
      </c>
      <c r="J21" s="5">
        <v>1.22</v>
      </c>
      <c r="K21" s="5">
        <v>0</v>
      </c>
      <c r="L21" s="5">
        <v>3.7</v>
      </c>
      <c r="M21" s="5">
        <v>666152.52</v>
      </c>
      <c r="N21" s="5">
        <v>107490.58</v>
      </c>
    </row>
    <row r="22" spans="1:14" ht="15" customHeight="1">
      <c r="A22" s="5" t="s">
        <v>23</v>
      </c>
      <c r="B22" s="6">
        <v>45689</v>
      </c>
      <c r="C22" s="5" t="s">
        <v>24</v>
      </c>
      <c r="D22" s="5" t="s">
        <v>16</v>
      </c>
      <c r="E22" s="5">
        <v>59117.9</v>
      </c>
      <c r="F22" s="5">
        <v>4263</v>
      </c>
      <c r="G22" s="5">
        <v>0.11899999999999999</v>
      </c>
      <c r="H22" s="5">
        <v>9</v>
      </c>
      <c r="I22" s="5">
        <v>87.6</v>
      </c>
      <c r="J22" s="5">
        <v>4.01</v>
      </c>
      <c r="K22" s="5">
        <v>0</v>
      </c>
      <c r="L22" s="5">
        <v>3.6</v>
      </c>
      <c r="M22" s="5">
        <v>573155.18999999994</v>
      </c>
      <c r="N22" s="5">
        <v>83680.75</v>
      </c>
    </row>
    <row r="23" spans="1:14" ht="15" customHeight="1">
      <c r="A23" s="5" t="s">
        <v>23</v>
      </c>
      <c r="B23" s="6">
        <v>45717</v>
      </c>
      <c r="C23" s="5" t="s">
        <v>24</v>
      </c>
      <c r="D23" s="5" t="s">
        <v>16</v>
      </c>
      <c r="E23" s="5">
        <v>78831.12</v>
      </c>
      <c r="F23" s="5">
        <v>5538</v>
      </c>
      <c r="G23" s="5">
        <v>0</v>
      </c>
      <c r="H23" s="5">
        <v>15</v>
      </c>
      <c r="I23" s="5">
        <v>94.1</v>
      </c>
      <c r="J23" s="5">
        <v>0.2</v>
      </c>
      <c r="K23" s="5">
        <v>0</v>
      </c>
      <c r="L23" s="5">
        <v>3.9</v>
      </c>
      <c r="M23" s="5">
        <v>666573.19999999995</v>
      </c>
      <c r="N23" s="5">
        <v>140641.01999999999</v>
      </c>
    </row>
    <row r="24" spans="1:14" ht="15" customHeight="1">
      <c r="A24" s="5" t="s">
        <v>23</v>
      </c>
      <c r="B24" s="6">
        <v>45748</v>
      </c>
      <c r="C24" s="5" t="s">
        <v>24</v>
      </c>
      <c r="D24" s="5" t="s">
        <v>16</v>
      </c>
      <c r="E24" s="5">
        <v>41441.93</v>
      </c>
      <c r="F24" s="5">
        <v>4865</v>
      </c>
      <c r="G24" s="5">
        <v>0.158</v>
      </c>
      <c r="H24" s="5">
        <v>16</v>
      </c>
      <c r="I24" s="5">
        <v>88.3</v>
      </c>
      <c r="J24" s="5">
        <v>0.5</v>
      </c>
      <c r="K24" s="5">
        <v>0</v>
      </c>
      <c r="L24" s="5">
        <v>4</v>
      </c>
      <c r="M24" s="5">
        <v>591619.94999999995</v>
      </c>
      <c r="N24" s="5">
        <v>99521.35</v>
      </c>
    </row>
    <row r="25" spans="1:14" ht="15" customHeight="1">
      <c r="A25" s="5" t="s">
        <v>25</v>
      </c>
      <c r="B25" s="6">
        <v>45658</v>
      </c>
      <c r="C25" s="5" t="s">
        <v>20</v>
      </c>
      <c r="D25" s="5" t="s">
        <v>16</v>
      </c>
      <c r="E25" s="5">
        <v>30356.28</v>
      </c>
      <c r="F25" s="5">
        <v>2822</v>
      </c>
      <c r="G25" s="5">
        <v>0.23100000000000001</v>
      </c>
      <c r="H25" s="5">
        <v>9</v>
      </c>
      <c r="I25" s="5">
        <v>84.8</v>
      </c>
      <c r="J25" s="5">
        <v>6.95</v>
      </c>
      <c r="K25" s="5">
        <v>0</v>
      </c>
      <c r="L25" s="5">
        <v>5</v>
      </c>
      <c r="M25" s="5">
        <v>415721.82</v>
      </c>
      <c r="N25" s="5">
        <v>61179.15</v>
      </c>
    </row>
    <row r="26" spans="1:14" ht="15" customHeight="1">
      <c r="A26" s="5" t="s">
        <v>25</v>
      </c>
      <c r="B26" s="6">
        <v>45689</v>
      </c>
      <c r="C26" s="5" t="s">
        <v>20</v>
      </c>
      <c r="D26" s="5" t="s">
        <v>16</v>
      </c>
      <c r="E26" s="5">
        <v>33518.879999999997</v>
      </c>
      <c r="F26" s="5">
        <v>2121</v>
      </c>
      <c r="G26" s="5">
        <v>0.17599999999999999</v>
      </c>
      <c r="H26" s="5">
        <v>8</v>
      </c>
      <c r="I26" s="5">
        <v>88.5</v>
      </c>
      <c r="J26" s="5">
        <v>0.2</v>
      </c>
      <c r="K26" s="5">
        <v>0</v>
      </c>
      <c r="L26" s="5">
        <v>5</v>
      </c>
      <c r="M26" s="5">
        <v>491905.13</v>
      </c>
      <c r="N26" s="5">
        <v>79212.259999999995</v>
      </c>
    </row>
    <row r="27" spans="1:14" ht="15" customHeight="1">
      <c r="A27" s="5" t="s">
        <v>25</v>
      </c>
      <c r="B27" s="6">
        <v>45717</v>
      </c>
      <c r="C27" s="5" t="s">
        <v>20</v>
      </c>
      <c r="D27" s="5" t="s">
        <v>16</v>
      </c>
      <c r="E27" s="5">
        <v>42267.37</v>
      </c>
      <c r="F27" s="5">
        <v>3364</v>
      </c>
      <c r="G27" s="5">
        <v>0.16</v>
      </c>
      <c r="H27" s="5">
        <v>13</v>
      </c>
      <c r="I27" s="5">
        <v>82</v>
      </c>
      <c r="J27" s="5">
        <v>1.61</v>
      </c>
      <c r="K27" s="5">
        <v>1</v>
      </c>
      <c r="L27" s="5">
        <v>4.5999999999999996</v>
      </c>
      <c r="M27" s="5">
        <v>555929.4</v>
      </c>
      <c r="N27" s="5">
        <v>115201.76</v>
      </c>
    </row>
    <row r="28" spans="1:14" ht="15" customHeight="1">
      <c r="A28" s="5" t="s">
        <v>25</v>
      </c>
      <c r="B28" s="6">
        <v>45748</v>
      </c>
      <c r="C28" s="5" t="s">
        <v>20</v>
      </c>
      <c r="D28" s="5" t="s">
        <v>16</v>
      </c>
      <c r="E28" s="5">
        <v>62060.43</v>
      </c>
      <c r="F28" s="5">
        <v>2613</v>
      </c>
      <c r="G28" s="5">
        <v>0.216</v>
      </c>
      <c r="H28" s="5">
        <v>12</v>
      </c>
      <c r="I28" s="5">
        <v>92.1</v>
      </c>
      <c r="J28" s="5">
        <v>1.55</v>
      </c>
      <c r="K28" s="5">
        <v>0</v>
      </c>
      <c r="L28" s="5">
        <v>4.7</v>
      </c>
      <c r="M28" s="5">
        <v>565810.99</v>
      </c>
      <c r="N28" s="5">
        <v>77825.460000000006</v>
      </c>
    </row>
    <row r="29" spans="1:14" ht="15" customHeight="1">
      <c r="A29" s="5" t="s">
        <v>26</v>
      </c>
      <c r="B29" s="6">
        <v>45658</v>
      </c>
      <c r="C29" s="5" t="s">
        <v>27</v>
      </c>
      <c r="D29" s="5" t="s">
        <v>28</v>
      </c>
      <c r="E29" s="5">
        <v>57696.69</v>
      </c>
      <c r="F29" s="5">
        <v>10218</v>
      </c>
      <c r="G29" s="5">
        <v>0.121</v>
      </c>
      <c r="H29" s="5">
        <v>25</v>
      </c>
      <c r="I29" s="5">
        <v>94.8</v>
      </c>
      <c r="J29" s="5">
        <v>2.99</v>
      </c>
      <c r="K29" s="5">
        <v>0</v>
      </c>
      <c r="L29" s="5">
        <v>3.5</v>
      </c>
      <c r="M29" s="5">
        <v>811771.14</v>
      </c>
      <c r="N29" s="5">
        <v>148756.24</v>
      </c>
    </row>
    <row r="30" spans="1:14" ht="15" customHeight="1">
      <c r="A30" s="5" t="s">
        <v>26</v>
      </c>
      <c r="B30" s="6">
        <v>45689</v>
      </c>
      <c r="C30" s="5" t="s">
        <v>27</v>
      </c>
      <c r="D30" s="5" t="s">
        <v>28</v>
      </c>
      <c r="E30" s="5">
        <v>172415.52</v>
      </c>
      <c r="F30" s="5">
        <v>8927</v>
      </c>
      <c r="G30" s="5">
        <v>0.14000000000000001</v>
      </c>
      <c r="H30" s="5">
        <v>22</v>
      </c>
      <c r="I30" s="5">
        <v>86.2</v>
      </c>
      <c r="J30" s="5">
        <v>7.04</v>
      </c>
      <c r="K30" s="5">
        <v>0</v>
      </c>
      <c r="L30" s="5">
        <v>3.9</v>
      </c>
      <c r="M30" s="5">
        <v>800451.94</v>
      </c>
      <c r="N30" s="5">
        <v>111572.29</v>
      </c>
    </row>
    <row r="31" spans="1:14" ht="15" customHeight="1">
      <c r="A31" s="5" t="s">
        <v>26</v>
      </c>
      <c r="B31" s="6">
        <v>45717</v>
      </c>
      <c r="C31" s="5" t="s">
        <v>27</v>
      </c>
      <c r="D31" s="5" t="s">
        <v>28</v>
      </c>
      <c r="E31" s="5">
        <v>55270.52</v>
      </c>
      <c r="F31" s="5">
        <v>9315</v>
      </c>
      <c r="G31" s="5">
        <v>0.16900000000000001</v>
      </c>
      <c r="H31" s="5">
        <v>23</v>
      </c>
      <c r="I31" s="5">
        <v>91.9</v>
      </c>
      <c r="J31" s="5">
        <v>4.9400000000000004</v>
      </c>
      <c r="K31" s="5">
        <v>0</v>
      </c>
      <c r="L31" s="5">
        <v>4</v>
      </c>
      <c r="M31" s="5">
        <v>783672.82</v>
      </c>
      <c r="N31" s="5">
        <v>112577.14</v>
      </c>
    </row>
    <row r="32" spans="1:14" ht="15" customHeight="1">
      <c r="A32" s="5" t="s">
        <v>26</v>
      </c>
      <c r="B32" s="6">
        <v>45748</v>
      </c>
      <c r="C32" s="5" t="s">
        <v>27</v>
      </c>
      <c r="D32" s="5" t="s">
        <v>28</v>
      </c>
      <c r="E32" s="5">
        <v>52715.1</v>
      </c>
      <c r="F32" s="5">
        <v>7223</v>
      </c>
      <c r="G32" s="5">
        <v>0.122</v>
      </c>
      <c r="H32" s="5">
        <v>16</v>
      </c>
      <c r="I32" s="5">
        <v>84.2</v>
      </c>
      <c r="J32" s="5">
        <v>16.149999999999999</v>
      </c>
      <c r="K32" s="5">
        <v>0</v>
      </c>
      <c r="L32" s="5">
        <v>3.7</v>
      </c>
      <c r="M32" s="5">
        <v>701641.97</v>
      </c>
      <c r="N32" s="5">
        <v>106111.86</v>
      </c>
    </row>
    <row r="33" spans="1:14" ht="15" customHeight="1">
      <c r="A33" s="5" t="s">
        <v>29</v>
      </c>
      <c r="B33" s="6">
        <v>45658</v>
      </c>
      <c r="C33" s="5" t="s">
        <v>15</v>
      </c>
      <c r="D33" s="5" t="s">
        <v>16</v>
      </c>
      <c r="E33" s="5">
        <v>68600.62</v>
      </c>
      <c r="F33" s="5">
        <v>3988</v>
      </c>
      <c r="G33" s="5">
        <v>0.124</v>
      </c>
      <c r="H33" s="5">
        <v>11</v>
      </c>
      <c r="I33" s="5">
        <v>85</v>
      </c>
      <c r="J33" s="5">
        <v>0.48</v>
      </c>
      <c r="K33" s="5">
        <v>0</v>
      </c>
      <c r="L33" s="5">
        <v>3.6</v>
      </c>
      <c r="M33" s="5">
        <v>511844.41</v>
      </c>
      <c r="N33" s="5">
        <v>72774.44</v>
      </c>
    </row>
    <row r="34" spans="1:14" ht="15" customHeight="1">
      <c r="A34" s="5" t="s">
        <v>29</v>
      </c>
      <c r="B34" s="6">
        <v>45689</v>
      </c>
      <c r="C34" s="5" t="s">
        <v>15</v>
      </c>
      <c r="D34" s="5" t="s">
        <v>16</v>
      </c>
      <c r="E34" s="5">
        <v>63176.73</v>
      </c>
      <c r="F34" s="5">
        <v>2390</v>
      </c>
      <c r="G34" s="5">
        <v>0.216</v>
      </c>
      <c r="H34" s="5">
        <v>9</v>
      </c>
      <c r="I34" s="5">
        <v>87.5</v>
      </c>
      <c r="J34" s="5">
        <v>0.31</v>
      </c>
      <c r="K34" s="5">
        <v>0</v>
      </c>
      <c r="L34" s="5">
        <v>3.1</v>
      </c>
      <c r="M34" s="5">
        <v>537383.79</v>
      </c>
      <c r="N34" s="5">
        <v>63773.27</v>
      </c>
    </row>
    <row r="35" spans="1:14" ht="15" customHeight="1">
      <c r="A35" s="5" t="s">
        <v>29</v>
      </c>
      <c r="B35" s="6">
        <v>45717</v>
      </c>
      <c r="C35" s="5" t="s">
        <v>15</v>
      </c>
      <c r="D35" s="5" t="s">
        <v>16</v>
      </c>
      <c r="E35" s="5">
        <v>44970.080000000002</v>
      </c>
      <c r="F35" s="5">
        <v>2471</v>
      </c>
      <c r="G35" s="5">
        <v>0.13600000000000001</v>
      </c>
      <c r="H35" s="5">
        <v>11</v>
      </c>
      <c r="I35" s="5">
        <v>87.6</v>
      </c>
      <c r="J35" s="5">
        <v>3.01</v>
      </c>
      <c r="K35" s="5">
        <v>1</v>
      </c>
      <c r="L35" s="5">
        <v>3.7</v>
      </c>
      <c r="M35" s="5">
        <v>500173.02</v>
      </c>
      <c r="N35" s="5">
        <v>70982.05</v>
      </c>
    </row>
    <row r="36" spans="1:14" ht="15" customHeight="1">
      <c r="A36" s="5" t="s">
        <v>29</v>
      </c>
      <c r="B36" s="6">
        <v>45748</v>
      </c>
      <c r="C36" s="5" t="s">
        <v>15</v>
      </c>
      <c r="D36" s="5" t="s">
        <v>16</v>
      </c>
      <c r="E36" s="5">
        <v>69816.350000000006</v>
      </c>
      <c r="F36" s="5">
        <v>971</v>
      </c>
      <c r="G36" s="5">
        <v>0.16800000000000001</v>
      </c>
      <c r="H36" s="5">
        <v>5</v>
      </c>
      <c r="I36" s="5">
        <v>89.9</v>
      </c>
      <c r="J36" s="5">
        <v>12.15</v>
      </c>
      <c r="K36" s="5">
        <v>0</v>
      </c>
      <c r="L36" s="5">
        <v>3.6</v>
      </c>
      <c r="M36" s="5">
        <v>427917.38</v>
      </c>
      <c r="N36" s="5">
        <v>81824.31</v>
      </c>
    </row>
    <row r="37" spans="1:14" ht="15" customHeight="1">
      <c r="A37" s="5" t="s">
        <v>30</v>
      </c>
      <c r="B37" s="6">
        <v>45658</v>
      </c>
      <c r="C37" s="5" t="s">
        <v>20</v>
      </c>
      <c r="D37" s="5" t="s">
        <v>16</v>
      </c>
      <c r="E37" s="5">
        <v>54597.83</v>
      </c>
      <c r="F37" s="5">
        <v>9429</v>
      </c>
      <c r="G37" s="5">
        <v>0.188</v>
      </c>
      <c r="H37" s="5">
        <v>21</v>
      </c>
      <c r="I37" s="5">
        <v>83.3</v>
      </c>
      <c r="J37" s="5">
        <v>11.71</v>
      </c>
      <c r="K37" s="5">
        <v>0</v>
      </c>
      <c r="L37" s="5">
        <v>4.2</v>
      </c>
      <c r="M37" s="5">
        <v>641865.03</v>
      </c>
      <c r="N37" s="5">
        <v>81342.58</v>
      </c>
    </row>
    <row r="38" spans="1:14" ht="15" customHeight="1">
      <c r="A38" s="5" t="s">
        <v>30</v>
      </c>
      <c r="B38" s="6">
        <v>45689</v>
      </c>
      <c r="C38" s="5" t="s">
        <v>20</v>
      </c>
      <c r="D38" s="5" t="s">
        <v>16</v>
      </c>
      <c r="E38" s="5">
        <v>73771.91</v>
      </c>
      <c r="F38" s="5">
        <v>11695</v>
      </c>
      <c r="G38" s="5">
        <v>7.0000000000000007E-2</v>
      </c>
      <c r="H38" s="5">
        <v>25</v>
      </c>
      <c r="I38" s="5">
        <v>84.7</v>
      </c>
      <c r="J38" s="5">
        <v>0.62</v>
      </c>
      <c r="K38" s="5">
        <v>0</v>
      </c>
      <c r="L38" s="5"/>
      <c r="M38" s="5">
        <v>799477.76000000001</v>
      </c>
      <c r="N38" s="5">
        <v>164974.41</v>
      </c>
    </row>
    <row r="39" spans="1:14" ht="15" customHeight="1">
      <c r="A39" s="5" t="s">
        <v>30</v>
      </c>
      <c r="B39" s="6">
        <v>45717</v>
      </c>
      <c r="C39" s="5" t="s">
        <v>20</v>
      </c>
      <c r="D39" s="5" t="s">
        <v>16</v>
      </c>
      <c r="E39" s="5">
        <v>74413.88</v>
      </c>
      <c r="F39" s="5">
        <v>9449</v>
      </c>
      <c r="G39" s="5">
        <v>3.9E-2</v>
      </c>
      <c r="H39" s="5">
        <v>23</v>
      </c>
      <c r="I39" s="5">
        <v>92.1</v>
      </c>
      <c r="J39" s="5">
        <v>2.12</v>
      </c>
      <c r="K39" s="5">
        <v>0</v>
      </c>
      <c r="L39" s="5">
        <v>3.5</v>
      </c>
      <c r="M39" s="5">
        <v>798952.17</v>
      </c>
      <c r="N39" s="5">
        <v>161499.04</v>
      </c>
    </row>
    <row r="40" spans="1:14" ht="15" customHeight="1">
      <c r="A40" s="5" t="s">
        <v>30</v>
      </c>
      <c r="B40" s="6">
        <v>45748</v>
      </c>
      <c r="C40" s="5" t="s">
        <v>20</v>
      </c>
      <c r="D40" s="5" t="s">
        <v>16</v>
      </c>
      <c r="E40" s="5">
        <v>52483.77</v>
      </c>
      <c r="F40" s="5">
        <v>10453</v>
      </c>
      <c r="G40" s="5">
        <v>0.247</v>
      </c>
      <c r="H40" s="5">
        <v>25</v>
      </c>
      <c r="I40" s="5">
        <v>99</v>
      </c>
      <c r="J40" s="5">
        <v>6.31</v>
      </c>
      <c r="K40" s="5">
        <v>0</v>
      </c>
      <c r="L40" s="5">
        <v>3.6</v>
      </c>
      <c r="M40" s="5">
        <v>800979.78</v>
      </c>
      <c r="N40" s="5">
        <v>149242.26999999999</v>
      </c>
    </row>
    <row r="41" spans="1:14" ht="15" customHeight="1">
      <c r="A41" s="5" t="s">
        <v>31</v>
      </c>
      <c r="B41" s="6">
        <v>45658</v>
      </c>
      <c r="C41" s="5" t="s">
        <v>20</v>
      </c>
      <c r="D41" s="5" t="s">
        <v>28</v>
      </c>
      <c r="E41" s="5">
        <v>75269.87</v>
      </c>
      <c r="F41" s="5">
        <v>8838</v>
      </c>
      <c r="G41" s="5">
        <v>9.1999999999999998E-2</v>
      </c>
      <c r="H41" s="5">
        <v>21</v>
      </c>
      <c r="I41" s="5">
        <v>83.1</v>
      </c>
      <c r="J41" s="5">
        <v>9.56</v>
      </c>
      <c r="K41" s="5">
        <v>1</v>
      </c>
      <c r="L41" s="5">
        <v>4.2</v>
      </c>
      <c r="M41" s="5">
        <v>820593.93</v>
      </c>
      <c r="N41" s="5">
        <v>115860.06</v>
      </c>
    </row>
    <row r="42" spans="1:14" ht="15" customHeight="1">
      <c r="A42" s="5" t="s">
        <v>31</v>
      </c>
      <c r="B42" s="6">
        <v>45689</v>
      </c>
      <c r="C42" s="5" t="s">
        <v>20</v>
      </c>
      <c r="D42" s="5" t="s">
        <v>28</v>
      </c>
      <c r="E42" s="5">
        <v>61245.41</v>
      </c>
      <c r="F42" s="5">
        <v>8156</v>
      </c>
      <c r="G42" s="5">
        <v>0.156</v>
      </c>
      <c r="H42" s="5">
        <v>19</v>
      </c>
      <c r="I42" s="5">
        <v>92.9</v>
      </c>
      <c r="J42" s="5">
        <v>9.0500000000000007</v>
      </c>
      <c r="K42" s="5">
        <v>0</v>
      </c>
      <c r="L42" s="5">
        <v>3.8</v>
      </c>
      <c r="M42" s="5">
        <v>718330.53</v>
      </c>
      <c r="N42" s="5">
        <v>93247.9</v>
      </c>
    </row>
    <row r="43" spans="1:14" ht="15" customHeight="1">
      <c r="A43" s="5" t="s">
        <v>31</v>
      </c>
      <c r="B43" s="6">
        <v>45717</v>
      </c>
      <c r="C43" s="5" t="s">
        <v>20</v>
      </c>
      <c r="D43" s="5" t="s">
        <v>28</v>
      </c>
      <c r="E43" s="5">
        <v>93381.26</v>
      </c>
      <c r="F43" s="5">
        <v>7562</v>
      </c>
      <c r="G43" s="5">
        <v>0.19800000000000001</v>
      </c>
      <c r="H43" s="5">
        <v>19</v>
      </c>
      <c r="I43" s="5">
        <v>82.9</v>
      </c>
      <c r="J43" s="5">
        <v>5.05</v>
      </c>
      <c r="K43" s="5">
        <v>0</v>
      </c>
      <c r="L43" s="5">
        <v>4</v>
      </c>
      <c r="M43" s="5">
        <v>736633.4</v>
      </c>
      <c r="N43" s="5">
        <v>115654.66</v>
      </c>
    </row>
    <row r="44" spans="1:14" ht="15" customHeight="1">
      <c r="A44" s="5" t="s">
        <v>31</v>
      </c>
      <c r="B44" s="6">
        <v>45748</v>
      </c>
      <c r="C44" s="5" t="s">
        <v>20</v>
      </c>
      <c r="D44" s="5" t="s">
        <v>28</v>
      </c>
      <c r="E44" s="5">
        <v>65012.19</v>
      </c>
      <c r="F44" s="5">
        <v>9598</v>
      </c>
      <c r="G44" s="5">
        <v>8.5000000000000006E-2</v>
      </c>
      <c r="H44" s="5">
        <v>24</v>
      </c>
      <c r="I44" s="5">
        <v>98.3</v>
      </c>
      <c r="J44" s="5">
        <v>0.89</v>
      </c>
      <c r="K44" s="5">
        <v>0</v>
      </c>
      <c r="L44" s="5">
        <v>3.8</v>
      </c>
      <c r="M44" s="5">
        <v>828623.85</v>
      </c>
      <c r="N44" s="5">
        <v>167320.51999999999</v>
      </c>
    </row>
    <row r="45" spans="1:14" ht="15" customHeight="1">
      <c r="A45" s="5" t="s">
        <v>32</v>
      </c>
      <c r="B45" s="6">
        <v>45658</v>
      </c>
      <c r="C45" s="5" t="s">
        <v>15</v>
      </c>
      <c r="D45" s="5" t="s">
        <v>28</v>
      </c>
      <c r="E45" s="5">
        <v>40462.94</v>
      </c>
      <c r="F45" s="5">
        <v>3660</v>
      </c>
      <c r="G45" s="5">
        <v>0.218</v>
      </c>
      <c r="H45" s="5">
        <v>11</v>
      </c>
      <c r="I45" s="5">
        <v>95.2</v>
      </c>
      <c r="J45" s="5">
        <v>5.57</v>
      </c>
      <c r="K45" s="5">
        <v>0</v>
      </c>
      <c r="L45" s="5">
        <v>4.4000000000000004</v>
      </c>
      <c r="M45" s="5">
        <v>592195.85</v>
      </c>
      <c r="N45" s="5">
        <v>92291.56</v>
      </c>
    </row>
    <row r="46" spans="1:14" ht="15" customHeight="1">
      <c r="A46" s="5" t="s">
        <v>32</v>
      </c>
      <c r="B46" s="6">
        <v>45689</v>
      </c>
      <c r="C46" s="5" t="s">
        <v>15</v>
      </c>
      <c r="D46" s="5" t="s">
        <v>28</v>
      </c>
      <c r="E46" s="5">
        <v>46123.88</v>
      </c>
      <c r="F46" s="5">
        <v>3227</v>
      </c>
      <c r="G46" s="5">
        <v>0.14299999999999999</v>
      </c>
      <c r="H46" s="5">
        <v>10</v>
      </c>
      <c r="I46" s="5">
        <v>75.400000000000006</v>
      </c>
      <c r="J46" s="5">
        <v>1.06</v>
      </c>
      <c r="K46" s="5">
        <v>0</v>
      </c>
      <c r="L46" s="5">
        <v>4.4000000000000004</v>
      </c>
      <c r="M46" s="5">
        <v>532644.46</v>
      </c>
      <c r="N46" s="5">
        <v>60681.32</v>
      </c>
    </row>
    <row r="47" spans="1:14" ht="15" customHeight="1">
      <c r="A47" s="5" t="s">
        <v>32</v>
      </c>
      <c r="B47" s="6">
        <v>45717</v>
      </c>
      <c r="C47" s="5" t="s">
        <v>15</v>
      </c>
      <c r="D47" s="5" t="s">
        <v>28</v>
      </c>
      <c r="E47" s="5">
        <v>68077.539999999994</v>
      </c>
      <c r="F47" s="5">
        <v>3360</v>
      </c>
      <c r="G47" s="5">
        <v>0.128</v>
      </c>
      <c r="H47" s="5">
        <v>14</v>
      </c>
      <c r="I47" s="5">
        <v>88.2</v>
      </c>
      <c r="J47" s="5">
        <v>1.24</v>
      </c>
      <c r="K47" s="5">
        <v>1</v>
      </c>
      <c r="L47" s="5">
        <v>4</v>
      </c>
      <c r="M47" s="5">
        <v>657429.18000000005</v>
      </c>
      <c r="N47" s="5">
        <v>88919.74</v>
      </c>
    </row>
    <row r="48" spans="1:14" ht="15" customHeight="1">
      <c r="A48" s="5" t="s">
        <v>32</v>
      </c>
      <c r="B48" s="6">
        <v>45748</v>
      </c>
      <c r="C48" s="5" t="s">
        <v>15</v>
      </c>
      <c r="D48" s="5" t="s">
        <v>28</v>
      </c>
      <c r="E48" s="5">
        <v>64882.14</v>
      </c>
      <c r="F48" s="5">
        <v>3642</v>
      </c>
      <c r="G48" s="5">
        <v>1.9E-2</v>
      </c>
      <c r="H48" s="5">
        <v>13</v>
      </c>
      <c r="I48" s="5">
        <v>87.8</v>
      </c>
      <c r="J48" s="5">
        <v>4.5199999999999996</v>
      </c>
      <c r="K48" s="5">
        <v>0</v>
      </c>
      <c r="L48" s="5">
        <v>4.2</v>
      </c>
      <c r="M48" s="5">
        <v>605178</v>
      </c>
      <c r="N48" s="5">
        <v>106958.74</v>
      </c>
    </row>
    <row r="49" spans="1:14" ht="15" customHeight="1">
      <c r="A49" s="5" t="s">
        <v>33</v>
      </c>
      <c r="B49" s="6">
        <v>45658</v>
      </c>
      <c r="C49" s="5" t="s">
        <v>27</v>
      </c>
      <c r="D49" s="5" t="s">
        <v>16</v>
      </c>
      <c r="E49" s="5">
        <v>138855.51</v>
      </c>
      <c r="F49" s="5">
        <v>5145</v>
      </c>
      <c r="G49" s="5">
        <v>0.06</v>
      </c>
      <c r="H49" s="5">
        <v>17</v>
      </c>
      <c r="I49" s="5">
        <v>88.2</v>
      </c>
      <c r="J49" s="5">
        <v>9.58</v>
      </c>
      <c r="K49" s="5">
        <v>0</v>
      </c>
      <c r="L49" s="5">
        <v>3.2</v>
      </c>
      <c r="M49" s="5">
        <v>595467.6</v>
      </c>
      <c r="N49" s="5">
        <v>104276.46</v>
      </c>
    </row>
    <row r="50" spans="1:14" ht="15" customHeight="1">
      <c r="A50" s="5" t="s">
        <v>33</v>
      </c>
      <c r="B50" s="6">
        <v>45689</v>
      </c>
      <c r="C50" s="5" t="s">
        <v>27</v>
      </c>
      <c r="D50" s="5" t="s">
        <v>16</v>
      </c>
      <c r="E50" s="5">
        <v>63630.21</v>
      </c>
      <c r="F50" s="5">
        <v>4460</v>
      </c>
      <c r="G50" s="5">
        <v>0.23499999999999999</v>
      </c>
      <c r="H50" s="5">
        <v>14</v>
      </c>
      <c r="I50" s="5">
        <v>98.6</v>
      </c>
      <c r="J50" s="5">
        <v>5.52</v>
      </c>
      <c r="K50" s="5">
        <v>0</v>
      </c>
      <c r="L50" s="5">
        <v>3.5</v>
      </c>
      <c r="M50" s="5">
        <v>599603.4</v>
      </c>
      <c r="N50" s="5">
        <v>112685.12</v>
      </c>
    </row>
    <row r="51" spans="1:14" ht="15" customHeight="1">
      <c r="A51" s="5" t="s">
        <v>33</v>
      </c>
      <c r="B51" s="6">
        <v>45717</v>
      </c>
      <c r="C51" s="5" t="s">
        <v>27</v>
      </c>
      <c r="D51" s="5" t="s">
        <v>16</v>
      </c>
      <c r="E51" s="5">
        <v>50043.65</v>
      </c>
      <c r="F51" s="5">
        <v>3804</v>
      </c>
      <c r="G51" s="5">
        <v>0.113</v>
      </c>
      <c r="H51" s="5">
        <v>11</v>
      </c>
      <c r="I51" s="5">
        <v>90.9</v>
      </c>
      <c r="J51" s="5">
        <v>2.7</v>
      </c>
      <c r="K51" s="5">
        <v>1</v>
      </c>
      <c r="L51" s="5">
        <v>3.2</v>
      </c>
      <c r="M51" s="5">
        <v>614800.09</v>
      </c>
      <c r="N51" s="5">
        <v>100044.2</v>
      </c>
    </row>
    <row r="52" spans="1:14" ht="15" customHeight="1">
      <c r="A52" s="5" t="s">
        <v>33</v>
      </c>
      <c r="B52" s="6">
        <v>45748</v>
      </c>
      <c r="C52" s="5" t="s">
        <v>27</v>
      </c>
      <c r="D52" s="5" t="s">
        <v>16</v>
      </c>
      <c r="E52" s="5">
        <v>42093.84</v>
      </c>
      <c r="F52" s="5">
        <v>4074</v>
      </c>
      <c r="G52" s="5">
        <v>0.155</v>
      </c>
      <c r="H52" s="5">
        <v>15</v>
      </c>
      <c r="I52" s="5">
        <v>88</v>
      </c>
      <c r="J52" s="5">
        <v>9.64</v>
      </c>
      <c r="K52" s="5">
        <v>0</v>
      </c>
      <c r="L52" s="5">
        <v>3.3</v>
      </c>
      <c r="M52" s="5">
        <v>585365.73</v>
      </c>
      <c r="N52" s="5">
        <v>81011.520000000004</v>
      </c>
    </row>
    <row r="53" spans="1:14" ht="15" customHeight="1">
      <c r="A53" s="5" t="s">
        <v>34</v>
      </c>
      <c r="B53" s="6">
        <v>45658</v>
      </c>
      <c r="C53" s="5" t="s">
        <v>20</v>
      </c>
      <c r="D53" s="5" t="s">
        <v>28</v>
      </c>
      <c r="E53" s="5">
        <v>46624.05</v>
      </c>
      <c r="F53" s="5">
        <v>5104</v>
      </c>
      <c r="G53" s="5">
        <v>0.109</v>
      </c>
      <c r="H53" s="5">
        <v>11</v>
      </c>
      <c r="I53" s="5">
        <v>97.3</v>
      </c>
      <c r="J53" s="5">
        <v>3.49</v>
      </c>
      <c r="K53" s="5">
        <v>1</v>
      </c>
      <c r="L53" s="5">
        <v>4.7</v>
      </c>
      <c r="M53" s="5">
        <v>622811.74</v>
      </c>
      <c r="N53" s="5">
        <v>109978.35</v>
      </c>
    </row>
    <row r="54" spans="1:14" ht="15" customHeight="1">
      <c r="A54" s="5" t="s">
        <v>34</v>
      </c>
      <c r="B54" s="6">
        <v>45689</v>
      </c>
      <c r="C54" s="5" t="s">
        <v>20</v>
      </c>
      <c r="D54" s="5" t="s">
        <v>28</v>
      </c>
      <c r="E54" s="5">
        <v>49710.29</v>
      </c>
      <c r="F54" s="5">
        <v>5559</v>
      </c>
      <c r="G54" s="5">
        <v>0.218</v>
      </c>
      <c r="H54" s="5">
        <v>14</v>
      </c>
      <c r="I54" s="5">
        <v>71</v>
      </c>
      <c r="J54" s="5">
        <v>9.11</v>
      </c>
      <c r="K54" s="5">
        <v>0</v>
      </c>
      <c r="L54" s="5">
        <v>4.5999999999999996</v>
      </c>
      <c r="M54" s="5">
        <v>603297.56999999995</v>
      </c>
      <c r="N54" s="5">
        <v>60592.26</v>
      </c>
    </row>
    <row r="55" spans="1:14" ht="15" customHeight="1">
      <c r="A55" s="5" t="s">
        <v>34</v>
      </c>
      <c r="B55" s="6">
        <v>45717</v>
      </c>
      <c r="C55" s="5" t="s">
        <v>20</v>
      </c>
      <c r="D55" s="5" t="s">
        <v>28</v>
      </c>
      <c r="E55" s="5">
        <v>48287.85</v>
      </c>
      <c r="F55" s="5">
        <v>5150</v>
      </c>
      <c r="G55" s="5">
        <v>8.0000000000000002E-3</v>
      </c>
      <c r="H55" s="5">
        <v>12</v>
      </c>
      <c r="I55" s="5">
        <v>80.400000000000006</v>
      </c>
      <c r="J55" s="5">
        <v>7.4</v>
      </c>
      <c r="K55" s="5">
        <v>0</v>
      </c>
      <c r="L55" s="5">
        <v>4.5</v>
      </c>
      <c r="M55" s="5">
        <v>625672.86</v>
      </c>
      <c r="N55" s="5">
        <v>118020.12</v>
      </c>
    </row>
    <row r="56" spans="1:14" ht="15" customHeight="1">
      <c r="A56" s="5" t="s">
        <v>34</v>
      </c>
      <c r="B56" s="6">
        <v>45748</v>
      </c>
      <c r="C56" s="5" t="s">
        <v>20</v>
      </c>
      <c r="D56" s="5" t="s">
        <v>28</v>
      </c>
      <c r="E56" s="5">
        <v>65312.49</v>
      </c>
      <c r="F56" s="5">
        <v>7189</v>
      </c>
      <c r="G56" s="5">
        <v>0.05</v>
      </c>
      <c r="H56" s="5">
        <v>19</v>
      </c>
      <c r="I56" s="5">
        <v>93.7</v>
      </c>
      <c r="J56" s="5">
        <v>7.16</v>
      </c>
      <c r="K56" s="5">
        <v>0</v>
      </c>
      <c r="L56" s="5">
        <v>4.5999999999999996</v>
      </c>
      <c r="M56" s="5">
        <v>773815.14</v>
      </c>
      <c r="N56" s="5">
        <v>133948.39000000001</v>
      </c>
    </row>
    <row r="57" spans="1:14" ht="15" customHeight="1">
      <c r="A57" s="5" t="s">
        <v>35</v>
      </c>
      <c r="B57" s="6">
        <v>45658</v>
      </c>
      <c r="C57" s="5" t="s">
        <v>27</v>
      </c>
      <c r="D57" s="5" t="s">
        <v>18</v>
      </c>
      <c r="E57" s="5">
        <v>53015.46</v>
      </c>
      <c r="F57" s="5">
        <v>3279</v>
      </c>
      <c r="G57" s="5">
        <v>8.6999999999999994E-2</v>
      </c>
      <c r="H57" s="5">
        <v>9</v>
      </c>
      <c r="I57" s="5">
        <v>84.3</v>
      </c>
      <c r="J57" s="5">
        <v>22.02</v>
      </c>
      <c r="K57" s="5">
        <v>0</v>
      </c>
      <c r="L57" s="5">
        <v>3.9</v>
      </c>
      <c r="M57" s="5">
        <v>463534.25</v>
      </c>
      <c r="N57" s="5">
        <v>81834.539999999994</v>
      </c>
    </row>
    <row r="58" spans="1:14" ht="15" customHeight="1">
      <c r="A58" s="5" t="s">
        <v>35</v>
      </c>
      <c r="B58" s="6">
        <v>45689</v>
      </c>
      <c r="C58" s="5" t="s">
        <v>27</v>
      </c>
      <c r="D58" s="5" t="s">
        <v>18</v>
      </c>
      <c r="E58" s="5">
        <v>99874.01</v>
      </c>
      <c r="F58" s="5">
        <v>5887</v>
      </c>
      <c r="G58" s="5">
        <v>0.26200000000000001</v>
      </c>
      <c r="H58" s="5">
        <v>14</v>
      </c>
      <c r="I58" s="5">
        <v>88.7</v>
      </c>
      <c r="J58" s="5">
        <v>6.18</v>
      </c>
      <c r="K58" s="5">
        <v>0</v>
      </c>
      <c r="L58" s="5">
        <v>4.7</v>
      </c>
      <c r="M58" s="5">
        <v>746677.75</v>
      </c>
      <c r="N58" s="5">
        <v>122437.84</v>
      </c>
    </row>
    <row r="59" spans="1:14" ht="15" customHeight="1">
      <c r="A59" s="5" t="s">
        <v>35</v>
      </c>
      <c r="B59" s="6">
        <v>45717</v>
      </c>
      <c r="C59" s="5" t="s">
        <v>27</v>
      </c>
      <c r="D59" s="5" t="s">
        <v>18</v>
      </c>
      <c r="E59" s="5">
        <v>81195.5</v>
      </c>
      <c r="F59" s="5">
        <v>5516</v>
      </c>
      <c r="G59" s="5">
        <v>0.106</v>
      </c>
      <c r="H59" s="5">
        <v>14</v>
      </c>
      <c r="I59" s="5">
        <v>88</v>
      </c>
      <c r="J59" s="5">
        <v>1.76</v>
      </c>
      <c r="K59" s="5">
        <v>0</v>
      </c>
      <c r="L59" s="5">
        <v>4.3</v>
      </c>
      <c r="M59" s="5">
        <v>720852.5</v>
      </c>
      <c r="N59" s="5">
        <v>98565.62</v>
      </c>
    </row>
    <row r="60" spans="1:14" ht="15" customHeight="1">
      <c r="A60" s="5" t="s">
        <v>35</v>
      </c>
      <c r="B60" s="6">
        <v>45748</v>
      </c>
      <c r="C60" s="5" t="s">
        <v>27</v>
      </c>
      <c r="D60" s="5" t="s">
        <v>18</v>
      </c>
      <c r="E60" s="5">
        <v>27808.6</v>
      </c>
      <c r="F60" s="5">
        <v>2863</v>
      </c>
      <c r="G60" s="5">
        <v>0.08</v>
      </c>
      <c r="H60" s="5">
        <v>13</v>
      </c>
      <c r="I60" s="5">
        <v>89.3</v>
      </c>
      <c r="J60" s="5">
        <v>0.47</v>
      </c>
      <c r="K60" s="5">
        <v>0</v>
      </c>
      <c r="L60" s="5">
        <v>4.0999999999999996</v>
      </c>
      <c r="M60" s="5">
        <v>487464.91</v>
      </c>
      <c r="N60" s="5">
        <v>64562.26</v>
      </c>
    </row>
    <row r="61" spans="1:14" ht="15" customHeight="1">
      <c r="A61" s="5" t="s">
        <v>36</v>
      </c>
      <c r="B61" s="6">
        <v>45658</v>
      </c>
      <c r="C61" s="5" t="s">
        <v>15</v>
      </c>
      <c r="D61" s="5" t="s">
        <v>21</v>
      </c>
      <c r="E61" s="5">
        <v>19365.060000000001</v>
      </c>
      <c r="F61" s="5">
        <v>2378</v>
      </c>
      <c r="G61" s="5">
        <v>0</v>
      </c>
      <c r="H61" s="5">
        <v>12</v>
      </c>
      <c r="I61" s="5">
        <v>94.8</v>
      </c>
      <c r="J61" s="5">
        <v>0.2</v>
      </c>
      <c r="K61" s="5">
        <v>0</v>
      </c>
      <c r="L61" s="5">
        <v>3.5</v>
      </c>
      <c r="M61" s="5">
        <v>518049.26</v>
      </c>
      <c r="N61" s="5">
        <v>108592.49</v>
      </c>
    </row>
    <row r="62" spans="1:14" ht="15" customHeight="1">
      <c r="A62" s="5" t="s">
        <v>36</v>
      </c>
      <c r="B62" s="6">
        <v>45689</v>
      </c>
      <c r="C62" s="5" t="s">
        <v>15</v>
      </c>
      <c r="D62" s="5" t="s">
        <v>21</v>
      </c>
      <c r="E62" s="5">
        <v>59405.68</v>
      </c>
      <c r="F62" s="5">
        <v>2515</v>
      </c>
      <c r="G62" s="5">
        <v>3.9E-2</v>
      </c>
      <c r="H62" s="5">
        <v>12</v>
      </c>
      <c r="I62" s="5">
        <v>76</v>
      </c>
      <c r="J62" s="5">
        <v>5.1100000000000003</v>
      </c>
      <c r="K62" s="5">
        <v>0</v>
      </c>
      <c r="L62" s="5">
        <v>3.7</v>
      </c>
      <c r="M62" s="5">
        <v>500298.48</v>
      </c>
      <c r="N62" s="5">
        <v>73461.320000000007</v>
      </c>
    </row>
    <row r="63" spans="1:14" ht="15" customHeight="1">
      <c r="A63" s="5" t="s">
        <v>36</v>
      </c>
      <c r="B63" s="6">
        <v>45717</v>
      </c>
      <c r="C63" s="5" t="s">
        <v>15</v>
      </c>
      <c r="D63" s="5" t="s">
        <v>21</v>
      </c>
      <c r="E63" s="5">
        <v>118910.48</v>
      </c>
      <c r="F63" s="5">
        <v>4022</v>
      </c>
      <c r="G63" s="5">
        <v>0.13700000000000001</v>
      </c>
      <c r="H63" s="5">
        <v>11</v>
      </c>
      <c r="I63" s="5">
        <v>87.1</v>
      </c>
      <c r="J63" s="5">
        <v>0.2</v>
      </c>
      <c r="K63" s="5">
        <v>0</v>
      </c>
      <c r="L63" s="5">
        <v>3.1</v>
      </c>
      <c r="M63" s="5">
        <v>617291.15</v>
      </c>
      <c r="N63" s="5">
        <v>117782</v>
      </c>
    </row>
    <row r="64" spans="1:14" ht="15" customHeight="1">
      <c r="A64" s="5" t="s">
        <v>36</v>
      </c>
      <c r="B64" s="6">
        <v>45748</v>
      </c>
      <c r="C64" s="5" t="s">
        <v>15</v>
      </c>
      <c r="D64" s="5" t="s">
        <v>21</v>
      </c>
      <c r="E64" s="5">
        <v>52952.12</v>
      </c>
      <c r="F64" s="5">
        <v>4377</v>
      </c>
      <c r="G64" s="5">
        <v>9.1999999999999998E-2</v>
      </c>
      <c r="H64" s="5">
        <v>14</v>
      </c>
      <c r="I64" s="5">
        <v>88.6</v>
      </c>
      <c r="J64" s="5">
        <v>13.59</v>
      </c>
      <c r="K64" s="5">
        <v>0</v>
      </c>
      <c r="L64" s="5">
        <v>3.1</v>
      </c>
      <c r="M64" s="5">
        <v>553756.43000000005</v>
      </c>
      <c r="N64" s="5">
        <v>86166.77</v>
      </c>
    </row>
    <row r="65" spans="1:14" ht="15" customHeight="1">
      <c r="A65" s="5" t="s">
        <v>37</v>
      </c>
      <c r="B65" s="6">
        <v>45658</v>
      </c>
      <c r="C65" s="5" t="s">
        <v>24</v>
      </c>
      <c r="D65" s="5" t="s">
        <v>18</v>
      </c>
      <c r="E65" s="5">
        <v>74907.98</v>
      </c>
      <c r="F65" s="5">
        <v>5306</v>
      </c>
      <c r="G65" s="5">
        <v>6.2E-2</v>
      </c>
      <c r="H65" s="5">
        <v>16</v>
      </c>
      <c r="I65" s="5">
        <v>95.6</v>
      </c>
      <c r="J65" s="5">
        <v>1.02</v>
      </c>
      <c r="K65" s="5">
        <v>0</v>
      </c>
      <c r="L65" s="5">
        <v>3.7</v>
      </c>
      <c r="M65" s="5">
        <v>749559.71</v>
      </c>
      <c r="N65" s="5">
        <v>144522.53</v>
      </c>
    </row>
    <row r="66" spans="1:14" ht="15" customHeight="1">
      <c r="A66" s="5" t="s">
        <v>37</v>
      </c>
      <c r="B66" s="6">
        <v>45689</v>
      </c>
      <c r="C66" s="5" t="s">
        <v>24</v>
      </c>
      <c r="D66" s="5" t="s">
        <v>18</v>
      </c>
      <c r="E66" s="5">
        <v>37284.660000000003</v>
      </c>
      <c r="F66" s="5">
        <v>3928</v>
      </c>
      <c r="G66" s="5">
        <v>7.3999999999999996E-2</v>
      </c>
      <c r="H66" s="5">
        <v>12</v>
      </c>
      <c r="I66" s="5">
        <v>86.5</v>
      </c>
      <c r="J66" s="5">
        <v>1.64</v>
      </c>
      <c r="K66" s="5">
        <v>0</v>
      </c>
      <c r="L66" s="5">
        <v>3.8</v>
      </c>
      <c r="M66" s="5">
        <v>615966.48</v>
      </c>
      <c r="N66" s="5">
        <v>91509.38</v>
      </c>
    </row>
    <row r="67" spans="1:14" ht="15" customHeight="1">
      <c r="A67" s="5" t="s">
        <v>37</v>
      </c>
      <c r="B67" s="6">
        <v>45717</v>
      </c>
      <c r="C67" s="5" t="s">
        <v>24</v>
      </c>
      <c r="D67" s="5" t="s">
        <v>18</v>
      </c>
      <c r="E67" s="5">
        <v>50343.19</v>
      </c>
      <c r="F67" s="5">
        <v>3845</v>
      </c>
      <c r="G67" s="5">
        <v>0.113</v>
      </c>
      <c r="H67" s="5">
        <v>9</v>
      </c>
      <c r="I67" s="5">
        <v>88.7</v>
      </c>
      <c r="J67" s="5">
        <v>5.15</v>
      </c>
      <c r="K67" s="5">
        <v>0</v>
      </c>
      <c r="L67" s="5">
        <v>3.3</v>
      </c>
      <c r="M67" s="5">
        <v>572011.19999999995</v>
      </c>
      <c r="N67" s="5">
        <v>101409.68</v>
      </c>
    </row>
    <row r="68" spans="1:14" ht="15" customHeight="1">
      <c r="A68" s="5" t="s">
        <v>37</v>
      </c>
      <c r="B68" s="6">
        <v>45748</v>
      </c>
      <c r="C68" s="5" t="s">
        <v>24</v>
      </c>
      <c r="D68" s="5" t="s">
        <v>18</v>
      </c>
      <c r="E68" s="5">
        <v>74954.47</v>
      </c>
      <c r="F68" s="5">
        <v>6620</v>
      </c>
      <c r="G68" s="5">
        <v>5.3999999999999999E-2</v>
      </c>
      <c r="H68" s="5">
        <v>17</v>
      </c>
      <c r="I68" s="5">
        <v>91.1</v>
      </c>
      <c r="J68" s="5">
        <v>1.1100000000000001</v>
      </c>
      <c r="K68" s="5">
        <v>0</v>
      </c>
      <c r="L68" s="5">
        <v>3.5</v>
      </c>
      <c r="M68" s="5">
        <v>761860.19</v>
      </c>
      <c r="N68" s="5">
        <v>133279.38</v>
      </c>
    </row>
    <row r="69" spans="1:14" ht="15" customHeight="1">
      <c r="A69" s="5" t="s">
        <v>38</v>
      </c>
      <c r="B69" s="6">
        <v>45658</v>
      </c>
      <c r="C69" s="5" t="s">
        <v>27</v>
      </c>
      <c r="D69" s="5" t="s">
        <v>18</v>
      </c>
      <c r="E69" s="5">
        <v>70040.31</v>
      </c>
      <c r="F69" s="5">
        <v>9175</v>
      </c>
      <c r="G69" s="5">
        <v>0.107</v>
      </c>
      <c r="H69" s="5">
        <v>23</v>
      </c>
      <c r="I69" s="5">
        <v>95.1</v>
      </c>
      <c r="J69" s="5">
        <v>6.08</v>
      </c>
      <c r="K69" s="5">
        <v>1</v>
      </c>
      <c r="L69" s="5">
        <v>3.4</v>
      </c>
      <c r="M69" s="5">
        <v>784502.68</v>
      </c>
      <c r="N69" s="5">
        <v>129519.72</v>
      </c>
    </row>
    <row r="70" spans="1:14" ht="15" customHeight="1">
      <c r="A70" s="5" t="s">
        <v>38</v>
      </c>
      <c r="B70" s="6">
        <v>45689</v>
      </c>
      <c r="C70" s="5" t="s">
        <v>27</v>
      </c>
      <c r="D70" s="5" t="s">
        <v>18</v>
      </c>
      <c r="E70" s="5">
        <v>51148.69</v>
      </c>
      <c r="F70" s="5">
        <v>7940</v>
      </c>
      <c r="G70" s="5">
        <v>0.156</v>
      </c>
      <c r="H70" s="5">
        <v>18</v>
      </c>
      <c r="I70" s="5">
        <v>93.3</v>
      </c>
      <c r="J70" s="5">
        <v>10.91</v>
      </c>
      <c r="K70" s="5">
        <v>0</v>
      </c>
      <c r="L70" s="5">
        <v>3.6</v>
      </c>
      <c r="M70" s="5">
        <v>717141.55</v>
      </c>
      <c r="N70" s="5">
        <v>134013.60999999999</v>
      </c>
    </row>
    <row r="71" spans="1:14" ht="15" customHeight="1">
      <c r="A71" s="5" t="s">
        <v>38</v>
      </c>
      <c r="B71" s="6">
        <v>45717</v>
      </c>
      <c r="C71" s="5" t="s">
        <v>27</v>
      </c>
      <c r="D71" s="5" t="s">
        <v>18</v>
      </c>
      <c r="E71" s="5">
        <v>79346.100000000006</v>
      </c>
      <c r="F71" s="5">
        <v>9628</v>
      </c>
      <c r="G71" s="5">
        <v>0.10199999999999999</v>
      </c>
      <c r="H71" s="5">
        <v>20</v>
      </c>
      <c r="I71" s="5">
        <v>99</v>
      </c>
      <c r="J71" s="5">
        <v>19.010000000000002</v>
      </c>
      <c r="K71" s="5">
        <v>1</v>
      </c>
      <c r="L71" s="5">
        <v>3.2</v>
      </c>
      <c r="M71" s="5">
        <v>685379.08</v>
      </c>
      <c r="N71" s="5">
        <v>106898.82</v>
      </c>
    </row>
    <row r="72" spans="1:14" ht="15" customHeight="1">
      <c r="A72" s="5" t="s">
        <v>38</v>
      </c>
      <c r="B72" s="6">
        <v>45748</v>
      </c>
      <c r="C72" s="5" t="s">
        <v>27</v>
      </c>
      <c r="D72" s="5" t="s">
        <v>18</v>
      </c>
      <c r="E72" s="5">
        <v>42018.400000000001</v>
      </c>
      <c r="F72" s="5">
        <v>8296</v>
      </c>
      <c r="G72" s="5">
        <v>0.115</v>
      </c>
      <c r="H72" s="5">
        <v>17</v>
      </c>
      <c r="I72" s="5">
        <v>91.8</v>
      </c>
      <c r="J72" s="5">
        <v>0.77</v>
      </c>
      <c r="K72" s="5">
        <v>0</v>
      </c>
      <c r="L72" s="5">
        <v>3.4</v>
      </c>
      <c r="M72" s="5">
        <v>740496.65</v>
      </c>
      <c r="N72" s="5">
        <v>128020.9</v>
      </c>
    </row>
    <row r="73" spans="1:14" ht="15" customHeight="1">
      <c r="A73" s="5" t="s">
        <v>39</v>
      </c>
      <c r="B73" s="6">
        <v>45658</v>
      </c>
      <c r="C73" s="5" t="s">
        <v>15</v>
      </c>
      <c r="D73" s="5" t="s">
        <v>18</v>
      </c>
      <c r="E73" s="5">
        <v>70937.240000000005</v>
      </c>
      <c r="F73" s="5">
        <v>3595</v>
      </c>
      <c r="G73" s="5">
        <v>0.14099999999999999</v>
      </c>
      <c r="H73" s="5">
        <v>11</v>
      </c>
      <c r="I73" s="5">
        <v>88.9</v>
      </c>
      <c r="J73" s="5">
        <v>2.83</v>
      </c>
      <c r="K73" s="5">
        <v>1</v>
      </c>
      <c r="L73" s="5">
        <v>3.3</v>
      </c>
      <c r="M73" s="5">
        <v>661927.14</v>
      </c>
      <c r="N73" s="5">
        <v>79218.570000000007</v>
      </c>
    </row>
    <row r="74" spans="1:14" ht="15" customHeight="1">
      <c r="A74" s="5" t="s">
        <v>39</v>
      </c>
      <c r="B74" s="6">
        <v>45689</v>
      </c>
      <c r="C74" s="5" t="s">
        <v>15</v>
      </c>
      <c r="D74" s="5" t="s">
        <v>18</v>
      </c>
      <c r="E74" s="5">
        <v>36813.449999999997</v>
      </c>
      <c r="F74" s="5">
        <v>2834</v>
      </c>
      <c r="G74" s="5">
        <v>0.191</v>
      </c>
      <c r="H74" s="5">
        <v>11</v>
      </c>
      <c r="I74" s="5">
        <v>81.8</v>
      </c>
      <c r="J74" s="5">
        <v>2.33</v>
      </c>
      <c r="K74" s="5">
        <v>0</v>
      </c>
      <c r="L74" s="5">
        <v>3.3</v>
      </c>
      <c r="M74" s="5">
        <v>479050.5</v>
      </c>
      <c r="N74" s="5">
        <v>53651.11</v>
      </c>
    </row>
    <row r="75" spans="1:14" ht="15" customHeight="1">
      <c r="A75" s="5" t="s">
        <v>39</v>
      </c>
      <c r="B75" s="6">
        <v>45717</v>
      </c>
      <c r="C75" s="5" t="s">
        <v>15</v>
      </c>
      <c r="D75" s="5" t="s">
        <v>18</v>
      </c>
      <c r="E75" s="5">
        <v>60571.82</v>
      </c>
      <c r="F75" s="5">
        <v>3193</v>
      </c>
      <c r="G75" s="5">
        <v>0.19700000000000001</v>
      </c>
      <c r="H75" s="5">
        <v>7</v>
      </c>
      <c r="I75" s="5">
        <v>99</v>
      </c>
      <c r="J75" s="5">
        <v>1.43</v>
      </c>
      <c r="K75" s="5">
        <v>0</v>
      </c>
      <c r="L75" s="5">
        <v>3.2</v>
      </c>
      <c r="M75" s="5">
        <v>605023.87</v>
      </c>
      <c r="N75" s="5">
        <v>98545.81</v>
      </c>
    </row>
    <row r="76" spans="1:14" ht="15" customHeight="1">
      <c r="A76" s="5" t="s">
        <v>39</v>
      </c>
      <c r="B76" s="6">
        <v>45748</v>
      </c>
      <c r="C76" s="5" t="s">
        <v>15</v>
      </c>
      <c r="D76" s="5" t="s">
        <v>18</v>
      </c>
      <c r="E76" s="5">
        <v>55081.16</v>
      </c>
      <c r="F76" s="5">
        <v>5485</v>
      </c>
      <c r="G76" s="5">
        <v>3.5999999999999997E-2</v>
      </c>
      <c r="H76" s="5">
        <v>12</v>
      </c>
      <c r="I76" s="5">
        <v>88</v>
      </c>
      <c r="J76" s="5"/>
      <c r="K76" s="5">
        <v>0</v>
      </c>
      <c r="L76" s="5">
        <v>3.5</v>
      </c>
      <c r="M76" s="5">
        <v>674774.09</v>
      </c>
      <c r="N76" s="5">
        <v>141917.59</v>
      </c>
    </row>
    <row r="77" spans="1:14" ht="15" customHeight="1">
      <c r="A77" s="5" t="s">
        <v>40</v>
      </c>
      <c r="B77" s="6">
        <v>45658</v>
      </c>
      <c r="C77" s="5" t="s">
        <v>15</v>
      </c>
      <c r="D77" s="5" t="s">
        <v>16</v>
      </c>
      <c r="E77" s="5">
        <v>46201.46</v>
      </c>
      <c r="F77" s="5">
        <v>5918</v>
      </c>
      <c r="G77" s="5">
        <v>0.27700000000000002</v>
      </c>
      <c r="H77" s="5">
        <v>13</v>
      </c>
      <c r="I77" s="5">
        <v>78.8</v>
      </c>
      <c r="J77" s="5">
        <v>4.91</v>
      </c>
      <c r="K77" s="5">
        <v>0</v>
      </c>
      <c r="L77" s="5">
        <v>4.5</v>
      </c>
      <c r="M77" s="5">
        <v>616069.41</v>
      </c>
      <c r="N77" s="5">
        <v>54453.99</v>
      </c>
    </row>
    <row r="78" spans="1:14" ht="15" customHeight="1">
      <c r="A78" s="5" t="s">
        <v>40</v>
      </c>
      <c r="B78" s="6">
        <v>45689</v>
      </c>
      <c r="C78" s="5" t="s">
        <v>15</v>
      </c>
      <c r="D78" s="5" t="s">
        <v>16</v>
      </c>
      <c r="E78" s="5">
        <v>53762.92</v>
      </c>
      <c r="F78" s="5">
        <v>6821</v>
      </c>
      <c r="G78" s="5">
        <v>6.6000000000000003E-2</v>
      </c>
      <c r="H78" s="5">
        <v>19</v>
      </c>
      <c r="I78" s="5">
        <v>94.6</v>
      </c>
      <c r="J78" s="5">
        <v>7.03</v>
      </c>
      <c r="K78" s="5">
        <v>0</v>
      </c>
      <c r="L78" s="5">
        <v>4.4000000000000004</v>
      </c>
      <c r="M78" s="5">
        <v>630829.93999999994</v>
      </c>
      <c r="N78" s="5">
        <v>117090.02</v>
      </c>
    </row>
    <row r="79" spans="1:14" ht="15" customHeight="1">
      <c r="A79" s="5" t="s">
        <v>40</v>
      </c>
      <c r="B79" s="6">
        <v>45717</v>
      </c>
      <c r="C79" s="5" t="s">
        <v>15</v>
      </c>
      <c r="D79" s="5" t="s">
        <v>16</v>
      </c>
      <c r="E79" s="5">
        <v>70144.78</v>
      </c>
      <c r="F79" s="5">
        <v>6806</v>
      </c>
      <c r="G79" s="5">
        <v>0.17799999999999999</v>
      </c>
      <c r="H79" s="5">
        <v>20</v>
      </c>
      <c r="I79" s="5">
        <v>93.1</v>
      </c>
      <c r="J79" s="5">
        <v>0.28000000000000003</v>
      </c>
      <c r="K79" s="5">
        <v>1</v>
      </c>
      <c r="L79" s="5">
        <v>4.3</v>
      </c>
      <c r="M79" s="5">
        <v>788087.68</v>
      </c>
      <c r="N79" s="5">
        <v>116803.42</v>
      </c>
    </row>
    <row r="80" spans="1:14" ht="15" customHeight="1">
      <c r="A80" s="5" t="s">
        <v>40</v>
      </c>
      <c r="B80" s="6">
        <v>45748</v>
      </c>
      <c r="C80" s="5" t="s">
        <v>15</v>
      </c>
      <c r="D80" s="5" t="s">
        <v>16</v>
      </c>
      <c r="E80" s="5">
        <v>58749.63</v>
      </c>
      <c r="F80" s="5">
        <v>8252</v>
      </c>
      <c r="G80" s="5">
        <v>0.20300000000000001</v>
      </c>
      <c r="H80" s="5">
        <v>20</v>
      </c>
      <c r="I80" s="5">
        <v>85.2</v>
      </c>
      <c r="J80" s="5">
        <v>3.61</v>
      </c>
      <c r="K80" s="5">
        <v>0</v>
      </c>
      <c r="L80" s="5">
        <v>4.5</v>
      </c>
      <c r="M80" s="5">
        <v>680840.36</v>
      </c>
      <c r="N80" s="5">
        <v>68007.679999999993</v>
      </c>
    </row>
    <row r="81" spans="1:14" ht="15" customHeight="1">
      <c r="A81" s="5" t="s">
        <v>41</v>
      </c>
      <c r="B81" s="6">
        <v>45658</v>
      </c>
      <c r="C81" s="5" t="s">
        <v>24</v>
      </c>
      <c r="D81" s="5" t="s">
        <v>18</v>
      </c>
      <c r="E81" s="5">
        <v>56973.18</v>
      </c>
      <c r="F81" s="5">
        <v>6662</v>
      </c>
      <c r="G81" s="5">
        <v>0.1</v>
      </c>
      <c r="H81" s="5">
        <v>15</v>
      </c>
      <c r="I81" s="5">
        <v>77.7</v>
      </c>
      <c r="J81" s="5">
        <v>7.52</v>
      </c>
      <c r="K81" s="5">
        <v>1</v>
      </c>
      <c r="L81" s="5">
        <v>3.2</v>
      </c>
      <c r="M81" s="5">
        <v>643657.47</v>
      </c>
      <c r="N81" s="5">
        <v>87022.45</v>
      </c>
    </row>
    <row r="82" spans="1:14" ht="15" customHeight="1">
      <c r="A82" s="5" t="s">
        <v>41</v>
      </c>
      <c r="B82" s="6">
        <v>45689</v>
      </c>
      <c r="C82" s="5" t="s">
        <v>24</v>
      </c>
      <c r="D82" s="5" t="s">
        <v>18</v>
      </c>
      <c r="E82" s="5">
        <v>54872.82</v>
      </c>
      <c r="F82" s="5">
        <v>5962</v>
      </c>
      <c r="G82" s="5">
        <v>6.4000000000000001E-2</v>
      </c>
      <c r="H82" s="5">
        <v>12</v>
      </c>
      <c r="I82" s="5">
        <v>85.4</v>
      </c>
      <c r="J82" s="5">
        <v>2.58</v>
      </c>
      <c r="K82" s="5">
        <v>0</v>
      </c>
      <c r="L82" s="5">
        <v>2.9</v>
      </c>
      <c r="M82" s="5">
        <v>691112.6</v>
      </c>
      <c r="N82" s="5">
        <v>109212.83</v>
      </c>
    </row>
    <row r="83" spans="1:14" ht="15" customHeight="1">
      <c r="A83" s="5" t="s">
        <v>41</v>
      </c>
      <c r="B83" s="6">
        <v>45717</v>
      </c>
      <c r="C83" s="5" t="s">
        <v>24</v>
      </c>
      <c r="D83" s="5" t="s">
        <v>18</v>
      </c>
      <c r="E83" s="5">
        <v>80562.81</v>
      </c>
      <c r="F83" s="5">
        <v>7470</v>
      </c>
      <c r="G83" s="5">
        <v>0.17199999999999999</v>
      </c>
      <c r="H83" s="5">
        <v>16</v>
      </c>
      <c r="I83" s="5">
        <v>83.5</v>
      </c>
      <c r="J83" s="5">
        <v>2.29</v>
      </c>
      <c r="K83" s="5">
        <v>0</v>
      </c>
      <c r="L83" s="5">
        <v>3.3</v>
      </c>
      <c r="M83" s="5">
        <v>776922.17</v>
      </c>
      <c r="N83" s="5">
        <v>150701.93</v>
      </c>
    </row>
    <row r="84" spans="1:14" ht="15" customHeight="1">
      <c r="A84" s="5" t="s">
        <v>41</v>
      </c>
      <c r="B84" s="6">
        <v>45748</v>
      </c>
      <c r="C84" s="5" t="s">
        <v>24</v>
      </c>
      <c r="D84" s="5" t="s">
        <v>18</v>
      </c>
      <c r="E84" s="5">
        <v>77999.899999999994</v>
      </c>
      <c r="F84" s="5">
        <v>5974</v>
      </c>
      <c r="G84" s="5">
        <v>0.252</v>
      </c>
      <c r="H84" s="5">
        <v>14</v>
      </c>
      <c r="I84" s="5">
        <v>81.3</v>
      </c>
      <c r="J84" s="5">
        <v>2.39</v>
      </c>
      <c r="K84" s="5">
        <v>0</v>
      </c>
      <c r="L84" s="5">
        <v>3.2</v>
      </c>
      <c r="M84" s="5">
        <v>636561.34</v>
      </c>
      <c r="N84" s="5">
        <v>93861.06</v>
      </c>
    </row>
    <row r="85" spans="1:14" ht="15" customHeight="1">
      <c r="A85" s="5" t="s">
        <v>42</v>
      </c>
      <c r="B85" s="6">
        <v>45658</v>
      </c>
      <c r="C85" s="5" t="s">
        <v>27</v>
      </c>
      <c r="D85" s="5" t="s">
        <v>28</v>
      </c>
      <c r="E85" s="5">
        <v>60881.01</v>
      </c>
      <c r="F85" s="5">
        <v>5410</v>
      </c>
      <c r="G85" s="5">
        <v>0.17899999999999999</v>
      </c>
      <c r="H85" s="5">
        <v>15</v>
      </c>
      <c r="I85" s="5">
        <v>83.9</v>
      </c>
      <c r="J85" s="5">
        <v>5.24</v>
      </c>
      <c r="K85" s="5">
        <v>0</v>
      </c>
      <c r="L85" s="5">
        <v>4.5999999999999996</v>
      </c>
      <c r="M85" s="5">
        <v>621369.57999999996</v>
      </c>
      <c r="N85" s="5">
        <v>85493.64</v>
      </c>
    </row>
    <row r="86" spans="1:14" ht="15" customHeight="1">
      <c r="A86" s="5" t="s">
        <v>42</v>
      </c>
      <c r="B86" s="6">
        <v>45689</v>
      </c>
      <c r="C86" s="5" t="s">
        <v>27</v>
      </c>
      <c r="D86" s="5" t="s">
        <v>28</v>
      </c>
      <c r="E86" s="5">
        <v>60628.38</v>
      </c>
      <c r="F86" s="5">
        <v>4451</v>
      </c>
      <c r="G86" s="5">
        <v>9.5000000000000001E-2</v>
      </c>
      <c r="H86" s="5">
        <v>10</v>
      </c>
      <c r="I86" s="5">
        <v>89.6</v>
      </c>
      <c r="J86" s="5">
        <v>3.17</v>
      </c>
      <c r="K86" s="5">
        <v>0</v>
      </c>
      <c r="L86" s="5">
        <v>4.5999999999999996</v>
      </c>
      <c r="M86" s="5">
        <v>682208.01</v>
      </c>
      <c r="N86" s="5">
        <v>110318.84</v>
      </c>
    </row>
    <row r="87" spans="1:14" ht="15" customHeight="1">
      <c r="A87" s="5" t="s">
        <v>42</v>
      </c>
      <c r="B87" s="6">
        <v>45717</v>
      </c>
      <c r="C87" s="5" t="s">
        <v>27</v>
      </c>
      <c r="D87" s="5" t="s">
        <v>28</v>
      </c>
      <c r="E87" s="5">
        <v>72731.14</v>
      </c>
      <c r="F87" s="5">
        <v>4644</v>
      </c>
      <c r="G87" s="5">
        <v>8.4000000000000005E-2</v>
      </c>
      <c r="H87" s="5">
        <v>15</v>
      </c>
      <c r="I87" s="5">
        <v>87.1</v>
      </c>
      <c r="J87" s="5">
        <v>2.66</v>
      </c>
      <c r="K87" s="5">
        <v>0</v>
      </c>
      <c r="L87" s="5">
        <v>4.5999999999999996</v>
      </c>
      <c r="M87" s="5">
        <v>727241.86</v>
      </c>
      <c r="N87" s="5">
        <v>155810.29999999999</v>
      </c>
    </row>
    <row r="88" spans="1:14" ht="15" customHeight="1">
      <c r="A88" s="5" t="s">
        <v>42</v>
      </c>
      <c r="B88" s="6">
        <v>45748</v>
      </c>
      <c r="C88" s="5" t="s">
        <v>27</v>
      </c>
      <c r="D88" s="5" t="s">
        <v>28</v>
      </c>
      <c r="E88" s="5">
        <v>36475.71</v>
      </c>
      <c r="F88" s="5">
        <v>3559</v>
      </c>
      <c r="G88" s="5">
        <v>0.03</v>
      </c>
      <c r="H88" s="5">
        <v>8</v>
      </c>
      <c r="I88" s="5">
        <v>83.6</v>
      </c>
      <c r="J88" s="5">
        <v>1.41</v>
      </c>
      <c r="K88" s="5">
        <v>0</v>
      </c>
      <c r="L88" s="5">
        <v>4.2</v>
      </c>
      <c r="M88" s="5">
        <v>569100.78</v>
      </c>
      <c r="N88" s="5">
        <v>104808.78</v>
      </c>
    </row>
    <row r="89" spans="1:14" ht="15" customHeight="1">
      <c r="A89" s="5" t="s">
        <v>43</v>
      </c>
      <c r="B89" s="6">
        <v>45658</v>
      </c>
      <c r="C89" s="5" t="s">
        <v>27</v>
      </c>
      <c r="D89" s="5" t="s">
        <v>18</v>
      </c>
      <c r="E89" s="5">
        <v>55388.11</v>
      </c>
      <c r="F89" s="5">
        <v>3091</v>
      </c>
      <c r="G89" s="5">
        <v>0.108</v>
      </c>
      <c r="H89" s="5">
        <v>7</v>
      </c>
      <c r="I89" s="5">
        <v>85.4</v>
      </c>
      <c r="J89" s="5">
        <v>7.34</v>
      </c>
      <c r="K89" s="5">
        <v>0</v>
      </c>
      <c r="L89" s="5">
        <v>4.9000000000000004</v>
      </c>
      <c r="M89" s="5">
        <v>574436.29</v>
      </c>
      <c r="N89" s="5">
        <v>80271.990000000005</v>
      </c>
    </row>
    <row r="90" spans="1:14" ht="15" customHeight="1">
      <c r="A90" s="5" t="s">
        <v>43</v>
      </c>
      <c r="B90" s="6">
        <v>45689</v>
      </c>
      <c r="C90" s="5" t="s">
        <v>27</v>
      </c>
      <c r="D90" s="5" t="s">
        <v>18</v>
      </c>
      <c r="E90" s="5">
        <v>88443.77</v>
      </c>
      <c r="F90" s="5">
        <v>4004</v>
      </c>
      <c r="G90" s="5">
        <v>0.20599999999999999</v>
      </c>
      <c r="H90" s="5">
        <v>11</v>
      </c>
      <c r="I90" s="5">
        <v>91.9</v>
      </c>
      <c r="J90" s="5">
        <v>5.95</v>
      </c>
      <c r="K90" s="5">
        <v>0</v>
      </c>
      <c r="L90" s="5"/>
      <c r="M90" s="5">
        <v>611766.72</v>
      </c>
      <c r="N90" s="5">
        <v>88275.61</v>
      </c>
    </row>
    <row r="91" spans="1:14" ht="15" customHeight="1">
      <c r="A91" s="5" t="s">
        <v>43</v>
      </c>
      <c r="B91" s="6">
        <v>45717</v>
      </c>
      <c r="C91" s="5" t="s">
        <v>27</v>
      </c>
      <c r="D91" s="5" t="s">
        <v>18</v>
      </c>
      <c r="E91" s="5">
        <v>78231.91</v>
      </c>
      <c r="F91" s="5">
        <v>3788</v>
      </c>
      <c r="G91" s="5">
        <v>5.8999999999999997E-2</v>
      </c>
      <c r="H91" s="5">
        <v>11</v>
      </c>
      <c r="I91" s="5">
        <v>88.5</v>
      </c>
      <c r="J91" s="5">
        <v>15.51</v>
      </c>
      <c r="K91" s="5">
        <v>0</v>
      </c>
      <c r="L91" s="5">
        <v>4.3</v>
      </c>
      <c r="M91" s="5">
        <v>614596.31999999995</v>
      </c>
      <c r="N91" s="5">
        <v>131199.41</v>
      </c>
    </row>
    <row r="92" spans="1:14" ht="15" customHeight="1">
      <c r="A92" s="5" t="s">
        <v>43</v>
      </c>
      <c r="B92" s="6">
        <v>45748</v>
      </c>
      <c r="C92" s="5" t="s">
        <v>27</v>
      </c>
      <c r="D92" s="5" t="s">
        <v>18</v>
      </c>
      <c r="E92" s="5">
        <v>18996.32</v>
      </c>
      <c r="F92" s="5">
        <v>1260</v>
      </c>
      <c r="G92" s="5">
        <v>0.14499999999999999</v>
      </c>
      <c r="H92" s="5">
        <v>9</v>
      </c>
      <c r="I92" s="5">
        <v>86.4</v>
      </c>
      <c r="J92" s="5">
        <v>4.3099999999999996</v>
      </c>
      <c r="K92" s="5">
        <v>0</v>
      </c>
      <c r="L92" s="5">
        <v>4.5999999999999996</v>
      </c>
      <c r="M92" s="5">
        <v>450711.92</v>
      </c>
      <c r="N92" s="5">
        <v>90043.76</v>
      </c>
    </row>
    <row r="93" spans="1:14" ht="15" customHeight="1">
      <c r="A93" s="5" t="s">
        <v>44</v>
      </c>
      <c r="B93" s="6">
        <v>45658</v>
      </c>
      <c r="C93" s="5" t="s">
        <v>24</v>
      </c>
      <c r="D93" s="5" t="s">
        <v>28</v>
      </c>
      <c r="E93" s="5">
        <v>50517.94</v>
      </c>
      <c r="F93" s="5">
        <v>7024</v>
      </c>
      <c r="G93" s="5">
        <v>2.9000000000000001E-2</v>
      </c>
      <c r="H93" s="5">
        <v>18</v>
      </c>
      <c r="I93" s="5">
        <v>79.2</v>
      </c>
      <c r="J93" s="5">
        <v>6.61</v>
      </c>
      <c r="K93" s="5">
        <v>1</v>
      </c>
      <c r="L93" s="5">
        <v>4.0999999999999996</v>
      </c>
      <c r="M93" s="5">
        <v>711213.46</v>
      </c>
      <c r="N93" s="5">
        <v>105863.26</v>
      </c>
    </row>
    <row r="94" spans="1:14" ht="15" customHeight="1">
      <c r="A94" s="5" t="s">
        <v>44</v>
      </c>
      <c r="B94" s="6">
        <v>45689</v>
      </c>
      <c r="C94" s="5" t="s">
        <v>24</v>
      </c>
      <c r="D94" s="5" t="s">
        <v>28</v>
      </c>
      <c r="E94" s="5">
        <v>141540.29</v>
      </c>
      <c r="F94" s="5">
        <v>5400</v>
      </c>
      <c r="G94" s="5">
        <v>1.2999999999999999E-2</v>
      </c>
      <c r="H94" s="5">
        <v>12</v>
      </c>
      <c r="I94" s="5">
        <v>87</v>
      </c>
      <c r="J94" s="5">
        <v>4.26</v>
      </c>
      <c r="K94" s="5">
        <v>0</v>
      </c>
      <c r="L94" s="5">
        <v>4.5</v>
      </c>
      <c r="M94" s="5">
        <v>627171.9</v>
      </c>
      <c r="N94" s="5">
        <v>105772.75</v>
      </c>
    </row>
    <row r="95" spans="1:14" ht="15" customHeight="1">
      <c r="A95" s="5" t="s">
        <v>44</v>
      </c>
      <c r="B95" s="6">
        <v>45717</v>
      </c>
      <c r="C95" s="5" t="s">
        <v>24</v>
      </c>
      <c r="D95" s="5" t="s">
        <v>28</v>
      </c>
      <c r="E95" s="5">
        <v>82116.19</v>
      </c>
      <c r="F95" s="5">
        <v>5988</v>
      </c>
      <c r="G95" s="5">
        <v>0.04</v>
      </c>
      <c r="H95" s="5">
        <v>17</v>
      </c>
      <c r="I95" s="5">
        <v>91.8</v>
      </c>
      <c r="J95" s="5">
        <v>5.75</v>
      </c>
      <c r="K95" s="5">
        <v>0</v>
      </c>
      <c r="L95" s="5">
        <v>4.7</v>
      </c>
      <c r="M95" s="5">
        <v>739852.58</v>
      </c>
      <c r="N95" s="5">
        <v>129386.43</v>
      </c>
    </row>
    <row r="96" spans="1:14" ht="15" customHeight="1">
      <c r="A96" s="5" t="s">
        <v>44</v>
      </c>
      <c r="B96" s="6">
        <v>45748</v>
      </c>
      <c r="C96" s="5" t="s">
        <v>24</v>
      </c>
      <c r="D96" s="5" t="s">
        <v>28</v>
      </c>
      <c r="E96" s="5">
        <v>31207.51</v>
      </c>
      <c r="F96" s="5">
        <v>3701</v>
      </c>
      <c r="G96" s="5">
        <v>4.2999999999999997E-2</v>
      </c>
      <c r="H96" s="5">
        <v>11</v>
      </c>
      <c r="I96" s="5">
        <v>84.7</v>
      </c>
      <c r="J96" s="5">
        <v>0.33</v>
      </c>
      <c r="K96" s="5">
        <v>0</v>
      </c>
      <c r="L96" s="5">
        <v>4.3</v>
      </c>
      <c r="M96" s="5">
        <v>586307.22</v>
      </c>
      <c r="N96" s="5">
        <v>73927.850000000006</v>
      </c>
    </row>
    <row r="97" spans="1:14" ht="15" customHeight="1">
      <c r="A97" s="5" t="s">
        <v>45</v>
      </c>
      <c r="B97" s="6">
        <v>45658</v>
      </c>
      <c r="C97" s="5" t="s">
        <v>27</v>
      </c>
      <c r="D97" s="5" t="s">
        <v>16</v>
      </c>
      <c r="E97" s="5">
        <v>38966.589999999997</v>
      </c>
      <c r="F97" s="5">
        <v>4509</v>
      </c>
      <c r="G97" s="5">
        <v>0.19400000000000001</v>
      </c>
      <c r="H97" s="5">
        <v>14</v>
      </c>
      <c r="I97" s="5">
        <v>91.1</v>
      </c>
      <c r="J97" s="5">
        <v>2.92</v>
      </c>
      <c r="K97" s="5">
        <v>0</v>
      </c>
      <c r="L97" s="5">
        <v>4.5999999999999996</v>
      </c>
      <c r="M97" s="5">
        <v>585937.48</v>
      </c>
      <c r="N97" s="5">
        <v>82624.2</v>
      </c>
    </row>
    <row r="98" spans="1:14" ht="15" customHeight="1">
      <c r="A98" s="5" t="s">
        <v>45</v>
      </c>
      <c r="B98" s="6">
        <v>45689</v>
      </c>
      <c r="C98" s="5" t="s">
        <v>27</v>
      </c>
      <c r="D98" s="5" t="s">
        <v>16</v>
      </c>
      <c r="E98" s="5">
        <v>67439.3</v>
      </c>
      <c r="F98" s="5">
        <v>6477</v>
      </c>
      <c r="G98" s="5">
        <v>0</v>
      </c>
      <c r="H98" s="5">
        <v>16</v>
      </c>
      <c r="I98" s="5">
        <v>90.9</v>
      </c>
      <c r="J98" s="5">
        <v>1.64</v>
      </c>
      <c r="K98" s="5">
        <v>0</v>
      </c>
      <c r="L98" s="5">
        <v>4.5</v>
      </c>
      <c r="M98" s="5">
        <v>753473.55</v>
      </c>
      <c r="N98" s="5">
        <v>151527.22</v>
      </c>
    </row>
    <row r="99" spans="1:14" ht="15" customHeight="1">
      <c r="A99" s="5" t="s">
        <v>45</v>
      </c>
      <c r="B99" s="6">
        <v>45717</v>
      </c>
      <c r="C99" s="5" t="s">
        <v>27</v>
      </c>
      <c r="D99" s="5" t="s">
        <v>16</v>
      </c>
      <c r="E99" s="5">
        <v>86421.88</v>
      </c>
      <c r="F99" s="5">
        <v>7970</v>
      </c>
      <c r="G99" s="5">
        <v>7.2999999999999995E-2</v>
      </c>
      <c r="H99" s="5">
        <v>17</v>
      </c>
      <c r="I99" s="5">
        <v>91.3</v>
      </c>
      <c r="J99" s="5">
        <v>0.8</v>
      </c>
      <c r="K99" s="5">
        <v>0</v>
      </c>
      <c r="L99" s="5">
        <v>5</v>
      </c>
      <c r="M99" s="5">
        <v>838250.32</v>
      </c>
      <c r="N99" s="5">
        <v>122939.34</v>
      </c>
    </row>
    <row r="100" spans="1:14" ht="15" customHeight="1">
      <c r="A100" s="5" t="s">
        <v>45</v>
      </c>
      <c r="B100" s="6">
        <v>45748</v>
      </c>
      <c r="C100" s="5" t="s">
        <v>27</v>
      </c>
      <c r="D100" s="5" t="s">
        <v>16</v>
      </c>
      <c r="E100" s="5">
        <v>9534.65</v>
      </c>
      <c r="F100" s="5">
        <v>6057</v>
      </c>
      <c r="G100" s="5">
        <v>7.3999999999999996E-2</v>
      </c>
      <c r="H100" s="5">
        <v>15</v>
      </c>
      <c r="I100" s="5">
        <v>94.1</v>
      </c>
      <c r="J100" s="5">
        <v>5.79</v>
      </c>
      <c r="K100" s="5">
        <v>0</v>
      </c>
      <c r="L100" s="5">
        <v>4.5</v>
      </c>
      <c r="M100" s="5">
        <v>607898.12</v>
      </c>
      <c r="N100" s="5">
        <v>135404.85</v>
      </c>
    </row>
    <row r="101" spans="1:14" ht="15" customHeight="1">
      <c r="A101" s="5" t="s">
        <v>46</v>
      </c>
      <c r="B101" s="6">
        <v>45658</v>
      </c>
      <c r="C101" s="5" t="s">
        <v>27</v>
      </c>
      <c r="D101" s="5" t="s">
        <v>28</v>
      </c>
      <c r="E101" s="5">
        <v>61132.07</v>
      </c>
      <c r="F101" s="5">
        <v>6394</v>
      </c>
      <c r="G101" s="5">
        <v>0.16300000000000001</v>
      </c>
      <c r="H101" s="5">
        <v>19</v>
      </c>
      <c r="I101" s="5">
        <v>91</v>
      </c>
      <c r="J101" s="5">
        <v>19.600000000000001</v>
      </c>
      <c r="K101" s="5">
        <v>0</v>
      </c>
      <c r="L101" s="5">
        <v>4.4000000000000004</v>
      </c>
      <c r="M101" s="5">
        <v>691113.62</v>
      </c>
      <c r="N101" s="5">
        <v>135145.44</v>
      </c>
    </row>
    <row r="102" spans="1:14" ht="15" customHeight="1">
      <c r="A102" s="5" t="s">
        <v>46</v>
      </c>
      <c r="B102" s="6">
        <v>45689</v>
      </c>
      <c r="C102" s="5" t="s">
        <v>27</v>
      </c>
      <c r="D102" s="5" t="s">
        <v>28</v>
      </c>
      <c r="E102" s="5">
        <v>78839.39</v>
      </c>
      <c r="F102" s="5">
        <v>5150</v>
      </c>
      <c r="G102" s="5">
        <v>0.17100000000000001</v>
      </c>
      <c r="H102" s="5">
        <v>13</v>
      </c>
      <c r="I102" s="5">
        <v>85.8</v>
      </c>
      <c r="J102" s="5">
        <v>7.57</v>
      </c>
      <c r="K102" s="5">
        <v>0</v>
      </c>
      <c r="L102" s="5">
        <v>4.3</v>
      </c>
      <c r="M102" s="5">
        <v>735509.4</v>
      </c>
      <c r="N102" s="5">
        <v>83895.96</v>
      </c>
    </row>
    <row r="103" spans="1:14" ht="15" customHeight="1">
      <c r="A103" s="5" t="s">
        <v>46</v>
      </c>
      <c r="B103" s="6">
        <v>45717</v>
      </c>
      <c r="C103" s="5" t="s">
        <v>27</v>
      </c>
      <c r="D103" s="5" t="s">
        <v>28</v>
      </c>
      <c r="E103" s="5">
        <v>38752.800000000003</v>
      </c>
      <c r="F103" s="5">
        <v>4712</v>
      </c>
      <c r="G103" s="5">
        <v>7.4999999999999997E-2</v>
      </c>
      <c r="H103" s="5">
        <v>15</v>
      </c>
      <c r="I103" s="5">
        <v>89.7</v>
      </c>
      <c r="J103" s="5"/>
      <c r="K103" s="5">
        <v>0</v>
      </c>
      <c r="L103" s="5">
        <v>4.3</v>
      </c>
      <c r="M103" s="5">
        <v>605775.32999999996</v>
      </c>
      <c r="N103" s="5">
        <v>107194.6</v>
      </c>
    </row>
    <row r="104" spans="1:14" ht="15" customHeight="1">
      <c r="A104" s="5" t="s">
        <v>46</v>
      </c>
      <c r="B104" s="6">
        <v>45748</v>
      </c>
      <c r="C104" s="5" t="s">
        <v>27</v>
      </c>
      <c r="D104" s="5" t="s">
        <v>28</v>
      </c>
      <c r="E104" s="5">
        <v>55101.1</v>
      </c>
      <c r="F104" s="5">
        <v>5281</v>
      </c>
      <c r="G104" s="5">
        <v>0.189</v>
      </c>
      <c r="H104" s="5">
        <v>11</v>
      </c>
      <c r="I104" s="5">
        <v>91</v>
      </c>
      <c r="J104" s="5">
        <v>2.7</v>
      </c>
      <c r="K104" s="5">
        <v>0</v>
      </c>
      <c r="L104" s="5">
        <v>4.4000000000000004</v>
      </c>
      <c r="M104" s="5">
        <v>675177.68</v>
      </c>
      <c r="N104" s="5">
        <v>105628.68</v>
      </c>
    </row>
    <row r="105" spans="1:14" ht="15" customHeight="1">
      <c r="A105" s="5" t="s">
        <v>47</v>
      </c>
      <c r="B105" s="6">
        <v>45658</v>
      </c>
      <c r="C105" s="5" t="s">
        <v>15</v>
      </c>
      <c r="D105" s="5" t="s">
        <v>28</v>
      </c>
      <c r="E105" s="5">
        <v>53084.76</v>
      </c>
      <c r="F105" s="5">
        <v>3642</v>
      </c>
      <c r="G105" s="5">
        <v>0.15</v>
      </c>
      <c r="H105" s="5">
        <v>12</v>
      </c>
      <c r="I105" s="5">
        <v>91.4</v>
      </c>
      <c r="J105" s="5">
        <v>0.2</v>
      </c>
      <c r="K105" s="5">
        <v>0</v>
      </c>
      <c r="L105" s="5">
        <v>4.4000000000000004</v>
      </c>
      <c r="M105" s="5">
        <v>635181.35</v>
      </c>
      <c r="N105" s="5">
        <v>83341.25</v>
      </c>
    </row>
    <row r="106" spans="1:14" ht="15" customHeight="1">
      <c r="A106" s="5" t="s">
        <v>47</v>
      </c>
      <c r="B106" s="6">
        <v>45689</v>
      </c>
      <c r="C106" s="5" t="s">
        <v>15</v>
      </c>
      <c r="D106" s="5" t="s">
        <v>28</v>
      </c>
      <c r="E106" s="5">
        <v>63101.59</v>
      </c>
      <c r="F106" s="5">
        <v>4373</v>
      </c>
      <c r="G106" s="5">
        <v>0.17299999999999999</v>
      </c>
      <c r="H106" s="5">
        <v>14</v>
      </c>
      <c r="I106" s="5">
        <v>90.4</v>
      </c>
      <c r="J106" s="5">
        <v>7.87</v>
      </c>
      <c r="K106" s="5">
        <v>0</v>
      </c>
      <c r="L106" s="5">
        <v>4.7</v>
      </c>
      <c r="M106" s="5">
        <v>586626.93999999994</v>
      </c>
      <c r="N106" s="5">
        <v>86498.55</v>
      </c>
    </row>
    <row r="107" spans="1:14" ht="15" customHeight="1">
      <c r="A107" s="5" t="s">
        <v>47</v>
      </c>
      <c r="B107" s="6">
        <v>45717</v>
      </c>
      <c r="C107" s="5" t="s">
        <v>15</v>
      </c>
      <c r="D107" s="5" t="s">
        <v>28</v>
      </c>
      <c r="E107" s="5">
        <v>90084.4</v>
      </c>
      <c r="F107" s="5">
        <v>6832</v>
      </c>
      <c r="G107" s="5">
        <v>0.185</v>
      </c>
      <c r="H107" s="5">
        <v>14</v>
      </c>
      <c r="I107" s="5">
        <v>80.5</v>
      </c>
      <c r="J107" s="5">
        <v>0.77</v>
      </c>
      <c r="K107" s="5">
        <v>1</v>
      </c>
      <c r="L107" s="5">
        <v>4.4000000000000004</v>
      </c>
      <c r="M107" s="5">
        <v>740102.64</v>
      </c>
      <c r="N107" s="5">
        <v>114299.07</v>
      </c>
    </row>
    <row r="108" spans="1:14" ht="15" customHeight="1">
      <c r="A108" s="5" t="s">
        <v>47</v>
      </c>
      <c r="B108" s="6">
        <v>45748</v>
      </c>
      <c r="C108" s="5" t="s">
        <v>15</v>
      </c>
      <c r="D108" s="5" t="s">
        <v>28</v>
      </c>
      <c r="E108" s="5">
        <v>32266.639999999999</v>
      </c>
      <c r="F108" s="5">
        <v>2414</v>
      </c>
      <c r="G108" s="5">
        <v>0.08</v>
      </c>
      <c r="H108" s="5">
        <v>7</v>
      </c>
      <c r="I108" s="5">
        <v>92.1</v>
      </c>
      <c r="J108" s="5">
        <v>1.48</v>
      </c>
      <c r="K108" s="5">
        <v>0</v>
      </c>
      <c r="L108" s="5">
        <v>5</v>
      </c>
      <c r="M108" s="5">
        <v>625514.04</v>
      </c>
      <c r="N108" s="5">
        <v>120685.08</v>
      </c>
    </row>
    <row r="109" spans="1:14" ht="15" customHeight="1">
      <c r="A109" s="5" t="s">
        <v>48</v>
      </c>
      <c r="B109" s="6">
        <v>45658</v>
      </c>
      <c r="C109" s="5" t="s">
        <v>27</v>
      </c>
      <c r="D109" s="5" t="s">
        <v>18</v>
      </c>
      <c r="E109" s="5">
        <v>57919.07</v>
      </c>
      <c r="F109" s="5">
        <v>7374</v>
      </c>
      <c r="G109" s="5">
        <v>0.10299999999999999</v>
      </c>
      <c r="H109" s="5">
        <v>21</v>
      </c>
      <c r="I109" s="5">
        <v>82.3</v>
      </c>
      <c r="J109" s="5">
        <v>2.87</v>
      </c>
      <c r="K109" s="5">
        <v>0</v>
      </c>
      <c r="L109" s="5">
        <v>2.9</v>
      </c>
      <c r="M109" s="5">
        <v>727227.2</v>
      </c>
      <c r="N109" s="5">
        <v>121292.01</v>
      </c>
    </row>
    <row r="110" spans="1:14" ht="15" customHeight="1">
      <c r="A110" s="5" t="s">
        <v>48</v>
      </c>
      <c r="B110" s="6">
        <v>45689</v>
      </c>
      <c r="C110" s="5" t="s">
        <v>27</v>
      </c>
      <c r="D110" s="5" t="s">
        <v>18</v>
      </c>
      <c r="E110" s="5">
        <v>74679.350000000006</v>
      </c>
      <c r="F110" s="5">
        <v>8739</v>
      </c>
      <c r="G110" s="5">
        <v>5.6000000000000001E-2</v>
      </c>
      <c r="H110" s="5">
        <v>21</v>
      </c>
      <c r="I110" s="5">
        <v>91.8</v>
      </c>
      <c r="J110" s="5">
        <v>2.83</v>
      </c>
      <c r="K110" s="5">
        <v>0</v>
      </c>
      <c r="L110" s="5">
        <v>3</v>
      </c>
      <c r="M110" s="5">
        <v>783797.89</v>
      </c>
      <c r="N110" s="5">
        <v>157620.70000000001</v>
      </c>
    </row>
    <row r="111" spans="1:14" ht="15" customHeight="1">
      <c r="A111" s="5" t="s">
        <v>48</v>
      </c>
      <c r="B111" s="6">
        <v>45717</v>
      </c>
      <c r="C111" s="5" t="s">
        <v>27</v>
      </c>
      <c r="D111" s="5" t="s">
        <v>18</v>
      </c>
      <c r="E111" s="5">
        <v>64294.23</v>
      </c>
      <c r="F111" s="5">
        <v>6992</v>
      </c>
      <c r="G111" s="5">
        <v>0.13300000000000001</v>
      </c>
      <c r="H111" s="5">
        <v>14</v>
      </c>
      <c r="I111" s="5">
        <v>94.1</v>
      </c>
      <c r="J111" s="5">
        <v>0.25</v>
      </c>
      <c r="K111" s="5">
        <v>0</v>
      </c>
      <c r="L111" s="5">
        <v>3</v>
      </c>
      <c r="M111" s="5">
        <v>795153.84</v>
      </c>
      <c r="N111" s="5">
        <v>143194.21</v>
      </c>
    </row>
    <row r="112" spans="1:14" ht="15" customHeight="1">
      <c r="A112" s="5" t="s">
        <v>48</v>
      </c>
      <c r="B112" s="6">
        <v>45748</v>
      </c>
      <c r="C112" s="5" t="s">
        <v>27</v>
      </c>
      <c r="D112" s="5" t="s">
        <v>18</v>
      </c>
      <c r="E112" s="5">
        <v>31042.03</v>
      </c>
      <c r="F112" s="5">
        <v>7107</v>
      </c>
      <c r="G112" s="5">
        <v>5.0999999999999997E-2</v>
      </c>
      <c r="H112" s="5">
        <v>15</v>
      </c>
      <c r="I112" s="5">
        <v>87</v>
      </c>
      <c r="J112" s="5">
        <v>13.33</v>
      </c>
      <c r="K112" s="5">
        <v>0</v>
      </c>
      <c r="L112" s="5">
        <v>3.2</v>
      </c>
      <c r="M112" s="5">
        <v>665594.93999999994</v>
      </c>
      <c r="N112" s="5">
        <v>127597.34</v>
      </c>
    </row>
    <row r="113" spans="1:14" ht="15" customHeight="1">
      <c r="A113" s="5" t="s">
        <v>49</v>
      </c>
      <c r="B113" s="6">
        <v>45658</v>
      </c>
      <c r="C113" s="5" t="s">
        <v>15</v>
      </c>
      <c r="D113" s="5" t="s">
        <v>28</v>
      </c>
      <c r="E113" s="5">
        <v>75265.02</v>
      </c>
      <c r="F113" s="5">
        <v>6975</v>
      </c>
      <c r="G113" s="5">
        <v>0.157</v>
      </c>
      <c r="H113" s="5">
        <v>20</v>
      </c>
      <c r="I113" s="5">
        <v>73.8</v>
      </c>
      <c r="J113" s="5">
        <v>6.35</v>
      </c>
      <c r="K113" s="5">
        <v>1</v>
      </c>
      <c r="L113" s="5">
        <v>3.8</v>
      </c>
      <c r="M113" s="5">
        <v>709478.39</v>
      </c>
      <c r="N113" s="5">
        <v>71294.27</v>
      </c>
    </row>
    <row r="114" spans="1:14" ht="15" customHeight="1">
      <c r="A114" s="5" t="s">
        <v>49</v>
      </c>
      <c r="B114" s="6">
        <v>45689</v>
      </c>
      <c r="C114" s="5" t="s">
        <v>15</v>
      </c>
      <c r="D114" s="5" t="s">
        <v>28</v>
      </c>
      <c r="E114" s="5">
        <v>69411.7</v>
      </c>
      <c r="F114" s="5">
        <v>5493</v>
      </c>
      <c r="G114" s="5">
        <v>0.29199999999999998</v>
      </c>
      <c r="H114" s="5">
        <v>13</v>
      </c>
      <c r="I114" s="5">
        <v>86.5</v>
      </c>
      <c r="J114" s="5">
        <v>6.69</v>
      </c>
      <c r="K114" s="5">
        <v>0</v>
      </c>
      <c r="L114" s="5">
        <v>3.8</v>
      </c>
      <c r="M114" s="5">
        <v>664162.49</v>
      </c>
      <c r="N114" s="5">
        <v>98291.06</v>
      </c>
    </row>
    <row r="115" spans="1:14" ht="15" customHeight="1">
      <c r="A115" s="5" t="s">
        <v>49</v>
      </c>
      <c r="B115" s="6">
        <v>45717</v>
      </c>
      <c r="C115" s="5" t="s">
        <v>15</v>
      </c>
      <c r="D115" s="5" t="s">
        <v>28</v>
      </c>
      <c r="E115" s="5">
        <v>51056.15</v>
      </c>
      <c r="F115" s="5">
        <v>5686</v>
      </c>
      <c r="G115" s="5">
        <v>8.8999999999999996E-2</v>
      </c>
      <c r="H115" s="5">
        <v>13</v>
      </c>
      <c r="I115" s="5">
        <v>89.9</v>
      </c>
      <c r="J115" s="5">
        <v>1.28</v>
      </c>
      <c r="K115" s="5">
        <v>0</v>
      </c>
      <c r="L115" s="5">
        <v>4.2</v>
      </c>
      <c r="M115" s="5">
        <v>633494.21</v>
      </c>
      <c r="N115" s="5">
        <v>105739.47</v>
      </c>
    </row>
    <row r="116" spans="1:14" ht="15" customHeight="1">
      <c r="A116" s="5" t="s">
        <v>49</v>
      </c>
      <c r="B116" s="6">
        <v>45748</v>
      </c>
      <c r="C116" s="5" t="s">
        <v>15</v>
      </c>
      <c r="D116" s="5" t="s">
        <v>28</v>
      </c>
      <c r="E116" s="5">
        <v>52758.01</v>
      </c>
      <c r="F116" s="5">
        <v>4063</v>
      </c>
      <c r="G116" s="5">
        <v>5.7000000000000002E-2</v>
      </c>
      <c r="H116" s="5">
        <v>12</v>
      </c>
      <c r="I116" s="5">
        <v>91.7</v>
      </c>
      <c r="J116" s="5">
        <v>0.92</v>
      </c>
      <c r="K116" s="5">
        <v>0</v>
      </c>
      <c r="L116" s="5">
        <v>3.5</v>
      </c>
      <c r="M116" s="5">
        <v>713611.16</v>
      </c>
      <c r="N116" s="5">
        <v>129717.18</v>
      </c>
    </row>
    <row r="117" spans="1:14" ht="15" customHeight="1">
      <c r="A117" s="5" t="s">
        <v>50</v>
      </c>
      <c r="B117" s="6">
        <v>45658</v>
      </c>
      <c r="C117" s="5" t="s">
        <v>27</v>
      </c>
      <c r="D117" s="5" t="s">
        <v>28</v>
      </c>
      <c r="E117" s="5">
        <v>61426.04</v>
      </c>
      <c r="F117" s="5">
        <v>8966</v>
      </c>
      <c r="G117" s="5">
        <v>0.17299999999999999</v>
      </c>
      <c r="H117" s="5">
        <v>22</v>
      </c>
      <c r="I117" s="5">
        <v>76.400000000000006</v>
      </c>
      <c r="J117" s="5">
        <v>1.05</v>
      </c>
      <c r="K117" s="5">
        <v>0</v>
      </c>
      <c r="L117" s="5">
        <v>3.1</v>
      </c>
      <c r="M117" s="5">
        <v>778397.97</v>
      </c>
      <c r="N117" s="5">
        <v>120044.41</v>
      </c>
    </row>
    <row r="118" spans="1:14" ht="15" customHeight="1">
      <c r="A118" s="5" t="s">
        <v>50</v>
      </c>
      <c r="B118" s="6">
        <v>45689</v>
      </c>
      <c r="C118" s="5" t="s">
        <v>27</v>
      </c>
      <c r="D118" s="5" t="s">
        <v>28</v>
      </c>
      <c r="E118" s="5">
        <v>80176.34</v>
      </c>
      <c r="F118" s="5">
        <v>9489</v>
      </c>
      <c r="G118" s="5">
        <v>0.14199999999999999</v>
      </c>
      <c r="H118" s="5">
        <v>22</v>
      </c>
      <c r="I118" s="5">
        <v>94.3</v>
      </c>
      <c r="J118" s="5">
        <v>2.67</v>
      </c>
      <c r="K118" s="5">
        <v>0</v>
      </c>
      <c r="L118" s="5">
        <v>3.5</v>
      </c>
      <c r="M118" s="5">
        <v>873380.02</v>
      </c>
      <c r="N118" s="5">
        <v>149734.76</v>
      </c>
    </row>
    <row r="119" spans="1:14" ht="15" customHeight="1">
      <c r="A119" s="5" t="s">
        <v>50</v>
      </c>
      <c r="B119" s="6">
        <v>45717</v>
      </c>
      <c r="C119" s="5" t="s">
        <v>27</v>
      </c>
      <c r="D119" s="5" t="s">
        <v>28</v>
      </c>
      <c r="E119" s="5">
        <v>33605.18</v>
      </c>
      <c r="F119" s="5">
        <v>9225</v>
      </c>
      <c r="G119" s="5">
        <v>0.159</v>
      </c>
      <c r="H119" s="5">
        <v>23</v>
      </c>
      <c r="I119" s="5">
        <v>88.4</v>
      </c>
      <c r="J119" s="5">
        <v>5.91</v>
      </c>
      <c r="K119" s="5">
        <v>0</v>
      </c>
      <c r="L119" s="5">
        <v>2.8</v>
      </c>
      <c r="M119" s="5">
        <v>697287.9</v>
      </c>
      <c r="N119" s="5">
        <v>128208.33</v>
      </c>
    </row>
    <row r="120" spans="1:14" ht="15" customHeight="1">
      <c r="A120" s="5" t="s">
        <v>50</v>
      </c>
      <c r="B120" s="6">
        <v>45748</v>
      </c>
      <c r="C120" s="5" t="s">
        <v>27</v>
      </c>
      <c r="D120" s="5" t="s">
        <v>28</v>
      </c>
      <c r="E120" s="5">
        <v>25990.54</v>
      </c>
      <c r="F120" s="5">
        <v>9249</v>
      </c>
      <c r="G120" s="5">
        <v>0.13900000000000001</v>
      </c>
      <c r="H120" s="5">
        <v>23</v>
      </c>
      <c r="I120" s="5">
        <v>92.5</v>
      </c>
      <c r="J120" s="5">
        <v>6.37</v>
      </c>
      <c r="K120" s="5">
        <v>0</v>
      </c>
      <c r="L120" s="5">
        <v>3.3</v>
      </c>
      <c r="M120" s="5">
        <v>718074.79</v>
      </c>
      <c r="N120" s="5">
        <v>115819.87</v>
      </c>
    </row>
    <row r="121" spans="1:14" ht="15" customHeight="1">
      <c r="A121" s="5" t="s">
        <v>51</v>
      </c>
      <c r="B121" s="6">
        <v>45658</v>
      </c>
      <c r="C121" s="5" t="s">
        <v>27</v>
      </c>
      <c r="D121" s="5" t="s">
        <v>16</v>
      </c>
      <c r="E121" s="5">
        <v>43685.14</v>
      </c>
      <c r="F121" s="5">
        <v>7821</v>
      </c>
      <c r="G121" s="5">
        <v>0.19</v>
      </c>
      <c r="H121" s="5">
        <v>17</v>
      </c>
      <c r="I121" s="5">
        <v>91</v>
      </c>
      <c r="J121" s="5">
        <v>2.4900000000000002</v>
      </c>
      <c r="K121" s="5">
        <v>1</v>
      </c>
      <c r="L121" s="5">
        <v>4.7</v>
      </c>
      <c r="M121" s="5">
        <v>714942.43</v>
      </c>
      <c r="N121" s="5">
        <v>94697.71</v>
      </c>
    </row>
    <row r="122" spans="1:14" ht="15" customHeight="1">
      <c r="A122" s="5" t="s">
        <v>51</v>
      </c>
      <c r="B122" s="6">
        <v>45689</v>
      </c>
      <c r="C122" s="5" t="s">
        <v>27</v>
      </c>
      <c r="D122" s="5" t="s">
        <v>16</v>
      </c>
      <c r="E122" s="5">
        <v>57360.01</v>
      </c>
      <c r="F122" s="5">
        <v>8434</v>
      </c>
      <c r="G122" s="5">
        <v>0.151</v>
      </c>
      <c r="H122" s="5">
        <v>19</v>
      </c>
      <c r="I122" s="5">
        <v>84.1</v>
      </c>
      <c r="J122" s="5">
        <v>1.56</v>
      </c>
      <c r="K122" s="5">
        <v>0</v>
      </c>
      <c r="L122" s="5">
        <v>4.7</v>
      </c>
      <c r="M122" s="5">
        <v>820519.04</v>
      </c>
      <c r="N122" s="5">
        <v>99035.88</v>
      </c>
    </row>
    <row r="123" spans="1:14" ht="15" customHeight="1">
      <c r="A123" s="5" t="s">
        <v>51</v>
      </c>
      <c r="B123" s="6">
        <v>45717</v>
      </c>
      <c r="C123" s="5" t="s">
        <v>27</v>
      </c>
      <c r="D123" s="5" t="s">
        <v>16</v>
      </c>
      <c r="E123" s="5">
        <v>42415.47</v>
      </c>
      <c r="F123" s="5">
        <v>8512</v>
      </c>
      <c r="G123" s="5">
        <v>0.13300000000000001</v>
      </c>
      <c r="H123" s="5">
        <v>18</v>
      </c>
      <c r="I123" s="5">
        <v>96.8</v>
      </c>
      <c r="J123" s="5">
        <v>14.95</v>
      </c>
      <c r="K123" s="5">
        <v>0</v>
      </c>
      <c r="L123" s="5">
        <v>4.5999999999999996</v>
      </c>
      <c r="M123" s="5">
        <v>684217.32</v>
      </c>
      <c r="N123" s="5">
        <v>136217.19</v>
      </c>
    </row>
    <row r="124" spans="1:14" ht="15" customHeight="1">
      <c r="A124" s="5" t="s">
        <v>51</v>
      </c>
      <c r="B124" s="6">
        <v>45748</v>
      </c>
      <c r="C124" s="5" t="s">
        <v>27</v>
      </c>
      <c r="D124" s="5" t="s">
        <v>16</v>
      </c>
      <c r="E124" s="5">
        <v>54968.98</v>
      </c>
      <c r="F124" s="5">
        <v>7816</v>
      </c>
      <c r="G124" s="5">
        <v>0.23200000000000001</v>
      </c>
      <c r="H124" s="5">
        <v>19</v>
      </c>
      <c r="I124" s="5">
        <v>95.7</v>
      </c>
      <c r="J124" s="5">
        <v>7.85</v>
      </c>
      <c r="K124" s="5">
        <v>0</v>
      </c>
      <c r="L124" s="5">
        <v>4.7</v>
      </c>
      <c r="M124" s="5">
        <v>735480.19</v>
      </c>
      <c r="N124" s="5">
        <v>88342.11</v>
      </c>
    </row>
    <row r="125" spans="1:14" ht="15" customHeight="1">
      <c r="A125" s="5" t="s">
        <v>52</v>
      </c>
      <c r="B125" s="6">
        <v>45658</v>
      </c>
      <c r="C125" s="5" t="s">
        <v>20</v>
      </c>
      <c r="D125" s="5" t="s">
        <v>18</v>
      </c>
      <c r="E125" s="5">
        <v>43896.13</v>
      </c>
      <c r="F125" s="5">
        <v>3853</v>
      </c>
      <c r="G125" s="5">
        <v>8.7999999999999995E-2</v>
      </c>
      <c r="H125" s="5">
        <v>13</v>
      </c>
      <c r="I125" s="5">
        <v>83</v>
      </c>
      <c r="J125" s="5">
        <v>6.8</v>
      </c>
      <c r="K125" s="5">
        <v>0</v>
      </c>
      <c r="L125" s="5">
        <v>4.4000000000000004</v>
      </c>
      <c r="M125" s="5">
        <v>509484.81</v>
      </c>
      <c r="N125" s="5">
        <v>85742.36</v>
      </c>
    </row>
    <row r="126" spans="1:14" ht="15" customHeight="1">
      <c r="A126" s="5" t="s">
        <v>52</v>
      </c>
      <c r="B126" s="6">
        <v>45689</v>
      </c>
      <c r="C126" s="5" t="s">
        <v>20</v>
      </c>
      <c r="D126" s="5" t="s">
        <v>18</v>
      </c>
      <c r="E126" s="5">
        <v>83044.17</v>
      </c>
      <c r="F126" s="5">
        <v>3694</v>
      </c>
      <c r="G126" s="5">
        <v>0</v>
      </c>
      <c r="H126" s="5">
        <v>14</v>
      </c>
      <c r="I126" s="5">
        <v>89.4</v>
      </c>
      <c r="J126" s="5">
        <v>2.2000000000000002</v>
      </c>
      <c r="K126" s="5">
        <v>0</v>
      </c>
      <c r="L126" s="5">
        <v>3.7</v>
      </c>
      <c r="M126" s="5">
        <v>654317.09</v>
      </c>
      <c r="N126" s="5">
        <v>121446.89</v>
      </c>
    </row>
    <row r="127" spans="1:14" ht="15" customHeight="1">
      <c r="A127" s="5" t="s">
        <v>52</v>
      </c>
      <c r="B127" s="6">
        <v>45717</v>
      </c>
      <c r="C127" s="5" t="s">
        <v>20</v>
      </c>
      <c r="D127" s="5" t="s">
        <v>18</v>
      </c>
      <c r="E127" s="5">
        <v>48396.13</v>
      </c>
      <c r="F127" s="5">
        <v>4423</v>
      </c>
      <c r="G127" s="5">
        <v>6.9000000000000006E-2</v>
      </c>
      <c r="H127" s="5">
        <v>15</v>
      </c>
      <c r="I127" s="5">
        <v>85.7</v>
      </c>
      <c r="J127" s="5">
        <v>1.88</v>
      </c>
      <c r="K127" s="5">
        <v>0</v>
      </c>
      <c r="L127" s="5">
        <v>3.9</v>
      </c>
      <c r="M127" s="5">
        <v>557487.26</v>
      </c>
      <c r="N127" s="5">
        <v>76432.19</v>
      </c>
    </row>
    <row r="128" spans="1:14" ht="15" customHeight="1">
      <c r="A128" s="5" t="s">
        <v>52</v>
      </c>
      <c r="B128" s="6">
        <v>45748</v>
      </c>
      <c r="C128" s="5" t="s">
        <v>20</v>
      </c>
      <c r="D128" s="5" t="s">
        <v>18</v>
      </c>
      <c r="E128" s="5">
        <v>19063.48</v>
      </c>
      <c r="F128" s="5">
        <v>1906</v>
      </c>
      <c r="G128" s="5">
        <v>0.216</v>
      </c>
      <c r="H128" s="5">
        <v>10</v>
      </c>
      <c r="I128" s="5">
        <v>97.8</v>
      </c>
      <c r="J128" s="5">
        <v>15.79</v>
      </c>
      <c r="K128" s="5">
        <v>0</v>
      </c>
      <c r="L128" s="5">
        <v>4.4000000000000004</v>
      </c>
      <c r="M128" s="5">
        <v>441275.42</v>
      </c>
      <c r="N128" s="5">
        <v>58234.87</v>
      </c>
    </row>
    <row r="129" spans="1:14" ht="15" customHeight="1">
      <c r="A129" s="5" t="s">
        <v>53</v>
      </c>
      <c r="B129" s="6">
        <v>45658</v>
      </c>
      <c r="C129" s="5" t="s">
        <v>24</v>
      </c>
      <c r="D129" s="5" t="s">
        <v>18</v>
      </c>
      <c r="E129" s="5">
        <v>61541.21</v>
      </c>
      <c r="F129" s="5">
        <v>10396</v>
      </c>
      <c r="G129" s="5">
        <v>0.123</v>
      </c>
      <c r="H129" s="5">
        <v>25</v>
      </c>
      <c r="I129" s="5">
        <v>88.1</v>
      </c>
      <c r="J129" s="5">
        <v>2.34</v>
      </c>
      <c r="K129" s="5">
        <v>1</v>
      </c>
      <c r="L129" s="5">
        <v>4.8</v>
      </c>
      <c r="M129" s="5">
        <v>914544.17</v>
      </c>
      <c r="N129" s="5">
        <v>79831.73</v>
      </c>
    </row>
    <row r="130" spans="1:14" ht="15" customHeight="1">
      <c r="A130" s="5" t="s">
        <v>53</v>
      </c>
      <c r="B130" s="6">
        <v>45689</v>
      </c>
      <c r="C130" s="5" t="s">
        <v>24</v>
      </c>
      <c r="D130" s="5" t="s">
        <v>18</v>
      </c>
      <c r="E130" s="5">
        <v>44747</v>
      </c>
      <c r="F130" s="5">
        <v>11076</v>
      </c>
      <c r="G130" s="5">
        <v>0.17599999999999999</v>
      </c>
      <c r="H130" s="5">
        <v>27</v>
      </c>
      <c r="I130" s="5">
        <v>98.3</v>
      </c>
      <c r="J130" s="5">
        <v>0.54</v>
      </c>
      <c r="K130" s="5">
        <v>0</v>
      </c>
      <c r="L130" s="5">
        <v>4.4000000000000004</v>
      </c>
      <c r="M130" s="5">
        <v>842439.67</v>
      </c>
      <c r="N130" s="5">
        <v>169983.63</v>
      </c>
    </row>
    <row r="131" spans="1:14" ht="15" customHeight="1">
      <c r="A131" s="5" t="s">
        <v>53</v>
      </c>
      <c r="B131" s="6">
        <v>45717</v>
      </c>
      <c r="C131" s="5" t="s">
        <v>24</v>
      </c>
      <c r="D131" s="5" t="s">
        <v>18</v>
      </c>
      <c r="E131" s="5">
        <v>56517.9</v>
      </c>
      <c r="F131" s="5">
        <v>9574</v>
      </c>
      <c r="G131" s="5">
        <v>0.20399999999999999</v>
      </c>
      <c r="H131" s="5">
        <v>20</v>
      </c>
      <c r="I131" s="5">
        <v>88.2</v>
      </c>
      <c r="J131" s="5">
        <v>5.37</v>
      </c>
      <c r="K131" s="5">
        <v>1</v>
      </c>
      <c r="L131" s="5">
        <v>4.9000000000000004</v>
      </c>
      <c r="M131" s="5">
        <v>842157.92</v>
      </c>
      <c r="N131" s="5">
        <v>107348.22</v>
      </c>
    </row>
    <row r="132" spans="1:14" ht="15" customHeight="1">
      <c r="A132" s="5" t="s">
        <v>53</v>
      </c>
      <c r="B132" s="6">
        <v>45748</v>
      </c>
      <c r="C132" s="5" t="s">
        <v>24</v>
      </c>
      <c r="D132" s="5" t="s">
        <v>18</v>
      </c>
      <c r="E132" s="5">
        <v>37828.5</v>
      </c>
      <c r="F132" s="5">
        <v>8221</v>
      </c>
      <c r="G132" s="5">
        <v>9.6000000000000002E-2</v>
      </c>
      <c r="H132" s="5">
        <v>19</v>
      </c>
      <c r="I132" s="5">
        <v>81.5</v>
      </c>
      <c r="J132" s="5">
        <v>3.19</v>
      </c>
      <c r="K132" s="5">
        <v>0</v>
      </c>
      <c r="L132" s="5">
        <v>4.8</v>
      </c>
      <c r="M132" s="5">
        <v>697155.3</v>
      </c>
      <c r="N132" s="5">
        <v>136408.54</v>
      </c>
    </row>
    <row r="133" spans="1:14" ht="15" customHeight="1">
      <c r="A133" s="5" t="s">
        <v>54</v>
      </c>
      <c r="B133" s="6">
        <v>45658</v>
      </c>
      <c r="C133" s="5" t="s">
        <v>15</v>
      </c>
      <c r="D133" s="5" t="s">
        <v>18</v>
      </c>
      <c r="E133" s="5">
        <v>66250.53</v>
      </c>
      <c r="F133" s="5">
        <v>10618</v>
      </c>
      <c r="G133" s="5">
        <v>0.14199999999999999</v>
      </c>
      <c r="H133" s="5">
        <v>27</v>
      </c>
      <c r="I133" s="5">
        <v>88.3</v>
      </c>
      <c r="J133" s="5">
        <v>1.1000000000000001</v>
      </c>
      <c r="K133" s="5">
        <v>1</v>
      </c>
      <c r="L133" s="5">
        <v>4.4000000000000004</v>
      </c>
      <c r="M133" s="5">
        <v>849018.3</v>
      </c>
      <c r="N133" s="5">
        <v>149035.13</v>
      </c>
    </row>
    <row r="134" spans="1:14" ht="15" customHeight="1">
      <c r="A134" s="5" t="s">
        <v>54</v>
      </c>
      <c r="B134" s="6">
        <v>45689</v>
      </c>
      <c r="C134" s="5" t="s">
        <v>15</v>
      </c>
      <c r="D134" s="5" t="s">
        <v>18</v>
      </c>
      <c r="E134" s="5">
        <v>68410.929999999993</v>
      </c>
      <c r="F134" s="5">
        <v>10596</v>
      </c>
      <c r="G134" s="5">
        <v>0.20699999999999999</v>
      </c>
      <c r="H134" s="5">
        <v>25</v>
      </c>
      <c r="I134" s="5">
        <v>81.2</v>
      </c>
      <c r="J134" s="5">
        <v>0.21</v>
      </c>
      <c r="K134" s="5">
        <v>0</v>
      </c>
      <c r="L134" s="5">
        <v>4</v>
      </c>
      <c r="M134" s="5">
        <v>801830.35</v>
      </c>
      <c r="N134" s="5">
        <v>114875.32</v>
      </c>
    </row>
    <row r="135" spans="1:14" ht="15" customHeight="1">
      <c r="A135" s="5" t="s">
        <v>54</v>
      </c>
      <c r="B135" s="6">
        <v>45717</v>
      </c>
      <c r="C135" s="5" t="s">
        <v>15</v>
      </c>
      <c r="D135" s="5" t="s">
        <v>18</v>
      </c>
      <c r="E135" s="5">
        <v>50735.63</v>
      </c>
      <c r="F135" s="5">
        <v>9619</v>
      </c>
      <c r="G135" s="5">
        <v>0.14399999999999999</v>
      </c>
      <c r="H135" s="5">
        <v>19</v>
      </c>
      <c r="I135" s="5">
        <v>93.8</v>
      </c>
      <c r="J135" s="5">
        <v>5.12</v>
      </c>
      <c r="K135" s="5">
        <v>1</v>
      </c>
      <c r="L135" s="5">
        <v>4.5</v>
      </c>
      <c r="M135" s="5">
        <v>725235.28</v>
      </c>
      <c r="N135" s="5">
        <v>121632.24</v>
      </c>
    </row>
    <row r="136" spans="1:14" ht="15" customHeight="1">
      <c r="A136" s="5" t="s">
        <v>54</v>
      </c>
      <c r="B136" s="6">
        <v>45748</v>
      </c>
      <c r="C136" s="5" t="s">
        <v>15</v>
      </c>
      <c r="D136" s="5" t="s">
        <v>18</v>
      </c>
      <c r="E136" s="5">
        <v>66455.8</v>
      </c>
      <c r="F136" s="5">
        <v>10836</v>
      </c>
      <c r="G136" s="5">
        <v>8.8999999999999996E-2</v>
      </c>
      <c r="H136" s="5">
        <v>25</v>
      </c>
      <c r="I136" s="5">
        <v>85</v>
      </c>
      <c r="J136" s="5">
        <v>9.77</v>
      </c>
      <c r="K136" s="5">
        <v>0</v>
      </c>
      <c r="L136" s="5">
        <v>4.5</v>
      </c>
      <c r="M136" s="5">
        <v>811452.72</v>
      </c>
      <c r="N136" s="5">
        <v>131325.67000000001</v>
      </c>
    </row>
    <row r="137" spans="1:14" ht="15" customHeight="1">
      <c r="A137" s="5" t="s">
        <v>55</v>
      </c>
      <c r="B137" s="6">
        <v>45658</v>
      </c>
      <c r="C137" s="5" t="s">
        <v>20</v>
      </c>
      <c r="D137" s="5" t="s">
        <v>18</v>
      </c>
      <c r="E137" s="5">
        <v>70276.28</v>
      </c>
      <c r="F137" s="5">
        <v>3043</v>
      </c>
      <c r="G137" s="5">
        <v>7.9000000000000001E-2</v>
      </c>
      <c r="H137" s="5">
        <v>9</v>
      </c>
      <c r="I137" s="5">
        <v>87.9</v>
      </c>
      <c r="J137" s="5">
        <v>3.77</v>
      </c>
      <c r="K137" s="5">
        <v>0</v>
      </c>
      <c r="L137" s="5">
        <v>4.4000000000000004</v>
      </c>
      <c r="M137" s="5">
        <v>527300.13</v>
      </c>
      <c r="N137" s="5">
        <v>84197.87</v>
      </c>
    </row>
    <row r="138" spans="1:14" ht="15" customHeight="1">
      <c r="A138" s="5" t="s">
        <v>55</v>
      </c>
      <c r="B138" s="6">
        <v>45689</v>
      </c>
      <c r="C138" s="5" t="s">
        <v>20</v>
      </c>
      <c r="D138" s="5" t="s">
        <v>18</v>
      </c>
      <c r="E138" s="5">
        <v>22071.64</v>
      </c>
      <c r="F138" s="5">
        <v>1814</v>
      </c>
      <c r="G138" s="5">
        <v>0.19600000000000001</v>
      </c>
      <c r="H138" s="5">
        <v>8</v>
      </c>
      <c r="I138" s="5">
        <v>81.099999999999994</v>
      </c>
      <c r="J138" s="5">
        <v>0.78</v>
      </c>
      <c r="K138" s="5">
        <v>0</v>
      </c>
      <c r="L138" s="5"/>
      <c r="M138" s="5">
        <v>400831.65</v>
      </c>
      <c r="N138" s="5">
        <v>70979.31</v>
      </c>
    </row>
    <row r="139" spans="1:14" ht="15" customHeight="1">
      <c r="A139" s="5" t="s">
        <v>55</v>
      </c>
      <c r="B139" s="6">
        <v>45717</v>
      </c>
      <c r="C139" s="5" t="s">
        <v>20</v>
      </c>
      <c r="D139" s="5" t="s">
        <v>18</v>
      </c>
      <c r="E139" s="5">
        <v>52285.45</v>
      </c>
      <c r="F139" s="5">
        <v>3618</v>
      </c>
      <c r="G139" s="5">
        <v>8.5999999999999993E-2</v>
      </c>
      <c r="H139" s="5">
        <v>11</v>
      </c>
      <c r="I139" s="5">
        <v>95.6</v>
      </c>
      <c r="J139" s="5">
        <v>5.17</v>
      </c>
      <c r="K139" s="5">
        <v>1</v>
      </c>
      <c r="L139" s="5">
        <v>4.4000000000000004</v>
      </c>
      <c r="M139" s="5">
        <v>593247.25</v>
      </c>
      <c r="N139" s="5">
        <v>81240.289999999994</v>
      </c>
    </row>
    <row r="140" spans="1:14" ht="15" customHeight="1">
      <c r="A140" s="5" t="s">
        <v>55</v>
      </c>
      <c r="B140" s="6">
        <v>45748</v>
      </c>
      <c r="C140" s="5" t="s">
        <v>20</v>
      </c>
      <c r="D140" s="5" t="s">
        <v>18</v>
      </c>
      <c r="E140" s="5">
        <v>70366.759999999995</v>
      </c>
      <c r="F140" s="5">
        <v>1963</v>
      </c>
      <c r="G140" s="5">
        <v>0.182</v>
      </c>
      <c r="H140" s="5">
        <v>8</v>
      </c>
      <c r="I140" s="5">
        <v>89.8</v>
      </c>
      <c r="J140" s="5">
        <v>3.2</v>
      </c>
      <c r="K140" s="5">
        <v>0</v>
      </c>
      <c r="L140" s="5">
        <v>4.5999999999999996</v>
      </c>
      <c r="M140" s="5">
        <v>529075.94999999995</v>
      </c>
      <c r="N140" s="5">
        <v>95978.83</v>
      </c>
    </row>
    <row r="141" spans="1:14" ht="15" customHeight="1">
      <c r="A141" s="5" t="s">
        <v>56</v>
      </c>
      <c r="B141" s="6">
        <v>45658</v>
      </c>
      <c r="C141" s="5" t="s">
        <v>24</v>
      </c>
      <c r="D141" s="5" t="s">
        <v>16</v>
      </c>
      <c r="E141" s="5">
        <v>71320.66</v>
      </c>
      <c r="F141" s="5">
        <v>7888</v>
      </c>
      <c r="G141" s="5">
        <v>4.8000000000000001E-2</v>
      </c>
      <c r="H141" s="5">
        <v>20</v>
      </c>
      <c r="I141" s="5">
        <v>78.099999999999994</v>
      </c>
      <c r="J141" s="5">
        <v>3.4</v>
      </c>
      <c r="K141" s="5">
        <v>0</v>
      </c>
      <c r="L141" s="5"/>
      <c r="M141" s="5">
        <v>633638.03</v>
      </c>
      <c r="N141" s="5">
        <v>99402.01</v>
      </c>
    </row>
    <row r="142" spans="1:14" ht="15" customHeight="1">
      <c r="A142" s="5" t="s">
        <v>56</v>
      </c>
      <c r="B142" s="6">
        <v>45689</v>
      </c>
      <c r="C142" s="5" t="s">
        <v>24</v>
      </c>
      <c r="D142" s="5" t="s">
        <v>16</v>
      </c>
      <c r="E142" s="5">
        <v>75109.67</v>
      </c>
      <c r="F142" s="5">
        <v>6244</v>
      </c>
      <c r="G142" s="5">
        <v>7.9000000000000001E-2</v>
      </c>
      <c r="H142" s="5">
        <v>15</v>
      </c>
      <c r="I142" s="5">
        <v>96.3</v>
      </c>
      <c r="J142" s="5">
        <v>7.38</v>
      </c>
      <c r="K142" s="5">
        <v>0</v>
      </c>
      <c r="L142" s="5">
        <v>3.7</v>
      </c>
      <c r="M142" s="5">
        <v>743348.84</v>
      </c>
      <c r="N142" s="5">
        <v>104186.09</v>
      </c>
    </row>
    <row r="143" spans="1:14" ht="15" customHeight="1">
      <c r="A143" s="5" t="s">
        <v>56</v>
      </c>
      <c r="B143" s="6">
        <v>45717</v>
      </c>
      <c r="C143" s="5" t="s">
        <v>24</v>
      </c>
      <c r="D143" s="5" t="s">
        <v>16</v>
      </c>
      <c r="E143" s="5">
        <v>69779</v>
      </c>
      <c r="F143" s="5">
        <v>6544</v>
      </c>
      <c r="G143" s="5">
        <v>0.152</v>
      </c>
      <c r="H143" s="5">
        <v>18</v>
      </c>
      <c r="I143" s="5">
        <v>90.2</v>
      </c>
      <c r="J143" s="5">
        <v>0.85</v>
      </c>
      <c r="K143" s="5">
        <v>1</v>
      </c>
      <c r="L143" s="5">
        <v>3.3</v>
      </c>
      <c r="M143" s="5">
        <v>758827.64</v>
      </c>
      <c r="N143" s="5">
        <v>161439.48000000001</v>
      </c>
    </row>
    <row r="144" spans="1:14" ht="15" customHeight="1">
      <c r="A144" s="5" t="s">
        <v>56</v>
      </c>
      <c r="B144" s="6">
        <v>45748</v>
      </c>
      <c r="C144" s="5" t="s">
        <v>24</v>
      </c>
      <c r="D144" s="5" t="s">
        <v>16</v>
      </c>
      <c r="E144" s="5">
        <v>44211.95</v>
      </c>
      <c r="F144" s="5">
        <v>5465</v>
      </c>
      <c r="G144" s="5">
        <v>0.187</v>
      </c>
      <c r="H144" s="5">
        <v>12</v>
      </c>
      <c r="I144" s="5">
        <v>90</v>
      </c>
      <c r="J144" s="5">
        <v>2.89</v>
      </c>
      <c r="K144" s="5">
        <v>0</v>
      </c>
      <c r="L144" s="5">
        <v>3.6</v>
      </c>
      <c r="M144" s="5">
        <v>646559.71</v>
      </c>
      <c r="N144" s="5">
        <v>97981.75</v>
      </c>
    </row>
    <row r="145" spans="1:14" ht="15" customHeight="1">
      <c r="A145" s="5" t="s">
        <v>57</v>
      </c>
      <c r="B145" s="6">
        <v>45658</v>
      </c>
      <c r="C145" s="5" t="s">
        <v>27</v>
      </c>
      <c r="D145" s="5" t="s">
        <v>18</v>
      </c>
      <c r="E145" s="5">
        <v>51430.31</v>
      </c>
      <c r="F145" s="5">
        <v>6427</v>
      </c>
      <c r="G145" s="5">
        <v>0.23400000000000001</v>
      </c>
      <c r="H145" s="5">
        <v>14</v>
      </c>
      <c r="I145" s="5">
        <v>88.8</v>
      </c>
      <c r="J145" s="5">
        <v>0.77</v>
      </c>
      <c r="K145" s="5">
        <v>0</v>
      </c>
      <c r="L145" s="5">
        <v>4.0999999999999996</v>
      </c>
      <c r="M145" s="5">
        <v>715890.53</v>
      </c>
      <c r="N145" s="5">
        <v>109032.15</v>
      </c>
    </row>
    <row r="146" spans="1:14" ht="15" customHeight="1">
      <c r="A146" s="5" t="s">
        <v>57</v>
      </c>
      <c r="B146" s="6">
        <v>45689</v>
      </c>
      <c r="C146" s="5" t="s">
        <v>27</v>
      </c>
      <c r="D146" s="5" t="s">
        <v>18</v>
      </c>
      <c r="E146" s="5">
        <v>45706.49</v>
      </c>
      <c r="F146" s="5">
        <v>6704</v>
      </c>
      <c r="G146" s="5">
        <v>3.7999999999999999E-2</v>
      </c>
      <c r="H146" s="5">
        <v>15</v>
      </c>
      <c r="I146" s="5">
        <v>94.2</v>
      </c>
      <c r="J146" s="5">
        <v>2.92</v>
      </c>
      <c r="K146" s="5">
        <v>0</v>
      </c>
      <c r="L146" s="5">
        <v>4.2</v>
      </c>
      <c r="M146" s="5">
        <v>715097.57</v>
      </c>
      <c r="N146" s="5">
        <v>151875.85999999999</v>
      </c>
    </row>
    <row r="147" spans="1:14" ht="15" customHeight="1">
      <c r="A147" s="5" t="s">
        <v>57</v>
      </c>
      <c r="B147" s="6">
        <v>45717</v>
      </c>
      <c r="C147" s="5" t="s">
        <v>27</v>
      </c>
      <c r="D147" s="5" t="s">
        <v>18</v>
      </c>
      <c r="E147" s="5">
        <v>44034.6</v>
      </c>
      <c r="F147" s="5">
        <v>5645</v>
      </c>
      <c r="G147" s="5">
        <v>6.9000000000000006E-2</v>
      </c>
      <c r="H147" s="5">
        <v>18</v>
      </c>
      <c r="I147" s="5">
        <v>88.5</v>
      </c>
      <c r="J147" s="5">
        <v>3.07</v>
      </c>
      <c r="K147" s="5">
        <v>0</v>
      </c>
      <c r="L147" s="5">
        <v>3.8</v>
      </c>
      <c r="M147" s="5">
        <v>682639.28</v>
      </c>
      <c r="N147" s="5">
        <v>77557.53</v>
      </c>
    </row>
    <row r="148" spans="1:14" ht="15" customHeight="1">
      <c r="A148" s="5" t="s">
        <v>57</v>
      </c>
      <c r="B148" s="6">
        <v>45748</v>
      </c>
      <c r="C148" s="5" t="s">
        <v>27</v>
      </c>
      <c r="D148" s="5" t="s">
        <v>18</v>
      </c>
      <c r="E148" s="5">
        <v>50198.12</v>
      </c>
      <c r="F148" s="5">
        <v>6089</v>
      </c>
      <c r="G148" s="5">
        <v>0.182</v>
      </c>
      <c r="H148" s="5">
        <v>19</v>
      </c>
      <c r="I148" s="5">
        <v>94</v>
      </c>
      <c r="J148" s="5">
        <v>9.6999999999999993</v>
      </c>
      <c r="K148" s="5">
        <v>0</v>
      </c>
      <c r="L148" s="5">
        <v>3.9</v>
      </c>
      <c r="M148" s="5">
        <v>695098.51</v>
      </c>
      <c r="N148" s="5">
        <v>108192.75</v>
      </c>
    </row>
    <row r="149" spans="1:14" ht="15" customHeight="1">
      <c r="A149" s="5" t="s">
        <v>58</v>
      </c>
      <c r="B149" s="6">
        <v>45658</v>
      </c>
      <c r="C149" s="5" t="s">
        <v>20</v>
      </c>
      <c r="D149" s="5" t="s">
        <v>16</v>
      </c>
      <c r="E149" s="5">
        <v>70488.2</v>
      </c>
      <c r="F149" s="5">
        <v>4312</v>
      </c>
      <c r="G149" s="5">
        <v>0.16900000000000001</v>
      </c>
      <c r="H149" s="5">
        <v>12</v>
      </c>
      <c r="I149" s="5">
        <v>90.2</v>
      </c>
      <c r="J149" s="5">
        <v>3.71</v>
      </c>
      <c r="K149" s="5">
        <v>0</v>
      </c>
      <c r="L149" s="5">
        <v>3.2</v>
      </c>
      <c r="M149" s="5">
        <v>577732.56999999995</v>
      </c>
      <c r="N149" s="5">
        <v>93804.27</v>
      </c>
    </row>
    <row r="150" spans="1:14" ht="15" customHeight="1">
      <c r="A150" s="5" t="s">
        <v>58</v>
      </c>
      <c r="B150" s="6">
        <v>45689</v>
      </c>
      <c r="C150" s="5" t="s">
        <v>20</v>
      </c>
      <c r="D150" s="5" t="s">
        <v>16</v>
      </c>
      <c r="E150" s="5">
        <v>50909.27</v>
      </c>
      <c r="F150" s="5">
        <v>3152</v>
      </c>
      <c r="G150" s="5">
        <v>0.06</v>
      </c>
      <c r="H150" s="5">
        <v>13</v>
      </c>
      <c r="I150" s="5">
        <v>93.7</v>
      </c>
      <c r="J150" s="5">
        <v>10.79</v>
      </c>
      <c r="K150" s="5">
        <v>0</v>
      </c>
      <c r="L150" s="5">
        <v>3.5</v>
      </c>
      <c r="M150" s="5">
        <v>537058.32999999996</v>
      </c>
      <c r="N150" s="5">
        <v>93555.71</v>
      </c>
    </row>
    <row r="151" spans="1:14" ht="15" customHeight="1">
      <c r="A151" s="5" t="s">
        <v>58</v>
      </c>
      <c r="B151" s="6">
        <v>45717</v>
      </c>
      <c r="C151" s="5" t="s">
        <v>20</v>
      </c>
      <c r="D151" s="5" t="s">
        <v>16</v>
      </c>
      <c r="E151" s="5">
        <v>53351.7</v>
      </c>
      <c r="F151" s="5">
        <v>4259</v>
      </c>
      <c r="G151" s="5">
        <v>0.156</v>
      </c>
      <c r="H151" s="5">
        <v>15</v>
      </c>
      <c r="I151" s="5">
        <v>93.7</v>
      </c>
      <c r="J151" s="5">
        <v>6.03</v>
      </c>
      <c r="K151" s="5">
        <v>0</v>
      </c>
      <c r="L151" s="5">
        <v>3.4</v>
      </c>
      <c r="M151" s="5">
        <v>601568.87</v>
      </c>
      <c r="N151" s="5">
        <v>91634.82</v>
      </c>
    </row>
    <row r="152" spans="1:14" ht="15" customHeight="1">
      <c r="A152" s="5" t="s">
        <v>58</v>
      </c>
      <c r="B152" s="6">
        <v>45748</v>
      </c>
      <c r="C152" s="5" t="s">
        <v>20</v>
      </c>
      <c r="D152" s="5" t="s">
        <v>16</v>
      </c>
      <c r="E152" s="5">
        <v>60322.400000000001</v>
      </c>
      <c r="F152" s="5">
        <v>3350</v>
      </c>
      <c r="G152" s="5">
        <v>0.108</v>
      </c>
      <c r="H152" s="5">
        <v>12</v>
      </c>
      <c r="I152" s="5">
        <v>89.4</v>
      </c>
      <c r="J152" s="5">
        <v>4.92</v>
      </c>
      <c r="K152" s="5">
        <v>0</v>
      </c>
      <c r="L152" s="5">
        <v>3.4</v>
      </c>
      <c r="M152" s="5">
        <v>570964.84</v>
      </c>
      <c r="N152" s="5">
        <v>81331.070000000007</v>
      </c>
    </row>
    <row r="153" spans="1:14" ht="15" customHeight="1">
      <c r="A153" s="5" t="s">
        <v>59</v>
      </c>
      <c r="B153" s="6">
        <v>45658</v>
      </c>
      <c r="C153" s="5" t="s">
        <v>24</v>
      </c>
      <c r="D153" s="5" t="s">
        <v>28</v>
      </c>
      <c r="E153" s="5">
        <v>51575.68</v>
      </c>
      <c r="F153" s="5">
        <v>5329</v>
      </c>
      <c r="G153" s="5">
        <v>4.7E-2</v>
      </c>
      <c r="H153" s="5">
        <v>17</v>
      </c>
      <c r="I153" s="5">
        <v>88.1</v>
      </c>
      <c r="J153" s="5">
        <v>19.78</v>
      </c>
      <c r="K153" s="5">
        <v>0</v>
      </c>
      <c r="L153" s="5">
        <v>3.8</v>
      </c>
      <c r="M153" s="5">
        <v>614024.91</v>
      </c>
      <c r="N153" s="5">
        <v>84828.93</v>
      </c>
    </row>
    <row r="154" spans="1:14" ht="15" customHeight="1">
      <c r="A154" s="5" t="s">
        <v>59</v>
      </c>
      <c r="B154" s="6">
        <v>45689</v>
      </c>
      <c r="C154" s="5" t="s">
        <v>24</v>
      </c>
      <c r="D154" s="5" t="s">
        <v>28</v>
      </c>
      <c r="E154" s="5">
        <v>43319.94</v>
      </c>
      <c r="F154" s="5">
        <v>6551</v>
      </c>
      <c r="G154" s="5">
        <v>4.3999999999999997E-2</v>
      </c>
      <c r="H154" s="5">
        <v>13</v>
      </c>
      <c r="I154" s="5">
        <v>99</v>
      </c>
      <c r="J154" s="5">
        <v>5.45</v>
      </c>
      <c r="K154" s="5">
        <v>0</v>
      </c>
      <c r="L154" s="5">
        <v>4.0999999999999996</v>
      </c>
      <c r="M154" s="5">
        <v>712868.35</v>
      </c>
      <c r="N154" s="5">
        <v>133650.51</v>
      </c>
    </row>
    <row r="155" spans="1:14" ht="15" customHeight="1">
      <c r="A155" s="5" t="s">
        <v>59</v>
      </c>
      <c r="B155" s="6">
        <v>45717</v>
      </c>
      <c r="C155" s="5" t="s">
        <v>24</v>
      </c>
      <c r="D155" s="5" t="s">
        <v>28</v>
      </c>
      <c r="E155" s="5">
        <v>47093.55</v>
      </c>
      <c r="F155" s="5">
        <v>5550</v>
      </c>
      <c r="G155" s="5">
        <v>0.1</v>
      </c>
      <c r="H155" s="5">
        <v>12</v>
      </c>
      <c r="I155" s="5">
        <v>95</v>
      </c>
      <c r="J155" s="5">
        <v>2.33</v>
      </c>
      <c r="K155" s="5">
        <v>1</v>
      </c>
      <c r="L155" s="5">
        <v>3.7</v>
      </c>
      <c r="M155" s="5">
        <v>696744.15</v>
      </c>
      <c r="N155" s="5">
        <v>152230.09</v>
      </c>
    </row>
    <row r="156" spans="1:14" ht="15" customHeight="1">
      <c r="A156" s="5" t="s">
        <v>59</v>
      </c>
      <c r="B156" s="6">
        <v>45748</v>
      </c>
      <c r="C156" s="5" t="s">
        <v>24</v>
      </c>
      <c r="D156" s="5" t="s">
        <v>28</v>
      </c>
      <c r="E156" s="5">
        <v>71855.09</v>
      </c>
      <c r="F156" s="5">
        <v>5911</v>
      </c>
      <c r="G156" s="5">
        <v>0.19700000000000001</v>
      </c>
      <c r="H156" s="5">
        <v>15</v>
      </c>
      <c r="I156" s="5">
        <v>94.3</v>
      </c>
      <c r="J156" s="5">
        <v>3.55</v>
      </c>
      <c r="K156" s="5">
        <v>0</v>
      </c>
      <c r="L156" s="5">
        <v>4.0999999999999996</v>
      </c>
      <c r="M156" s="5">
        <v>725847.99</v>
      </c>
      <c r="N156" s="5">
        <v>122698.73</v>
      </c>
    </row>
    <row r="157" spans="1:14" ht="15" customHeight="1">
      <c r="A157" s="5" t="s">
        <v>60</v>
      </c>
      <c r="B157" s="6">
        <v>45658</v>
      </c>
      <c r="C157" s="5" t="s">
        <v>15</v>
      </c>
      <c r="D157" s="5" t="s">
        <v>18</v>
      </c>
      <c r="E157" s="5">
        <v>75645.23</v>
      </c>
      <c r="F157" s="5">
        <v>9674</v>
      </c>
      <c r="G157" s="5">
        <v>0.23400000000000001</v>
      </c>
      <c r="H157" s="5">
        <v>21</v>
      </c>
      <c r="I157" s="5">
        <v>87.4</v>
      </c>
      <c r="J157" s="5">
        <v>0.2</v>
      </c>
      <c r="K157" s="5">
        <v>0</v>
      </c>
      <c r="L157" s="5">
        <v>4.5</v>
      </c>
      <c r="M157" s="5">
        <v>785028.25</v>
      </c>
      <c r="N157" s="5">
        <v>110726.44</v>
      </c>
    </row>
    <row r="158" spans="1:14" ht="15" customHeight="1">
      <c r="A158" s="5" t="s">
        <v>60</v>
      </c>
      <c r="B158" s="6">
        <v>45689</v>
      </c>
      <c r="C158" s="5" t="s">
        <v>15</v>
      </c>
      <c r="D158" s="5" t="s">
        <v>18</v>
      </c>
      <c r="E158" s="5">
        <v>64374.75</v>
      </c>
      <c r="F158" s="5">
        <v>6740</v>
      </c>
      <c r="G158" s="5">
        <v>0.16900000000000001</v>
      </c>
      <c r="H158" s="5">
        <v>18</v>
      </c>
      <c r="I158" s="5">
        <v>87</v>
      </c>
      <c r="J158" s="5">
        <v>2.09</v>
      </c>
      <c r="K158" s="5">
        <v>0</v>
      </c>
      <c r="L158" s="5">
        <v>4.2</v>
      </c>
      <c r="M158" s="5">
        <v>698492.67</v>
      </c>
      <c r="N158" s="5">
        <v>117319.32</v>
      </c>
    </row>
    <row r="159" spans="1:14" ht="15" customHeight="1">
      <c r="A159" s="5" t="s">
        <v>60</v>
      </c>
      <c r="B159" s="6">
        <v>45717</v>
      </c>
      <c r="C159" s="5" t="s">
        <v>15</v>
      </c>
      <c r="D159" s="5" t="s">
        <v>18</v>
      </c>
      <c r="E159" s="5">
        <v>61433.84</v>
      </c>
      <c r="F159" s="5">
        <v>7745</v>
      </c>
      <c r="G159" s="5">
        <v>0.18</v>
      </c>
      <c r="H159" s="5">
        <v>16</v>
      </c>
      <c r="I159" s="5">
        <v>90.5</v>
      </c>
      <c r="J159" s="5">
        <v>2.2599999999999998</v>
      </c>
      <c r="K159" s="5">
        <v>0</v>
      </c>
      <c r="L159" s="5">
        <v>4.2</v>
      </c>
      <c r="M159" s="5">
        <v>685830.24</v>
      </c>
      <c r="N159" s="5">
        <v>128736.18</v>
      </c>
    </row>
    <row r="160" spans="1:14" ht="15" customHeight="1">
      <c r="A160" s="5" t="s">
        <v>60</v>
      </c>
      <c r="B160" s="6">
        <v>45748</v>
      </c>
      <c r="C160" s="5" t="s">
        <v>15</v>
      </c>
      <c r="D160" s="5" t="s">
        <v>18</v>
      </c>
      <c r="E160" s="5">
        <v>42698.14</v>
      </c>
      <c r="F160" s="5">
        <v>7693</v>
      </c>
      <c r="G160" s="5">
        <v>0.187</v>
      </c>
      <c r="H160" s="5">
        <v>19</v>
      </c>
      <c r="I160" s="5">
        <v>90.1</v>
      </c>
      <c r="J160" s="5">
        <v>0.44</v>
      </c>
      <c r="K160" s="5">
        <v>0</v>
      </c>
      <c r="L160" s="5">
        <v>4.4000000000000004</v>
      </c>
      <c r="M160" s="5">
        <v>702318.94</v>
      </c>
      <c r="N160" s="5">
        <v>112829.29</v>
      </c>
    </row>
    <row r="161" spans="1:14" ht="15" customHeight="1">
      <c r="A161" s="5" t="s">
        <v>61</v>
      </c>
      <c r="B161" s="6">
        <v>45658</v>
      </c>
      <c r="C161" s="5" t="s">
        <v>20</v>
      </c>
      <c r="D161" s="5" t="s">
        <v>28</v>
      </c>
      <c r="E161" s="5">
        <v>86883.31</v>
      </c>
      <c r="F161" s="5">
        <v>6424</v>
      </c>
      <c r="G161" s="5">
        <v>5.7000000000000002E-2</v>
      </c>
      <c r="H161" s="5">
        <v>19</v>
      </c>
      <c r="I161" s="5">
        <v>85.2</v>
      </c>
      <c r="J161" s="5">
        <v>3.08</v>
      </c>
      <c r="K161" s="5">
        <v>0</v>
      </c>
      <c r="L161" s="5">
        <v>3.9</v>
      </c>
      <c r="M161" s="5">
        <v>700078.32</v>
      </c>
      <c r="N161" s="5">
        <v>123707.58</v>
      </c>
    </row>
    <row r="162" spans="1:14" ht="15" customHeight="1">
      <c r="A162" s="5" t="s">
        <v>61</v>
      </c>
      <c r="B162" s="6">
        <v>45689</v>
      </c>
      <c r="C162" s="5" t="s">
        <v>20</v>
      </c>
      <c r="D162" s="5" t="s">
        <v>28</v>
      </c>
      <c r="E162" s="5">
        <v>41863.08</v>
      </c>
      <c r="F162" s="5">
        <v>5400</v>
      </c>
      <c r="G162" s="5">
        <v>0.114</v>
      </c>
      <c r="H162" s="5">
        <v>11</v>
      </c>
      <c r="I162" s="5">
        <v>91.6</v>
      </c>
      <c r="J162" s="5">
        <v>7.99</v>
      </c>
      <c r="K162" s="5">
        <v>0</v>
      </c>
      <c r="L162" s="5">
        <v>3</v>
      </c>
      <c r="M162" s="5">
        <v>602002.31999999995</v>
      </c>
      <c r="N162" s="5">
        <v>110453.28</v>
      </c>
    </row>
    <row r="163" spans="1:14" ht="15" customHeight="1">
      <c r="A163" s="5" t="s">
        <v>61</v>
      </c>
      <c r="B163" s="6">
        <v>45717</v>
      </c>
      <c r="C163" s="5" t="s">
        <v>20</v>
      </c>
      <c r="D163" s="5" t="s">
        <v>28</v>
      </c>
      <c r="E163" s="5">
        <v>56918.16</v>
      </c>
      <c r="F163" s="5">
        <v>7015</v>
      </c>
      <c r="G163" s="5">
        <v>0.158</v>
      </c>
      <c r="H163" s="5">
        <v>18</v>
      </c>
      <c r="I163" s="5">
        <v>74.2</v>
      </c>
      <c r="J163" s="5">
        <v>0.2</v>
      </c>
      <c r="K163" s="5">
        <v>0</v>
      </c>
      <c r="L163" s="5">
        <v>3.4</v>
      </c>
      <c r="M163" s="5">
        <v>724216.07</v>
      </c>
      <c r="N163" s="5">
        <v>100627.56</v>
      </c>
    </row>
    <row r="164" spans="1:14" ht="15" customHeight="1">
      <c r="A164" s="5" t="s">
        <v>61</v>
      </c>
      <c r="B164" s="6">
        <v>45748</v>
      </c>
      <c r="C164" s="5" t="s">
        <v>20</v>
      </c>
      <c r="D164" s="5" t="s">
        <v>28</v>
      </c>
      <c r="E164" s="5">
        <v>23254.57</v>
      </c>
      <c r="F164" s="5">
        <v>3847</v>
      </c>
      <c r="G164" s="5">
        <v>0.159</v>
      </c>
      <c r="H164" s="5">
        <v>12</v>
      </c>
      <c r="I164" s="5">
        <v>93</v>
      </c>
      <c r="J164" s="5">
        <v>5.46</v>
      </c>
      <c r="K164" s="5">
        <v>0</v>
      </c>
      <c r="L164" s="5">
        <v>3.3</v>
      </c>
      <c r="M164" s="5">
        <v>620973.03</v>
      </c>
      <c r="N164" s="5">
        <v>72303.850000000006</v>
      </c>
    </row>
    <row r="165" spans="1:14" ht="15" customHeight="1">
      <c r="A165" s="5" t="s">
        <v>62</v>
      </c>
      <c r="B165" s="6">
        <v>45658</v>
      </c>
      <c r="C165" s="5" t="s">
        <v>24</v>
      </c>
      <c r="D165" s="5" t="s">
        <v>18</v>
      </c>
      <c r="E165" s="5">
        <v>41443.410000000003</v>
      </c>
      <c r="F165" s="5">
        <v>7455</v>
      </c>
      <c r="G165" s="5">
        <v>0.17499999999999999</v>
      </c>
      <c r="H165" s="5">
        <v>16</v>
      </c>
      <c r="I165" s="5">
        <v>90.1</v>
      </c>
      <c r="J165" s="5">
        <v>4.05</v>
      </c>
      <c r="K165" s="5">
        <v>0</v>
      </c>
      <c r="L165" s="5">
        <v>4</v>
      </c>
      <c r="M165" s="5">
        <v>650480.06000000006</v>
      </c>
      <c r="N165" s="5">
        <v>109012.07</v>
      </c>
    </row>
    <row r="166" spans="1:14" ht="15" customHeight="1">
      <c r="A166" s="5" t="s">
        <v>62</v>
      </c>
      <c r="B166" s="6">
        <v>45689</v>
      </c>
      <c r="C166" s="5" t="s">
        <v>24</v>
      </c>
      <c r="D166" s="5" t="s">
        <v>18</v>
      </c>
      <c r="E166" s="5">
        <v>48438.85</v>
      </c>
      <c r="F166" s="5">
        <v>6992</v>
      </c>
      <c r="G166" s="5">
        <v>3.4000000000000002E-2</v>
      </c>
      <c r="H166" s="5">
        <v>20</v>
      </c>
      <c r="I166" s="5">
        <v>91</v>
      </c>
      <c r="J166" s="5">
        <v>4.3600000000000003</v>
      </c>
      <c r="K166" s="5">
        <v>0</v>
      </c>
      <c r="L166" s="5">
        <v>4.2</v>
      </c>
      <c r="M166" s="5">
        <v>778298.88</v>
      </c>
      <c r="N166" s="5">
        <v>130076.72</v>
      </c>
    </row>
    <row r="167" spans="1:14" ht="15" customHeight="1">
      <c r="A167" s="5" t="s">
        <v>62</v>
      </c>
      <c r="B167" s="6">
        <v>45717</v>
      </c>
      <c r="C167" s="5" t="s">
        <v>24</v>
      </c>
      <c r="D167" s="5" t="s">
        <v>18</v>
      </c>
      <c r="E167" s="5">
        <v>57143.3</v>
      </c>
      <c r="F167" s="5">
        <v>8038</v>
      </c>
      <c r="G167" s="5">
        <v>0.193</v>
      </c>
      <c r="H167" s="5">
        <v>17</v>
      </c>
      <c r="I167" s="5">
        <v>72.599999999999994</v>
      </c>
      <c r="J167" s="5"/>
      <c r="K167" s="5">
        <v>0</v>
      </c>
      <c r="L167" s="5">
        <v>4.2</v>
      </c>
      <c r="M167" s="5">
        <v>677096.71</v>
      </c>
      <c r="N167" s="5">
        <v>97174.11</v>
      </c>
    </row>
    <row r="168" spans="1:14" ht="15" customHeight="1">
      <c r="A168" s="5" t="s">
        <v>62</v>
      </c>
      <c r="B168" s="6">
        <v>45748</v>
      </c>
      <c r="C168" s="5" t="s">
        <v>24</v>
      </c>
      <c r="D168" s="5" t="s">
        <v>18</v>
      </c>
      <c r="E168" s="5">
        <v>66870.62</v>
      </c>
      <c r="F168" s="5">
        <v>6055</v>
      </c>
      <c r="G168" s="5">
        <v>7.4999999999999997E-2</v>
      </c>
      <c r="H168" s="5">
        <v>19</v>
      </c>
      <c r="I168" s="5">
        <v>93.8</v>
      </c>
      <c r="J168" s="5">
        <v>0.54</v>
      </c>
      <c r="K168" s="5">
        <v>0</v>
      </c>
      <c r="L168" s="5">
        <v>4.3</v>
      </c>
      <c r="M168" s="5">
        <v>692008.64</v>
      </c>
      <c r="N168" s="5">
        <v>116337.87</v>
      </c>
    </row>
    <row r="169" spans="1:14" ht="15" customHeight="1">
      <c r="A169" s="5" t="s">
        <v>63</v>
      </c>
      <c r="B169" s="6">
        <v>45658</v>
      </c>
      <c r="C169" s="5" t="s">
        <v>20</v>
      </c>
      <c r="D169" s="5" t="s">
        <v>28</v>
      </c>
      <c r="E169" s="5">
        <v>72150.53</v>
      </c>
      <c r="F169" s="5">
        <v>9323</v>
      </c>
      <c r="G169" s="5">
        <v>0.157</v>
      </c>
      <c r="H169" s="5">
        <v>22</v>
      </c>
      <c r="I169" s="5">
        <v>82.9</v>
      </c>
      <c r="J169" s="5">
        <v>11.37</v>
      </c>
      <c r="K169" s="5">
        <v>1</v>
      </c>
      <c r="L169" s="5">
        <v>4.3</v>
      </c>
      <c r="M169" s="5">
        <v>825797.91</v>
      </c>
      <c r="N169" s="5">
        <v>130945.24</v>
      </c>
    </row>
    <row r="170" spans="1:14" ht="15" customHeight="1">
      <c r="A170" s="5" t="s">
        <v>63</v>
      </c>
      <c r="B170" s="6">
        <v>45689</v>
      </c>
      <c r="C170" s="5" t="s">
        <v>20</v>
      </c>
      <c r="D170" s="5" t="s">
        <v>28</v>
      </c>
      <c r="E170" s="5">
        <v>35303.300000000003</v>
      </c>
      <c r="F170" s="5">
        <v>8789</v>
      </c>
      <c r="G170" s="5">
        <v>0.123</v>
      </c>
      <c r="H170" s="5">
        <v>22</v>
      </c>
      <c r="I170" s="5">
        <v>86.1</v>
      </c>
      <c r="J170" s="5">
        <v>9.43</v>
      </c>
      <c r="K170" s="5">
        <v>0</v>
      </c>
      <c r="L170" s="5">
        <v>4.2</v>
      </c>
      <c r="M170" s="5">
        <v>706285.52</v>
      </c>
      <c r="N170" s="5">
        <v>138014.72</v>
      </c>
    </row>
    <row r="171" spans="1:14" ht="15" customHeight="1">
      <c r="A171" s="5" t="s">
        <v>63</v>
      </c>
      <c r="B171" s="6">
        <v>45717</v>
      </c>
      <c r="C171" s="5" t="s">
        <v>20</v>
      </c>
      <c r="D171" s="5" t="s">
        <v>28</v>
      </c>
      <c r="E171" s="5">
        <v>30301.86</v>
      </c>
      <c r="F171" s="5">
        <v>6939</v>
      </c>
      <c r="G171" s="5">
        <v>0.09</v>
      </c>
      <c r="H171" s="5">
        <v>16</v>
      </c>
      <c r="I171" s="5">
        <v>90.3</v>
      </c>
      <c r="J171" s="5">
        <v>3.49</v>
      </c>
      <c r="K171" s="5">
        <v>0</v>
      </c>
      <c r="L171" s="5">
        <v>4</v>
      </c>
      <c r="M171" s="5">
        <v>665534.69999999995</v>
      </c>
      <c r="N171" s="5">
        <v>113167.73</v>
      </c>
    </row>
    <row r="172" spans="1:14" ht="15" customHeight="1">
      <c r="A172" s="5" t="s">
        <v>63</v>
      </c>
      <c r="B172" s="6">
        <v>45748</v>
      </c>
      <c r="C172" s="5" t="s">
        <v>20</v>
      </c>
      <c r="D172" s="5" t="s">
        <v>28</v>
      </c>
      <c r="E172" s="5">
        <v>78432.14</v>
      </c>
      <c r="F172" s="5">
        <v>9440</v>
      </c>
      <c r="G172" s="5">
        <v>0.126</v>
      </c>
      <c r="H172" s="5">
        <v>23</v>
      </c>
      <c r="I172" s="5">
        <v>89.2</v>
      </c>
      <c r="J172" s="5">
        <v>7.86</v>
      </c>
      <c r="K172" s="5">
        <v>0</v>
      </c>
      <c r="L172" s="5">
        <v>4.0999999999999996</v>
      </c>
      <c r="M172" s="5">
        <v>820729.29</v>
      </c>
      <c r="N172" s="5">
        <v>159325.47</v>
      </c>
    </row>
    <row r="173" spans="1:14" ht="15" customHeight="1">
      <c r="A173" s="5" t="s">
        <v>64</v>
      </c>
      <c r="B173" s="6">
        <v>45658</v>
      </c>
      <c r="C173" s="5" t="s">
        <v>15</v>
      </c>
      <c r="D173" s="5" t="s">
        <v>16</v>
      </c>
      <c r="E173" s="5">
        <v>62059.18</v>
      </c>
      <c r="F173" s="5">
        <v>9374</v>
      </c>
      <c r="G173" s="5">
        <v>0.13600000000000001</v>
      </c>
      <c r="H173" s="5">
        <v>25</v>
      </c>
      <c r="I173" s="5">
        <v>87.1</v>
      </c>
      <c r="J173" s="5">
        <v>12.55</v>
      </c>
      <c r="K173" s="5">
        <v>0</v>
      </c>
      <c r="L173" s="5">
        <v>4.9000000000000004</v>
      </c>
      <c r="M173" s="5">
        <v>739831.73</v>
      </c>
      <c r="N173" s="5">
        <v>119490.21</v>
      </c>
    </row>
    <row r="174" spans="1:14" ht="15" customHeight="1">
      <c r="A174" s="5" t="s">
        <v>64</v>
      </c>
      <c r="B174" s="6">
        <v>45689</v>
      </c>
      <c r="C174" s="5" t="s">
        <v>15</v>
      </c>
      <c r="D174" s="5" t="s">
        <v>16</v>
      </c>
      <c r="E174" s="5">
        <v>32834.480000000003</v>
      </c>
      <c r="F174" s="5">
        <v>7576</v>
      </c>
      <c r="G174" s="5">
        <v>9.9000000000000005E-2</v>
      </c>
      <c r="H174" s="5">
        <v>15</v>
      </c>
      <c r="I174" s="5">
        <v>84.1</v>
      </c>
      <c r="J174" s="5">
        <v>3.48</v>
      </c>
      <c r="K174" s="5">
        <v>0</v>
      </c>
      <c r="L174" s="5">
        <v>5</v>
      </c>
      <c r="M174" s="5">
        <v>593637.14</v>
      </c>
      <c r="N174" s="5">
        <v>106648.14</v>
      </c>
    </row>
    <row r="175" spans="1:14" ht="15" customHeight="1">
      <c r="A175" s="5" t="s">
        <v>64</v>
      </c>
      <c r="B175" s="6">
        <v>45717</v>
      </c>
      <c r="C175" s="5" t="s">
        <v>15</v>
      </c>
      <c r="D175" s="5" t="s">
        <v>16</v>
      </c>
      <c r="E175" s="5">
        <v>50825.08</v>
      </c>
      <c r="F175" s="5">
        <v>8949</v>
      </c>
      <c r="G175" s="5">
        <v>0.157</v>
      </c>
      <c r="H175" s="5">
        <v>21</v>
      </c>
      <c r="I175" s="5">
        <v>84.7</v>
      </c>
      <c r="J175" s="5">
        <v>7.73</v>
      </c>
      <c r="K175" s="5">
        <v>0</v>
      </c>
      <c r="L175" s="5">
        <v>4.9000000000000004</v>
      </c>
      <c r="M175" s="5">
        <v>769702.76</v>
      </c>
      <c r="N175" s="5">
        <v>158697</v>
      </c>
    </row>
    <row r="176" spans="1:14" ht="15" customHeight="1">
      <c r="A176" s="5" t="s">
        <v>64</v>
      </c>
      <c r="B176" s="6">
        <v>45748</v>
      </c>
      <c r="C176" s="5" t="s">
        <v>15</v>
      </c>
      <c r="D176" s="5" t="s">
        <v>16</v>
      </c>
      <c r="E176" s="5">
        <v>36606.51</v>
      </c>
      <c r="F176" s="5">
        <v>7671</v>
      </c>
      <c r="G176" s="5">
        <v>0.11799999999999999</v>
      </c>
      <c r="H176" s="5">
        <v>18</v>
      </c>
      <c r="I176" s="5">
        <v>89.8</v>
      </c>
      <c r="J176" s="5">
        <v>0.25</v>
      </c>
      <c r="K176" s="5">
        <v>0</v>
      </c>
      <c r="L176" s="5">
        <v>4.4000000000000004</v>
      </c>
      <c r="M176" s="5">
        <v>679731.57</v>
      </c>
      <c r="N176" s="5">
        <v>121546.42</v>
      </c>
    </row>
    <row r="177" spans="1:14" ht="15" customHeight="1">
      <c r="A177" s="5" t="s">
        <v>65</v>
      </c>
      <c r="B177" s="6">
        <v>45658</v>
      </c>
      <c r="C177" s="5" t="s">
        <v>15</v>
      </c>
      <c r="D177" s="5" t="s">
        <v>16</v>
      </c>
      <c r="E177" s="5">
        <v>65237.79</v>
      </c>
      <c r="F177" s="5">
        <v>8741</v>
      </c>
      <c r="G177" s="5">
        <v>0.157</v>
      </c>
      <c r="H177" s="5">
        <v>20</v>
      </c>
      <c r="I177" s="5">
        <v>94.4</v>
      </c>
      <c r="J177" s="5">
        <v>6.43</v>
      </c>
      <c r="K177" s="5">
        <v>0</v>
      </c>
      <c r="L177" s="5">
        <v>3.3</v>
      </c>
      <c r="M177" s="5">
        <v>780344.18</v>
      </c>
      <c r="N177" s="5">
        <v>118239.09</v>
      </c>
    </row>
    <row r="178" spans="1:14" ht="15" customHeight="1">
      <c r="A178" s="5" t="s">
        <v>65</v>
      </c>
      <c r="B178" s="6">
        <v>45689</v>
      </c>
      <c r="C178" s="5" t="s">
        <v>15</v>
      </c>
      <c r="D178" s="5" t="s">
        <v>16</v>
      </c>
      <c r="E178" s="5">
        <v>43645.98</v>
      </c>
      <c r="F178" s="5">
        <v>9480</v>
      </c>
      <c r="G178" s="5">
        <v>0.109</v>
      </c>
      <c r="H178" s="5">
        <v>22</v>
      </c>
      <c r="I178" s="5">
        <v>89</v>
      </c>
      <c r="J178" s="5">
        <v>2.11</v>
      </c>
      <c r="K178" s="5">
        <v>0</v>
      </c>
      <c r="L178" s="5">
        <v>3.1</v>
      </c>
      <c r="M178" s="5">
        <v>721364.11</v>
      </c>
      <c r="N178" s="5">
        <v>147272.81</v>
      </c>
    </row>
    <row r="179" spans="1:14" ht="15" customHeight="1">
      <c r="A179" s="5" t="s">
        <v>65</v>
      </c>
      <c r="B179" s="6">
        <v>45717</v>
      </c>
      <c r="C179" s="5" t="s">
        <v>15</v>
      </c>
      <c r="D179" s="5" t="s">
        <v>16</v>
      </c>
      <c r="E179" s="5">
        <v>68040.149999999994</v>
      </c>
      <c r="F179" s="5">
        <v>9826</v>
      </c>
      <c r="G179" s="5">
        <v>0.125</v>
      </c>
      <c r="H179" s="5">
        <v>20</v>
      </c>
      <c r="I179" s="5">
        <v>83.9</v>
      </c>
      <c r="J179" s="5">
        <v>9.1199999999999992</v>
      </c>
      <c r="K179" s="5">
        <v>0</v>
      </c>
      <c r="L179" s="5">
        <v>3.6</v>
      </c>
      <c r="M179" s="5">
        <v>758138.29</v>
      </c>
      <c r="N179" s="5">
        <v>132975.26</v>
      </c>
    </row>
    <row r="180" spans="1:14" ht="15" customHeight="1">
      <c r="A180" s="5" t="s">
        <v>65</v>
      </c>
      <c r="B180" s="6">
        <v>45748</v>
      </c>
      <c r="C180" s="5" t="s">
        <v>15</v>
      </c>
      <c r="D180" s="5" t="s">
        <v>16</v>
      </c>
      <c r="E180" s="5">
        <v>63043.94</v>
      </c>
      <c r="F180" s="5">
        <v>10402</v>
      </c>
      <c r="G180" s="5">
        <v>0.159</v>
      </c>
      <c r="H180" s="5">
        <v>23</v>
      </c>
      <c r="I180" s="5">
        <v>93.9</v>
      </c>
      <c r="J180" s="5">
        <v>2.71</v>
      </c>
      <c r="K180" s="5">
        <v>0</v>
      </c>
      <c r="L180" s="5">
        <v>3.1</v>
      </c>
      <c r="M180" s="5">
        <v>804264</v>
      </c>
      <c r="N180" s="5">
        <v>167117.91</v>
      </c>
    </row>
    <row r="181" spans="1:14" ht="15" customHeight="1">
      <c r="A181" s="5" t="s">
        <v>66</v>
      </c>
      <c r="B181" s="6">
        <v>45658</v>
      </c>
      <c r="C181" s="5" t="s">
        <v>27</v>
      </c>
      <c r="D181" s="5" t="s">
        <v>21</v>
      </c>
      <c r="E181" s="5">
        <v>67494.09</v>
      </c>
      <c r="F181" s="5">
        <v>12361</v>
      </c>
      <c r="G181" s="5">
        <v>4.5999999999999999E-2</v>
      </c>
      <c r="H181" s="5">
        <v>24</v>
      </c>
      <c r="I181" s="5">
        <v>76.599999999999994</v>
      </c>
      <c r="J181" s="5">
        <v>3.65</v>
      </c>
      <c r="K181" s="5">
        <v>1</v>
      </c>
      <c r="L181" s="5">
        <v>3.7</v>
      </c>
      <c r="M181" s="5">
        <v>887537.75</v>
      </c>
      <c r="N181" s="5">
        <v>160362.92000000001</v>
      </c>
    </row>
    <row r="182" spans="1:14" ht="15" customHeight="1">
      <c r="A182" s="5" t="s">
        <v>66</v>
      </c>
      <c r="B182" s="6">
        <v>45689</v>
      </c>
      <c r="C182" s="5" t="s">
        <v>27</v>
      </c>
      <c r="D182" s="5" t="s">
        <v>21</v>
      </c>
      <c r="E182" s="5">
        <v>29389.32</v>
      </c>
      <c r="F182" s="5">
        <v>7925</v>
      </c>
      <c r="G182" s="5">
        <v>0.17699999999999999</v>
      </c>
      <c r="H182" s="5">
        <v>21</v>
      </c>
      <c r="I182" s="5">
        <v>90.9</v>
      </c>
      <c r="J182" s="5">
        <v>7.86</v>
      </c>
      <c r="K182" s="5">
        <v>0</v>
      </c>
      <c r="L182" s="5">
        <v>4</v>
      </c>
      <c r="M182" s="5">
        <v>783582</v>
      </c>
      <c r="N182" s="5">
        <v>130670.93</v>
      </c>
    </row>
    <row r="183" spans="1:14" ht="15" customHeight="1">
      <c r="A183" s="5" t="s">
        <v>66</v>
      </c>
      <c r="B183" s="6">
        <v>45717</v>
      </c>
      <c r="C183" s="5" t="s">
        <v>27</v>
      </c>
      <c r="D183" s="5" t="s">
        <v>21</v>
      </c>
      <c r="E183" s="5">
        <v>40535.089999999997</v>
      </c>
      <c r="F183" s="5">
        <v>8870</v>
      </c>
      <c r="G183" s="5">
        <v>4.1000000000000002E-2</v>
      </c>
      <c r="H183" s="5">
        <v>21</v>
      </c>
      <c r="I183" s="5">
        <v>86.6</v>
      </c>
      <c r="J183" s="5">
        <v>0.3</v>
      </c>
      <c r="K183" s="5">
        <v>0</v>
      </c>
      <c r="L183" s="5">
        <v>4.0999999999999996</v>
      </c>
      <c r="M183" s="5">
        <v>781955.52</v>
      </c>
      <c r="N183" s="5">
        <v>152578.71</v>
      </c>
    </row>
    <row r="184" spans="1:14" ht="15" customHeight="1">
      <c r="A184" s="5" t="s">
        <v>66</v>
      </c>
      <c r="B184" s="6">
        <v>45748</v>
      </c>
      <c r="C184" s="5" t="s">
        <v>27</v>
      </c>
      <c r="D184" s="5" t="s">
        <v>21</v>
      </c>
      <c r="E184" s="5">
        <v>74881.56</v>
      </c>
      <c r="F184" s="5">
        <v>9999</v>
      </c>
      <c r="G184" s="5">
        <v>1.2999999999999999E-2</v>
      </c>
      <c r="H184" s="5">
        <v>20</v>
      </c>
      <c r="I184" s="5">
        <v>89.6</v>
      </c>
      <c r="J184" s="5">
        <v>8.44</v>
      </c>
      <c r="K184" s="5">
        <v>0</v>
      </c>
      <c r="L184" s="5">
        <v>4.0999999999999996</v>
      </c>
      <c r="M184" s="5">
        <v>898031.04</v>
      </c>
      <c r="N184" s="5">
        <v>138666.5</v>
      </c>
    </row>
    <row r="185" spans="1:14" ht="15" customHeight="1">
      <c r="A185" s="5" t="s">
        <v>67</v>
      </c>
      <c r="B185" s="6">
        <v>45658</v>
      </c>
      <c r="C185" s="5" t="s">
        <v>27</v>
      </c>
      <c r="D185" s="5" t="s">
        <v>16</v>
      </c>
      <c r="E185" s="5">
        <v>68491.11</v>
      </c>
      <c r="F185" s="5">
        <v>11154</v>
      </c>
      <c r="G185" s="5">
        <v>1E-3</v>
      </c>
      <c r="H185" s="5">
        <v>24</v>
      </c>
      <c r="I185" s="5">
        <v>89.4</v>
      </c>
      <c r="J185" s="5">
        <v>5.27</v>
      </c>
      <c r="K185" s="5">
        <v>1</v>
      </c>
      <c r="L185" s="5">
        <v>3.9</v>
      </c>
      <c r="M185" s="5">
        <v>855341.28</v>
      </c>
      <c r="N185" s="5">
        <v>175823.8</v>
      </c>
    </row>
    <row r="186" spans="1:14" ht="15" customHeight="1">
      <c r="A186" s="5" t="s">
        <v>67</v>
      </c>
      <c r="B186" s="6">
        <v>45689</v>
      </c>
      <c r="C186" s="5" t="s">
        <v>27</v>
      </c>
      <c r="D186" s="5" t="s">
        <v>16</v>
      </c>
      <c r="E186" s="5">
        <v>45209.25</v>
      </c>
      <c r="F186" s="5">
        <v>9287</v>
      </c>
      <c r="G186" s="5">
        <v>0.14099999999999999</v>
      </c>
      <c r="H186" s="5">
        <v>22</v>
      </c>
      <c r="I186" s="5">
        <v>86.4</v>
      </c>
      <c r="J186" s="5">
        <v>13.22</v>
      </c>
      <c r="K186" s="5">
        <v>0</v>
      </c>
      <c r="L186" s="5">
        <v>3.6</v>
      </c>
      <c r="M186" s="5">
        <v>751393.88</v>
      </c>
      <c r="N186" s="5">
        <v>91480.320000000007</v>
      </c>
    </row>
    <row r="187" spans="1:14" ht="15" customHeight="1">
      <c r="A187" s="5" t="s">
        <v>67</v>
      </c>
      <c r="B187" s="6">
        <v>45717</v>
      </c>
      <c r="C187" s="5" t="s">
        <v>27</v>
      </c>
      <c r="D187" s="5" t="s">
        <v>16</v>
      </c>
      <c r="E187" s="5">
        <v>63010.23</v>
      </c>
      <c r="F187" s="5">
        <v>9812</v>
      </c>
      <c r="G187" s="5">
        <v>0.113</v>
      </c>
      <c r="H187" s="5">
        <v>24</v>
      </c>
      <c r="I187" s="5">
        <v>76.8</v>
      </c>
      <c r="J187" s="5">
        <v>1.02</v>
      </c>
      <c r="K187" s="5">
        <v>1</v>
      </c>
      <c r="L187" s="5">
        <v>3.8</v>
      </c>
      <c r="M187" s="5">
        <v>761077.08</v>
      </c>
      <c r="N187" s="5">
        <v>113605.93</v>
      </c>
    </row>
    <row r="188" spans="1:14" ht="15" customHeight="1">
      <c r="A188" s="5" t="s">
        <v>67</v>
      </c>
      <c r="B188" s="6">
        <v>45748</v>
      </c>
      <c r="C188" s="5" t="s">
        <v>27</v>
      </c>
      <c r="D188" s="5" t="s">
        <v>16</v>
      </c>
      <c r="E188" s="5">
        <v>57948.88</v>
      </c>
      <c r="F188" s="5">
        <v>10741</v>
      </c>
      <c r="G188" s="5">
        <v>7.0000000000000007E-2</v>
      </c>
      <c r="H188" s="5">
        <v>25</v>
      </c>
      <c r="I188" s="5">
        <v>90.1</v>
      </c>
      <c r="J188" s="5">
        <v>4.03</v>
      </c>
      <c r="K188" s="5">
        <v>0</v>
      </c>
      <c r="L188" s="5">
        <v>3.1</v>
      </c>
      <c r="M188" s="5">
        <v>819660.59</v>
      </c>
      <c r="N188" s="5">
        <v>172699.95</v>
      </c>
    </row>
    <row r="189" spans="1:14" ht="15" customHeight="1">
      <c r="A189" s="5" t="s">
        <v>68</v>
      </c>
      <c r="B189" s="6">
        <v>45658</v>
      </c>
      <c r="C189" s="5" t="s">
        <v>20</v>
      </c>
      <c r="D189" s="5" t="s">
        <v>18</v>
      </c>
      <c r="E189" s="5">
        <v>71941.62</v>
      </c>
      <c r="F189" s="5">
        <v>6084</v>
      </c>
      <c r="G189" s="5">
        <v>7.1999999999999995E-2</v>
      </c>
      <c r="H189" s="5">
        <v>13</v>
      </c>
      <c r="I189" s="5">
        <v>93.7</v>
      </c>
      <c r="J189" s="5">
        <v>2.34</v>
      </c>
      <c r="K189" s="5">
        <v>0</v>
      </c>
      <c r="L189" s="5">
        <v>4.4000000000000004</v>
      </c>
      <c r="M189" s="5">
        <v>681855.56</v>
      </c>
      <c r="N189" s="5">
        <v>117645.61</v>
      </c>
    </row>
    <row r="190" spans="1:14" ht="15" customHeight="1">
      <c r="A190" s="5" t="s">
        <v>68</v>
      </c>
      <c r="B190" s="6">
        <v>45689</v>
      </c>
      <c r="C190" s="5" t="s">
        <v>20</v>
      </c>
      <c r="D190" s="5" t="s">
        <v>18</v>
      </c>
      <c r="E190" s="5">
        <v>57147.88</v>
      </c>
      <c r="F190" s="5">
        <v>5252</v>
      </c>
      <c r="G190" s="5">
        <v>0.161</v>
      </c>
      <c r="H190" s="5">
        <v>15</v>
      </c>
      <c r="I190" s="5">
        <v>95.5</v>
      </c>
      <c r="J190" s="5">
        <v>8.51</v>
      </c>
      <c r="K190" s="5">
        <v>0</v>
      </c>
      <c r="L190" s="5">
        <v>4.4000000000000004</v>
      </c>
      <c r="M190" s="5">
        <v>678311.17</v>
      </c>
      <c r="N190" s="5">
        <v>132029.76000000001</v>
      </c>
    </row>
    <row r="191" spans="1:14" ht="15" customHeight="1">
      <c r="A191" s="5" t="s">
        <v>68</v>
      </c>
      <c r="B191" s="6">
        <v>45717</v>
      </c>
      <c r="C191" s="5" t="s">
        <v>20</v>
      </c>
      <c r="D191" s="5" t="s">
        <v>18</v>
      </c>
      <c r="E191" s="5">
        <v>48031.74</v>
      </c>
      <c r="F191" s="5">
        <v>6516</v>
      </c>
      <c r="G191" s="5">
        <v>6.7000000000000004E-2</v>
      </c>
      <c r="H191" s="5">
        <v>14</v>
      </c>
      <c r="I191" s="5">
        <v>99</v>
      </c>
      <c r="J191" s="5">
        <v>0.48</v>
      </c>
      <c r="K191" s="5">
        <v>1</v>
      </c>
      <c r="L191" s="5">
        <v>4.3</v>
      </c>
      <c r="M191" s="5">
        <v>765906.95</v>
      </c>
      <c r="N191" s="5">
        <v>114005.9</v>
      </c>
    </row>
    <row r="192" spans="1:14" ht="15" customHeight="1">
      <c r="A192" s="5" t="s">
        <v>68</v>
      </c>
      <c r="B192" s="6">
        <v>45748</v>
      </c>
      <c r="C192" s="5" t="s">
        <v>20</v>
      </c>
      <c r="D192" s="5" t="s">
        <v>18</v>
      </c>
      <c r="E192" s="5">
        <v>72784.800000000003</v>
      </c>
      <c r="F192" s="5">
        <v>7932</v>
      </c>
      <c r="G192" s="5">
        <v>9.4E-2</v>
      </c>
      <c r="H192" s="5">
        <v>20</v>
      </c>
      <c r="I192" s="5">
        <v>74.900000000000006</v>
      </c>
      <c r="J192" s="5">
        <v>13.62</v>
      </c>
      <c r="K192" s="5">
        <v>0</v>
      </c>
      <c r="L192" s="5">
        <v>4.2</v>
      </c>
      <c r="M192" s="5">
        <v>712546.38</v>
      </c>
      <c r="N192" s="5">
        <v>101480.04</v>
      </c>
    </row>
    <row r="193" spans="1:14" ht="15" customHeight="1">
      <c r="A193" s="5" t="s">
        <v>69</v>
      </c>
      <c r="B193" s="6">
        <v>45658</v>
      </c>
      <c r="C193" s="5" t="s">
        <v>15</v>
      </c>
      <c r="D193" s="5" t="s">
        <v>18</v>
      </c>
      <c r="E193" s="5">
        <v>71641.899999999994</v>
      </c>
      <c r="F193" s="5">
        <v>3506</v>
      </c>
      <c r="G193" s="5">
        <v>0</v>
      </c>
      <c r="H193" s="5">
        <v>11</v>
      </c>
      <c r="I193" s="5">
        <v>86.4</v>
      </c>
      <c r="J193" s="5">
        <v>7.77</v>
      </c>
      <c r="K193" s="5">
        <v>0</v>
      </c>
      <c r="L193" s="5">
        <v>4.0999999999999996</v>
      </c>
      <c r="M193" s="5">
        <v>625993.82999999996</v>
      </c>
      <c r="N193" s="5">
        <v>98960.320000000007</v>
      </c>
    </row>
    <row r="194" spans="1:14" ht="15" customHeight="1">
      <c r="A194" s="5" t="s">
        <v>69</v>
      </c>
      <c r="B194" s="6">
        <v>45689</v>
      </c>
      <c r="C194" s="5" t="s">
        <v>15</v>
      </c>
      <c r="D194" s="5" t="s">
        <v>18</v>
      </c>
      <c r="E194" s="5">
        <v>55788.61</v>
      </c>
      <c r="F194" s="5">
        <v>2312</v>
      </c>
      <c r="G194" s="5">
        <v>5.8000000000000003E-2</v>
      </c>
      <c r="H194" s="5">
        <v>10</v>
      </c>
      <c r="I194" s="5">
        <v>91.3</v>
      </c>
      <c r="J194" s="5">
        <v>1.99</v>
      </c>
      <c r="K194" s="5">
        <v>0</v>
      </c>
      <c r="L194" s="5">
        <v>3.8</v>
      </c>
      <c r="M194" s="5">
        <v>550962.93000000005</v>
      </c>
      <c r="N194" s="5">
        <v>97144.58</v>
      </c>
    </row>
    <row r="195" spans="1:14" ht="15" customHeight="1">
      <c r="A195" s="5" t="s">
        <v>69</v>
      </c>
      <c r="B195" s="6">
        <v>45717</v>
      </c>
      <c r="C195" s="5" t="s">
        <v>15</v>
      </c>
      <c r="D195" s="5" t="s">
        <v>18</v>
      </c>
      <c r="E195" s="5">
        <v>37705.879999999997</v>
      </c>
      <c r="F195" s="5">
        <v>1268</v>
      </c>
      <c r="G195" s="5">
        <v>0.25900000000000001</v>
      </c>
      <c r="H195" s="5">
        <v>9</v>
      </c>
      <c r="I195" s="5">
        <v>84.1</v>
      </c>
      <c r="J195" s="5">
        <v>4.7699999999999996</v>
      </c>
      <c r="K195" s="5">
        <v>0</v>
      </c>
      <c r="L195" s="5">
        <v>3.8</v>
      </c>
      <c r="M195" s="5">
        <v>443275.59</v>
      </c>
      <c r="N195" s="5">
        <v>53544.36</v>
      </c>
    </row>
    <row r="196" spans="1:14" ht="15" customHeight="1">
      <c r="A196" s="5" t="s">
        <v>69</v>
      </c>
      <c r="B196" s="6">
        <v>45748</v>
      </c>
      <c r="C196" s="5" t="s">
        <v>15</v>
      </c>
      <c r="D196" s="5" t="s">
        <v>18</v>
      </c>
      <c r="E196" s="5">
        <v>54966.18</v>
      </c>
      <c r="F196" s="5">
        <v>4423</v>
      </c>
      <c r="G196" s="5">
        <v>0.186</v>
      </c>
      <c r="H196" s="5">
        <v>13</v>
      </c>
      <c r="I196" s="5">
        <v>88.7</v>
      </c>
      <c r="J196" s="5">
        <v>0.2</v>
      </c>
      <c r="K196" s="5">
        <v>0</v>
      </c>
      <c r="L196" s="5">
        <v>4.4000000000000004</v>
      </c>
      <c r="M196" s="5">
        <v>554012.06999999995</v>
      </c>
      <c r="N196" s="5">
        <v>81101.62</v>
      </c>
    </row>
    <row r="197" spans="1:14" ht="15" customHeight="1">
      <c r="A197" s="5" t="s">
        <v>70</v>
      </c>
      <c r="B197" s="6">
        <v>45658</v>
      </c>
      <c r="C197" s="5" t="s">
        <v>27</v>
      </c>
      <c r="D197" s="5" t="s">
        <v>16</v>
      </c>
      <c r="E197" s="5">
        <v>81796.740000000005</v>
      </c>
      <c r="F197" s="5">
        <v>6177</v>
      </c>
      <c r="G197" s="5">
        <v>0.16400000000000001</v>
      </c>
      <c r="H197" s="5">
        <v>14</v>
      </c>
      <c r="I197" s="5">
        <v>87.9</v>
      </c>
      <c r="J197" s="5">
        <v>0.53</v>
      </c>
      <c r="K197" s="5">
        <v>0</v>
      </c>
      <c r="L197" s="5">
        <v>3.2</v>
      </c>
      <c r="M197" s="5">
        <v>643428.85</v>
      </c>
      <c r="N197" s="5">
        <v>94477.63</v>
      </c>
    </row>
    <row r="198" spans="1:14" ht="15" customHeight="1">
      <c r="A198" s="5" t="s">
        <v>70</v>
      </c>
      <c r="B198" s="6">
        <v>45689</v>
      </c>
      <c r="C198" s="5" t="s">
        <v>27</v>
      </c>
      <c r="D198" s="5" t="s">
        <v>16</v>
      </c>
      <c r="E198" s="5">
        <v>51133.43</v>
      </c>
      <c r="F198" s="5">
        <v>5150</v>
      </c>
      <c r="G198" s="5">
        <v>0.15</v>
      </c>
      <c r="H198" s="5">
        <v>12</v>
      </c>
      <c r="I198" s="5">
        <v>88.5</v>
      </c>
      <c r="J198" s="5">
        <v>1.54</v>
      </c>
      <c r="K198" s="5">
        <v>0</v>
      </c>
      <c r="L198" s="5">
        <v>3.2</v>
      </c>
      <c r="M198" s="5">
        <v>611924.27</v>
      </c>
      <c r="N198" s="5">
        <v>115488.75</v>
      </c>
    </row>
    <row r="199" spans="1:14" ht="15" customHeight="1">
      <c r="A199" s="5" t="s">
        <v>70</v>
      </c>
      <c r="B199" s="6">
        <v>45717</v>
      </c>
      <c r="C199" s="5" t="s">
        <v>27</v>
      </c>
      <c r="D199" s="5" t="s">
        <v>16</v>
      </c>
      <c r="E199" s="5">
        <v>40220.18</v>
      </c>
      <c r="F199" s="5">
        <v>3783</v>
      </c>
      <c r="G199" s="5">
        <v>8.8999999999999996E-2</v>
      </c>
      <c r="H199" s="5">
        <v>14</v>
      </c>
      <c r="I199" s="5">
        <v>86.6</v>
      </c>
      <c r="J199" s="5">
        <v>3.63</v>
      </c>
      <c r="K199" s="5">
        <v>0</v>
      </c>
      <c r="L199" s="5">
        <v>3.7</v>
      </c>
      <c r="M199" s="5">
        <v>559422.02</v>
      </c>
      <c r="N199" s="5">
        <v>73528.740000000005</v>
      </c>
    </row>
    <row r="200" spans="1:14" ht="15" customHeight="1">
      <c r="A200" s="5" t="s">
        <v>70</v>
      </c>
      <c r="B200" s="6">
        <v>45748</v>
      </c>
      <c r="C200" s="5" t="s">
        <v>27</v>
      </c>
      <c r="D200" s="5" t="s">
        <v>16</v>
      </c>
      <c r="E200" s="5">
        <v>41657.64</v>
      </c>
      <c r="F200" s="5">
        <v>3135</v>
      </c>
      <c r="G200" s="5">
        <v>0.22900000000000001</v>
      </c>
      <c r="H200" s="5">
        <v>7</v>
      </c>
      <c r="I200" s="5">
        <v>85.4</v>
      </c>
      <c r="J200" s="5">
        <v>13.48</v>
      </c>
      <c r="K200" s="5">
        <v>0</v>
      </c>
      <c r="L200" s="5"/>
      <c r="M200" s="5">
        <v>449465.06</v>
      </c>
      <c r="N200" s="5">
        <v>65694.78</v>
      </c>
    </row>
    <row r="201" spans="1:14" ht="15" customHeight="1">
      <c r="A201" s="5" t="s">
        <v>71</v>
      </c>
      <c r="B201" s="6">
        <v>45658</v>
      </c>
      <c r="C201" s="5" t="s">
        <v>20</v>
      </c>
      <c r="D201" s="5" t="s">
        <v>16</v>
      </c>
      <c r="E201" s="5">
        <v>71851.45</v>
      </c>
      <c r="F201" s="5">
        <v>4970</v>
      </c>
      <c r="G201" s="5">
        <v>9.8000000000000004E-2</v>
      </c>
      <c r="H201" s="5">
        <v>11</v>
      </c>
      <c r="I201" s="5">
        <v>89.6</v>
      </c>
      <c r="J201" s="5">
        <v>0.2</v>
      </c>
      <c r="K201" s="5">
        <v>0</v>
      </c>
      <c r="L201" s="5">
        <v>4.2</v>
      </c>
      <c r="M201" s="5">
        <v>691447.43</v>
      </c>
      <c r="N201" s="5">
        <v>114077.69</v>
      </c>
    </row>
    <row r="202" spans="1:14" ht="15" customHeight="1">
      <c r="A202" s="5" t="s">
        <v>71</v>
      </c>
      <c r="B202" s="6">
        <v>45689</v>
      </c>
      <c r="C202" s="5" t="s">
        <v>20</v>
      </c>
      <c r="D202" s="5" t="s">
        <v>16</v>
      </c>
      <c r="E202" s="5">
        <v>54002.83</v>
      </c>
      <c r="F202" s="5">
        <v>4366</v>
      </c>
      <c r="G202" s="5">
        <v>2.7E-2</v>
      </c>
      <c r="H202" s="5">
        <v>15</v>
      </c>
      <c r="I202" s="5">
        <v>90.6</v>
      </c>
      <c r="J202" s="5">
        <v>12.82</v>
      </c>
      <c r="K202" s="5">
        <v>0</v>
      </c>
      <c r="L202" s="5">
        <v>4.5999999999999996</v>
      </c>
      <c r="M202" s="5">
        <v>574066.61</v>
      </c>
      <c r="N202" s="5">
        <v>124674.67</v>
      </c>
    </row>
    <row r="203" spans="1:14" ht="15" customHeight="1">
      <c r="A203" s="5" t="s">
        <v>71</v>
      </c>
      <c r="B203" s="6">
        <v>45717</v>
      </c>
      <c r="C203" s="5" t="s">
        <v>20</v>
      </c>
      <c r="D203" s="5" t="s">
        <v>16</v>
      </c>
      <c r="E203" s="5">
        <v>54479.33</v>
      </c>
      <c r="F203" s="5">
        <v>5012</v>
      </c>
      <c r="G203" s="5">
        <v>0.28399999999999997</v>
      </c>
      <c r="H203" s="5">
        <v>13</v>
      </c>
      <c r="I203" s="5">
        <v>86</v>
      </c>
      <c r="J203" s="5">
        <v>2.2400000000000002</v>
      </c>
      <c r="K203" s="5">
        <v>1</v>
      </c>
      <c r="L203" s="5">
        <v>4.3</v>
      </c>
      <c r="M203" s="5">
        <v>578949.84</v>
      </c>
      <c r="N203" s="5">
        <v>80253.649999999994</v>
      </c>
    </row>
    <row r="204" spans="1:14" ht="15" customHeight="1">
      <c r="A204" s="5" t="s">
        <v>71</v>
      </c>
      <c r="B204" s="6">
        <v>45748</v>
      </c>
      <c r="C204" s="5" t="s">
        <v>20</v>
      </c>
      <c r="D204" s="5" t="s">
        <v>16</v>
      </c>
      <c r="E204" s="5">
        <v>61391.8</v>
      </c>
      <c r="F204" s="5">
        <v>5575</v>
      </c>
      <c r="G204" s="5">
        <v>0.189</v>
      </c>
      <c r="H204" s="5">
        <v>18</v>
      </c>
      <c r="I204" s="5">
        <v>90</v>
      </c>
      <c r="J204" s="5">
        <v>1.8</v>
      </c>
      <c r="K204" s="5">
        <v>0</v>
      </c>
      <c r="L204" s="5">
        <v>4.8</v>
      </c>
      <c r="M204" s="5">
        <v>735786.64</v>
      </c>
      <c r="N204" s="5">
        <v>126540.66</v>
      </c>
    </row>
    <row r="205" spans="1:14" ht="15" customHeight="1">
      <c r="A205" s="5" t="s">
        <v>72</v>
      </c>
      <c r="B205" s="6">
        <v>45658</v>
      </c>
      <c r="C205" s="5" t="s">
        <v>15</v>
      </c>
      <c r="D205" s="5" t="s">
        <v>21</v>
      </c>
      <c r="E205" s="5">
        <v>22312.93</v>
      </c>
      <c r="F205" s="5">
        <v>5955</v>
      </c>
      <c r="G205" s="5">
        <v>0.123</v>
      </c>
      <c r="H205" s="5">
        <v>13</v>
      </c>
      <c r="I205" s="5">
        <v>84.2</v>
      </c>
      <c r="J205" s="5">
        <v>0.41</v>
      </c>
      <c r="K205" s="5">
        <v>1</v>
      </c>
      <c r="L205" s="5">
        <v>4.5999999999999996</v>
      </c>
      <c r="M205" s="5">
        <v>598904.9</v>
      </c>
      <c r="N205" s="5">
        <v>72861</v>
      </c>
    </row>
    <row r="206" spans="1:14" ht="15" customHeight="1">
      <c r="A206" s="5" t="s">
        <v>72</v>
      </c>
      <c r="B206" s="6">
        <v>45689</v>
      </c>
      <c r="C206" s="5" t="s">
        <v>15</v>
      </c>
      <c r="D206" s="5" t="s">
        <v>21</v>
      </c>
      <c r="E206" s="5">
        <v>78111.97</v>
      </c>
      <c r="F206" s="5">
        <v>6389</v>
      </c>
      <c r="G206" s="5">
        <v>0.15</v>
      </c>
      <c r="H206" s="5">
        <v>13</v>
      </c>
      <c r="I206" s="5">
        <v>83.9</v>
      </c>
      <c r="J206" s="5">
        <v>3.05</v>
      </c>
      <c r="K206" s="5">
        <v>0</v>
      </c>
      <c r="L206" s="5">
        <v>4.8</v>
      </c>
      <c r="M206" s="5">
        <v>787715.51</v>
      </c>
      <c r="N206" s="5">
        <v>128969.62</v>
      </c>
    </row>
    <row r="207" spans="1:14" ht="15" customHeight="1">
      <c r="A207" s="5" t="s">
        <v>72</v>
      </c>
      <c r="B207" s="6">
        <v>45717</v>
      </c>
      <c r="C207" s="5" t="s">
        <v>15</v>
      </c>
      <c r="D207" s="5" t="s">
        <v>21</v>
      </c>
      <c r="E207" s="5">
        <v>35203.230000000003</v>
      </c>
      <c r="F207" s="5">
        <v>6896</v>
      </c>
      <c r="G207" s="5">
        <v>3.2000000000000001E-2</v>
      </c>
      <c r="H207" s="5">
        <v>14</v>
      </c>
      <c r="I207" s="5">
        <v>80.8</v>
      </c>
      <c r="J207" s="5">
        <v>8.44</v>
      </c>
      <c r="K207" s="5">
        <v>1</v>
      </c>
      <c r="L207" s="5">
        <v>5</v>
      </c>
      <c r="M207" s="5">
        <v>607084.92000000004</v>
      </c>
      <c r="N207" s="5">
        <v>98558.49</v>
      </c>
    </row>
    <row r="208" spans="1:14" ht="15" customHeight="1">
      <c r="A208" s="5" t="s">
        <v>72</v>
      </c>
      <c r="B208" s="6">
        <v>45748</v>
      </c>
      <c r="C208" s="5" t="s">
        <v>15</v>
      </c>
      <c r="D208" s="5" t="s">
        <v>21</v>
      </c>
      <c r="E208" s="5">
        <v>64104.28</v>
      </c>
      <c r="F208" s="5">
        <v>6015</v>
      </c>
      <c r="G208" s="5">
        <v>0.127</v>
      </c>
      <c r="H208" s="5">
        <v>15</v>
      </c>
      <c r="I208" s="5">
        <v>88.7</v>
      </c>
      <c r="J208" s="5">
        <v>0.78</v>
      </c>
      <c r="K208" s="5">
        <v>0</v>
      </c>
      <c r="L208" s="5">
        <v>4</v>
      </c>
      <c r="M208" s="5">
        <v>650795.49</v>
      </c>
      <c r="N208" s="5">
        <v>103035.89</v>
      </c>
    </row>
    <row r="209" spans="1:14" ht="15" customHeight="1">
      <c r="A209" s="5" t="s">
        <v>73</v>
      </c>
      <c r="B209" s="6">
        <v>45658</v>
      </c>
      <c r="C209" s="5" t="s">
        <v>15</v>
      </c>
      <c r="D209" s="5" t="s">
        <v>28</v>
      </c>
      <c r="E209" s="5">
        <v>92090.14</v>
      </c>
      <c r="F209" s="5">
        <v>9476</v>
      </c>
      <c r="G209" s="5">
        <v>7.0000000000000007E-2</v>
      </c>
      <c r="H209" s="5">
        <v>24</v>
      </c>
      <c r="I209" s="5">
        <v>94.3</v>
      </c>
      <c r="J209" s="5">
        <v>0.87</v>
      </c>
      <c r="K209" s="5">
        <v>0</v>
      </c>
      <c r="L209" s="5">
        <v>3.7</v>
      </c>
      <c r="M209" s="5">
        <v>825060.52</v>
      </c>
      <c r="N209" s="5">
        <v>143613.15</v>
      </c>
    </row>
    <row r="210" spans="1:14" ht="15" customHeight="1">
      <c r="A210" s="5" t="s">
        <v>73</v>
      </c>
      <c r="B210" s="6">
        <v>45689</v>
      </c>
      <c r="C210" s="5" t="s">
        <v>15</v>
      </c>
      <c r="D210" s="5" t="s">
        <v>28</v>
      </c>
      <c r="E210" s="5">
        <v>54300.87</v>
      </c>
      <c r="F210" s="5">
        <v>7875</v>
      </c>
      <c r="G210" s="5">
        <v>0.107</v>
      </c>
      <c r="H210" s="5">
        <v>19</v>
      </c>
      <c r="I210" s="5">
        <v>94.1</v>
      </c>
      <c r="J210" s="5">
        <v>0.95</v>
      </c>
      <c r="K210" s="5">
        <v>0</v>
      </c>
      <c r="L210" s="5">
        <v>3.7</v>
      </c>
      <c r="M210" s="5">
        <v>795464.47</v>
      </c>
      <c r="N210" s="5">
        <v>161150.51999999999</v>
      </c>
    </row>
    <row r="211" spans="1:14" ht="15" customHeight="1">
      <c r="A211" s="5" t="s">
        <v>73</v>
      </c>
      <c r="B211" s="6">
        <v>45717</v>
      </c>
      <c r="C211" s="5" t="s">
        <v>15</v>
      </c>
      <c r="D211" s="5" t="s">
        <v>28</v>
      </c>
      <c r="E211" s="5">
        <v>37983.35</v>
      </c>
      <c r="F211" s="5">
        <v>9283</v>
      </c>
      <c r="G211" s="5">
        <v>0.14899999999999999</v>
      </c>
      <c r="H211" s="5">
        <v>19</v>
      </c>
      <c r="I211" s="5">
        <v>83.2</v>
      </c>
      <c r="J211" s="5">
        <v>3.82</v>
      </c>
      <c r="K211" s="5">
        <v>0</v>
      </c>
      <c r="L211" s="5">
        <v>3.7</v>
      </c>
      <c r="M211" s="5">
        <v>671868.59</v>
      </c>
      <c r="N211" s="5">
        <v>71003.28</v>
      </c>
    </row>
    <row r="212" spans="1:14" ht="15" customHeight="1">
      <c r="A212" s="5" t="s">
        <v>73</v>
      </c>
      <c r="B212" s="6">
        <v>45748</v>
      </c>
      <c r="C212" s="5" t="s">
        <v>15</v>
      </c>
      <c r="D212" s="5" t="s">
        <v>28</v>
      </c>
      <c r="E212" s="5">
        <v>56413.83</v>
      </c>
      <c r="F212" s="5">
        <v>8303</v>
      </c>
      <c r="G212" s="5">
        <v>0.11600000000000001</v>
      </c>
      <c r="H212" s="5">
        <v>18</v>
      </c>
      <c r="I212" s="5">
        <v>93.6</v>
      </c>
      <c r="J212" s="5">
        <v>2.7</v>
      </c>
      <c r="K212" s="5">
        <v>0</v>
      </c>
      <c r="L212" s="5">
        <v>3.7</v>
      </c>
      <c r="M212" s="5">
        <v>675917.63</v>
      </c>
      <c r="N212" s="5">
        <v>112564.75</v>
      </c>
    </row>
    <row r="213" spans="1:14" ht="15" customHeight="1">
      <c r="A213" s="5" t="s">
        <v>74</v>
      </c>
      <c r="B213" s="6">
        <v>45658</v>
      </c>
      <c r="C213" s="5" t="s">
        <v>15</v>
      </c>
      <c r="D213" s="5" t="s">
        <v>18</v>
      </c>
      <c r="E213" s="5">
        <v>63457.19</v>
      </c>
      <c r="F213" s="5">
        <v>10125</v>
      </c>
      <c r="G213" s="5">
        <v>9.7000000000000003E-2</v>
      </c>
      <c r="H213" s="5">
        <v>24</v>
      </c>
      <c r="I213" s="5">
        <v>87</v>
      </c>
      <c r="J213" s="5">
        <v>3.84</v>
      </c>
      <c r="K213" s="5">
        <v>1</v>
      </c>
      <c r="L213" s="5">
        <v>3.7</v>
      </c>
      <c r="M213" s="5">
        <v>810446.53</v>
      </c>
      <c r="N213" s="5">
        <v>200575.34</v>
      </c>
    </row>
    <row r="214" spans="1:14" ht="15" customHeight="1">
      <c r="A214" s="5" t="s">
        <v>74</v>
      </c>
      <c r="B214" s="6">
        <v>45689</v>
      </c>
      <c r="C214" s="5" t="s">
        <v>15</v>
      </c>
      <c r="D214" s="5" t="s">
        <v>18</v>
      </c>
      <c r="E214" s="5">
        <v>62949.7</v>
      </c>
      <c r="F214" s="5">
        <v>9458</v>
      </c>
      <c r="G214" s="5">
        <v>0.17100000000000001</v>
      </c>
      <c r="H214" s="5">
        <v>19</v>
      </c>
      <c r="I214" s="5">
        <v>84.9</v>
      </c>
      <c r="J214" s="5">
        <v>5.09</v>
      </c>
      <c r="K214" s="5">
        <v>0</v>
      </c>
      <c r="L214" s="5">
        <v>3.3</v>
      </c>
      <c r="M214" s="5">
        <v>691288.19</v>
      </c>
      <c r="N214" s="5">
        <v>159074.14000000001</v>
      </c>
    </row>
    <row r="215" spans="1:14" ht="15" customHeight="1">
      <c r="A215" s="5" t="s">
        <v>74</v>
      </c>
      <c r="B215" s="6">
        <v>45717</v>
      </c>
      <c r="C215" s="5" t="s">
        <v>15</v>
      </c>
      <c r="D215" s="5" t="s">
        <v>18</v>
      </c>
      <c r="E215" s="5">
        <v>107970.19</v>
      </c>
      <c r="F215" s="5">
        <v>12870</v>
      </c>
      <c r="G215" s="5">
        <v>2.9000000000000001E-2</v>
      </c>
      <c r="H215" s="5">
        <v>31</v>
      </c>
      <c r="I215" s="5">
        <v>91.7</v>
      </c>
      <c r="J215" s="5">
        <v>3.82</v>
      </c>
      <c r="K215" s="5">
        <v>1</v>
      </c>
      <c r="L215" s="5">
        <v>3.7</v>
      </c>
      <c r="M215" s="5">
        <v>946833.54</v>
      </c>
      <c r="N215" s="5">
        <v>184540.31</v>
      </c>
    </row>
    <row r="216" spans="1:14" ht="15" customHeight="1">
      <c r="A216" s="5" t="s">
        <v>74</v>
      </c>
      <c r="B216" s="6">
        <v>45748</v>
      </c>
      <c r="C216" s="5" t="s">
        <v>15</v>
      </c>
      <c r="D216" s="5" t="s">
        <v>18</v>
      </c>
      <c r="E216" s="5">
        <v>49405.75</v>
      </c>
      <c r="F216" s="5">
        <v>9752</v>
      </c>
      <c r="G216" s="5">
        <v>9.2999999999999999E-2</v>
      </c>
      <c r="H216" s="5">
        <v>21</v>
      </c>
      <c r="I216" s="5">
        <v>87</v>
      </c>
      <c r="J216" s="5">
        <v>12.28</v>
      </c>
      <c r="K216" s="5">
        <v>0</v>
      </c>
      <c r="L216" s="5">
        <v>4.0999999999999996</v>
      </c>
      <c r="M216" s="5">
        <v>761963.23</v>
      </c>
      <c r="N216" s="5">
        <v>150113.60999999999</v>
      </c>
    </row>
    <row r="217" spans="1:14" ht="15" customHeight="1">
      <c r="A217" s="5" t="s">
        <v>75</v>
      </c>
      <c r="B217" s="6">
        <v>45658</v>
      </c>
      <c r="C217" s="5" t="s">
        <v>27</v>
      </c>
      <c r="D217" s="5" t="s">
        <v>16</v>
      </c>
      <c r="E217" s="5">
        <v>50887.46</v>
      </c>
      <c r="F217" s="5">
        <v>9505</v>
      </c>
      <c r="G217" s="5">
        <v>9.0999999999999998E-2</v>
      </c>
      <c r="H217" s="5">
        <v>25</v>
      </c>
      <c r="I217" s="5">
        <v>89.7</v>
      </c>
      <c r="J217" s="5">
        <v>2.8</v>
      </c>
      <c r="K217" s="5">
        <v>0</v>
      </c>
      <c r="L217" s="5">
        <v>4.3</v>
      </c>
      <c r="M217" s="5">
        <v>812152.6</v>
      </c>
      <c r="N217" s="5">
        <v>138419.43</v>
      </c>
    </row>
    <row r="218" spans="1:14" ht="15" customHeight="1">
      <c r="A218" s="5" t="s">
        <v>75</v>
      </c>
      <c r="B218" s="6">
        <v>45689</v>
      </c>
      <c r="C218" s="5" t="s">
        <v>27</v>
      </c>
      <c r="D218" s="5" t="s">
        <v>16</v>
      </c>
      <c r="E218" s="5">
        <v>41819.449999999997</v>
      </c>
      <c r="F218" s="5">
        <v>9412</v>
      </c>
      <c r="G218" s="5">
        <v>0.15</v>
      </c>
      <c r="H218" s="5">
        <v>22</v>
      </c>
      <c r="I218" s="5">
        <v>91</v>
      </c>
      <c r="J218" s="5">
        <v>3.67</v>
      </c>
      <c r="K218" s="5">
        <v>0</v>
      </c>
      <c r="L218" s="5">
        <v>4.2</v>
      </c>
      <c r="M218" s="5">
        <v>804975.5</v>
      </c>
      <c r="N218" s="5">
        <v>140054.5</v>
      </c>
    </row>
    <row r="219" spans="1:14" ht="15" customHeight="1">
      <c r="A219" s="5" t="s">
        <v>75</v>
      </c>
      <c r="B219" s="6">
        <v>45717</v>
      </c>
      <c r="C219" s="5" t="s">
        <v>27</v>
      </c>
      <c r="D219" s="5" t="s">
        <v>16</v>
      </c>
      <c r="E219" s="5">
        <v>35296.54</v>
      </c>
      <c r="F219" s="5">
        <v>9644</v>
      </c>
      <c r="G219" s="5">
        <v>0</v>
      </c>
      <c r="H219" s="5">
        <v>22</v>
      </c>
      <c r="I219" s="5">
        <v>88</v>
      </c>
      <c r="J219" s="5">
        <v>2.81</v>
      </c>
      <c r="K219" s="5">
        <v>0</v>
      </c>
      <c r="L219" s="5">
        <v>4.7</v>
      </c>
      <c r="M219" s="5">
        <v>752321.72</v>
      </c>
      <c r="N219" s="5">
        <v>137788.51</v>
      </c>
    </row>
    <row r="220" spans="1:14" ht="15" customHeight="1">
      <c r="A220" s="5" t="s">
        <v>75</v>
      </c>
      <c r="B220" s="6">
        <v>45748</v>
      </c>
      <c r="C220" s="5" t="s">
        <v>27</v>
      </c>
      <c r="D220" s="5" t="s">
        <v>16</v>
      </c>
      <c r="E220" s="5">
        <v>47391.09</v>
      </c>
      <c r="F220" s="5">
        <v>11224</v>
      </c>
      <c r="G220" s="5">
        <v>0.14699999999999999</v>
      </c>
      <c r="H220" s="5">
        <v>25</v>
      </c>
      <c r="I220" s="5">
        <v>88.4</v>
      </c>
      <c r="J220" s="5">
        <v>2.44</v>
      </c>
      <c r="K220" s="5">
        <v>0</v>
      </c>
      <c r="L220" s="5">
        <v>4.9000000000000004</v>
      </c>
      <c r="M220" s="5">
        <v>836908.24</v>
      </c>
      <c r="N220" s="5">
        <v>141090.26</v>
      </c>
    </row>
    <row r="221" spans="1:14" ht="15" customHeight="1">
      <c r="A221" s="5" t="s">
        <v>76</v>
      </c>
      <c r="B221" s="6">
        <v>45658</v>
      </c>
      <c r="C221" s="5" t="s">
        <v>20</v>
      </c>
      <c r="D221" s="5" t="s">
        <v>21</v>
      </c>
      <c r="E221" s="5">
        <v>69180.539999999994</v>
      </c>
      <c r="F221" s="5">
        <v>5394</v>
      </c>
      <c r="G221" s="5">
        <v>0.126</v>
      </c>
      <c r="H221" s="5">
        <v>12</v>
      </c>
      <c r="I221" s="5">
        <v>82.9</v>
      </c>
      <c r="J221" s="5">
        <v>3.27</v>
      </c>
      <c r="K221" s="5">
        <v>0</v>
      </c>
      <c r="L221" s="5">
        <v>3.3</v>
      </c>
      <c r="M221" s="5">
        <v>674289.1</v>
      </c>
      <c r="N221" s="5">
        <v>117773.79</v>
      </c>
    </row>
    <row r="222" spans="1:14" ht="15" customHeight="1">
      <c r="A222" s="5" t="s">
        <v>76</v>
      </c>
      <c r="B222" s="6">
        <v>45689</v>
      </c>
      <c r="C222" s="5" t="s">
        <v>20</v>
      </c>
      <c r="D222" s="5" t="s">
        <v>21</v>
      </c>
      <c r="E222" s="5">
        <v>33987.33</v>
      </c>
      <c r="F222" s="5">
        <v>5014</v>
      </c>
      <c r="G222" s="5">
        <v>0.246</v>
      </c>
      <c r="H222" s="5">
        <v>17</v>
      </c>
      <c r="I222" s="5">
        <v>94.3</v>
      </c>
      <c r="J222" s="5">
        <v>10.34</v>
      </c>
      <c r="K222" s="5">
        <v>0</v>
      </c>
      <c r="L222" s="5">
        <v>3.9</v>
      </c>
      <c r="M222" s="5">
        <v>622892.42000000004</v>
      </c>
      <c r="N222" s="5">
        <v>101032.52</v>
      </c>
    </row>
    <row r="223" spans="1:14" ht="15" customHeight="1">
      <c r="A223" s="5" t="s">
        <v>76</v>
      </c>
      <c r="B223" s="6">
        <v>45717</v>
      </c>
      <c r="C223" s="5" t="s">
        <v>20</v>
      </c>
      <c r="D223" s="5" t="s">
        <v>21</v>
      </c>
      <c r="E223" s="5">
        <v>58785.33</v>
      </c>
      <c r="F223" s="5">
        <v>4467</v>
      </c>
      <c r="G223" s="5">
        <v>0.22900000000000001</v>
      </c>
      <c r="H223" s="5">
        <v>14</v>
      </c>
      <c r="I223" s="5">
        <v>90.7</v>
      </c>
      <c r="J223" s="5">
        <v>1.92</v>
      </c>
      <c r="K223" s="5">
        <v>0</v>
      </c>
      <c r="L223" s="5">
        <v>3.7</v>
      </c>
      <c r="M223" s="5">
        <v>673348.56</v>
      </c>
      <c r="N223" s="5">
        <v>69464.59</v>
      </c>
    </row>
    <row r="224" spans="1:14" ht="15" customHeight="1">
      <c r="A224" s="5" t="s">
        <v>76</v>
      </c>
      <c r="B224" s="6">
        <v>45748</v>
      </c>
      <c r="C224" s="5" t="s">
        <v>20</v>
      </c>
      <c r="D224" s="5" t="s">
        <v>21</v>
      </c>
      <c r="E224" s="5">
        <v>16451.849999999999</v>
      </c>
      <c r="F224" s="5">
        <v>4678</v>
      </c>
      <c r="G224" s="5">
        <v>0.13300000000000001</v>
      </c>
      <c r="H224" s="5">
        <v>11</v>
      </c>
      <c r="I224" s="5">
        <v>95.9</v>
      </c>
      <c r="J224" s="5">
        <v>3.1</v>
      </c>
      <c r="K224" s="5">
        <v>0</v>
      </c>
      <c r="L224" s="5">
        <v>3.9</v>
      </c>
      <c r="M224" s="5">
        <v>606278.30000000005</v>
      </c>
      <c r="N224" s="5">
        <v>102213.26</v>
      </c>
    </row>
    <row r="225" spans="1:14" ht="15" customHeight="1">
      <c r="A225" s="5" t="s">
        <v>77</v>
      </c>
      <c r="B225" s="6">
        <v>45658</v>
      </c>
      <c r="C225" s="5" t="s">
        <v>15</v>
      </c>
      <c r="D225" s="5" t="s">
        <v>18</v>
      </c>
      <c r="E225" s="5">
        <v>53367.73</v>
      </c>
      <c r="F225" s="5">
        <v>7291</v>
      </c>
      <c r="G225" s="5">
        <v>0.14599999999999999</v>
      </c>
      <c r="H225" s="5">
        <v>18</v>
      </c>
      <c r="I225" s="5">
        <v>90.6</v>
      </c>
      <c r="J225" s="5">
        <v>6.34</v>
      </c>
      <c r="K225" s="5">
        <v>1</v>
      </c>
      <c r="L225" s="5">
        <v>3.8</v>
      </c>
      <c r="M225" s="5">
        <v>712219.81</v>
      </c>
      <c r="N225" s="5">
        <v>85906.54</v>
      </c>
    </row>
    <row r="226" spans="1:14" ht="15" customHeight="1">
      <c r="A226" s="5" t="s">
        <v>77</v>
      </c>
      <c r="B226" s="6">
        <v>45689</v>
      </c>
      <c r="C226" s="5" t="s">
        <v>15</v>
      </c>
      <c r="D226" s="5" t="s">
        <v>18</v>
      </c>
      <c r="E226" s="5">
        <v>27194.639999999999</v>
      </c>
      <c r="F226" s="5">
        <v>7404</v>
      </c>
      <c r="G226" s="5">
        <v>8.7999999999999995E-2</v>
      </c>
      <c r="H226" s="5">
        <v>18</v>
      </c>
      <c r="I226" s="5">
        <v>90.2</v>
      </c>
      <c r="J226" s="5">
        <v>1.2</v>
      </c>
      <c r="K226" s="5">
        <v>0</v>
      </c>
      <c r="L226" s="5">
        <v>3.4</v>
      </c>
      <c r="M226" s="5">
        <v>672670.54</v>
      </c>
      <c r="N226" s="5">
        <v>132684.18</v>
      </c>
    </row>
    <row r="227" spans="1:14" ht="15" customHeight="1">
      <c r="A227" s="5" t="s">
        <v>77</v>
      </c>
      <c r="B227" s="6">
        <v>45717</v>
      </c>
      <c r="C227" s="5" t="s">
        <v>15</v>
      </c>
      <c r="D227" s="5" t="s">
        <v>18</v>
      </c>
      <c r="E227" s="5">
        <v>66962.740000000005</v>
      </c>
      <c r="F227" s="5">
        <v>7880</v>
      </c>
      <c r="G227" s="5">
        <v>0.11600000000000001</v>
      </c>
      <c r="H227" s="5">
        <v>19</v>
      </c>
      <c r="I227" s="5">
        <v>90.4</v>
      </c>
      <c r="J227" s="5">
        <v>4.5</v>
      </c>
      <c r="K227" s="5">
        <v>0</v>
      </c>
      <c r="L227" s="5">
        <v>3.3</v>
      </c>
      <c r="M227" s="5">
        <v>732667.92</v>
      </c>
      <c r="N227" s="5">
        <v>128654.46</v>
      </c>
    </row>
    <row r="228" spans="1:14" ht="15" customHeight="1">
      <c r="A228" s="5" t="s">
        <v>77</v>
      </c>
      <c r="B228" s="6">
        <v>45748</v>
      </c>
      <c r="C228" s="5" t="s">
        <v>15</v>
      </c>
      <c r="D228" s="5" t="s">
        <v>18</v>
      </c>
      <c r="E228" s="5">
        <v>73540.990000000005</v>
      </c>
      <c r="F228" s="5">
        <v>8773</v>
      </c>
      <c r="G228" s="5">
        <v>3.5000000000000003E-2</v>
      </c>
      <c r="H228" s="5">
        <v>21</v>
      </c>
      <c r="I228" s="5">
        <v>84.4</v>
      </c>
      <c r="J228" s="5">
        <v>6.68</v>
      </c>
      <c r="K228" s="5">
        <v>0</v>
      </c>
      <c r="L228" s="5">
        <v>3.6</v>
      </c>
      <c r="M228" s="5">
        <v>723531.4</v>
      </c>
      <c r="N228" s="5">
        <v>108794.85</v>
      </c>
    </row>
    <row r="229" spans="1:14" ht="15" customHeight="1">
      <c r="A229" s="5" t="s">
        <v>78</v>
      </c>
      <c r="B229" s="6">
        <v>45658</v>
      </c>
      <c r="C229" s="5" t="s">
        <v>15</v>
      </c>
      <c r="D229" s="5" t="s">
        <v>28</v>
      </c>
      <c r="E229" s="5">
        <v>68212.289999999994</v>
      </c>
      <c r="F229" s="5">
        <v>4713</v>
      </c>
      <c r="G229" s="5">
        <v>0.19800000000000001</v>
      </c>
      <c r="H229" s="5">
        <v>15</v>
      </c>
      <c r="I229" s="5">
        <v>82.6</v>
      </c>
      <c r="J229" s="5">
        <v>4.07</v>
      </c>
      <c r="K229" s="5">
        <v>1</v>
      </c>
      <c r="L229" s="5">
        <v>3</v>
      </c>
      <c r="M229" s="5">
        <v>641564.6</v>
      </c>
      <c r="N229" s="5">
        <v>90468.96</v>
      </c>
    </row>
    <row r="230" spans="1:14" ht="15" customHeight="1">
      <c r="A230" s="5" t="s">
        <v>78</v>
      </c>
      <c r="B230" s="6">
        <v>45689</v>
      </c>
      <c r="C230" s="5" t="s">
        <v>15</v>
      </c>
      <c r="D230" s="5" t="s">
        <v>28</v>
      </c>
      <c r="E230" s="5">
        <v>57225.98</v>
      </c>
      <c r="F230" s="5">
        <v>2842</v>
      </c>
      <c r="G230" s="5">
        <v>0.112</v>
      </c>
      <c r="H230" s="5">
        <v>10</v>
      </c>
      <c r="I230" s="5">
        <v>79.5</v>
      </c>
      <c r="J230" s="5">
        <v>5.45</v>
      </c>
      <c r="K230" s="5">
        <v>0</v>
      </c>
      <c r="L230" s="5">
        <v>3.4</v>
      </c>
      <c r="M230" s="5">
        <v>536545.49</v>
      </c>
      <c r="N230" s="5">
        <v>97917.45</v>
      </c>
    </row>
    <row r="231" spans="1:14" ht="15" customHeight="1">
      <c r="A231" s="5" t="s">
        <v>78</v>
      </c>
      <c r="B231" s="6">
        <v>45717</v>
      </c>
      <c r="C231" s="5" t="s">
        <v>15</v>
      </c>
      <c r="D231" s="5" t="s">
        <v>28</v>
      </c>
      <c r="E231" s="5">
        <v>42932.02</v>
      </c>
      <c r="F231" s="5">
        <v>3872</v>
      </c>
      <c r="G231" s="5">
        <v>0.17100000000000001</v>
      </c>
      <c r="H231" s="5">
        <v>12</v>
      </c>
      <c r="I231" s="5">
        <v>83.2</v>
      </c>
      <c r="J231" s="5">
        <v>15.58</v>
      </c>
      <c r="K231" s="5">
        <v>0</v>
      </c>
      <c r="L231" s="5">
        <v>3.3</v>
      </c>
      <c r="M231" s="5">
        <v>527681.56000000006</v>
      </c>
      <c r="N231" s="5">
        <v>63153.05</v>
      </c>
    </row>
    <row r="232" spans="1:14" ht="15" customHeight="1">
      <c r="A232" s="5" t="s">
        <v>78</v>
      </c>
      <c r="B232" s="6">
        <v>45748</v>
      </c>
      <c r="C232" s="5" t="s">
        <v>15</v>
      </c>
      <c r="D232" s="5" t="s">
        <v>28</v>
      </c>
      <c r="E232" s="5">
        <v>39341.449999999997</v>
      </c>
      <c r="F232" s="5">
        <v>1375</v>
      </c>
      <c r="G232" s="5">
        <v>9.2999999999999999E-2</v>
      </c>
      <c r="H232" s="5">
        <v>5</v>
      </c>
      <c r="I232" s="5">
        <v>95</v>
      </c>
      <c r="J232" s="5">
        <v>5.32</v>
      </c>
      <c r="K232" s="5">
        <v>0</v>
      </c>
      <c r="L232" s="5"/>
      <c r="M232" s="5">
        <v>529598.93999999994</v>
      </c>
      <c r="N232" s="5">
        <v>84334.33</v>
      </c>
    </row>
    <row r="233" spans="1:14" ht="15" customHeight="1">
      <c r="A233" s="5" t="s">
        <v>79</v>
      </c>
      <c r="B233" s="6">
        <v>45658</v>
      </c>
      <c r="C233" s="5" t="s">
        <v>15</v>
      </c>
      <c r="D233" s="5" t="s">
        <v>18</v>
      </c>
      <c r="E233" s="5">
        <v>37324.230000000003</v>
      </c>
      <c r="F233" s="5">
        <v>5957</v>
      </c>
      <c r="G233" s="5">
        <v>7.0999999999999994E-2</v>
      </c>
      <c r="H233" s="5">
        <v>12</v>
      </c>
      <c r="I233" s="5">
        <v>85.9</v>
      </c>
      <c r="J233" s="5">
        <v>0.37</v>
      </c>
      <c r="K233" s="5">
        <v>0</v>
      </c>
      <c r="L233" s="5">
        <v>3.8</v>
      </c>
      <c r="M233" s="5">
        <v>570963.31000000006</v>
      </c>
      <c r="N233" s="5">
        <v>87342.25</v>
      </c>
    </row>
    <row r="234" spans="1:14" ht="15" customHeight="1">
      <c r="A234" s="5" t="s">
        <v>79</v>
      </c>
      <c r="B234" s="6">
        <v>45689</v>
      </c>
      <c r="C234" s="5" t="s">
        <v>15</v>
      </c>
      <c r="D234" s="5" t="s">
        <v>18</v>
      </c>
      <c r="E234" s="5">
        <v>113736</v>
      </c>
      <c r="F234" s="5">
        <v>8961</v>
      </c>
      <c r="G234" s="5">
        <v>0.20200000000000001</v>
      </c>
      <c r="H234" s="5">
        <v>24</v>
      </c>
      <c r="I234" s="5">
        <v>86.2</v>
      </c>
      <c r="J234" s="5">
        <v>21.63</v>
      </c>
      <c r="K234" s="5">
        <v>0</v>
      </c>
      <c r="L234" s="5">
        <v>4</v>
      </c>
      <c r="M234" s="5">
        <v>870937.4</v>
      </c>
      <c r="N234" s="5">
        <v>175282.74</v>
      </c>
    </row>
    <row r="235" spans="1:14" ht="15" customHeight="1">
      <c r="A235" s="5" t="s">
        <v>79</v>
      </c>
      <c r="B235" s="6">
        <v>45717</v>
      </c>
      <c r="C235" s="5" t="s">
        <v>15</v>
      </c>
      <c r="D235" s="5" t="s">
        <v>18</v>
      </c>
      <c r="E235" s="5">
        <v>33173.949999999997</v>
      </c>
      <c r="F235" s="5">
        <v>6545</v>
      </c>
      <c r="G235" s="5">
        <v>0.16900000000000001</v>
      </c>
      <c r="H235" s="5">
        <v>15</v>
      </c>
      <c r="I235" s="5">
        <v>84.4</v>
      </c>
      <c r="J235" s="5">
        <v>2.48</v>
      </c>
      <c r="K235" s="5">
        <v>0</v>
      </c>
      <c r="L235" s="5">
        <v>3.9</v>
      </c>
      <c r="M235" s="5">
        <v>596969.27</v>
      </c>
      <c r="N235" s="5">
        <v>105669.51</v>
      </c>
    </row>
    <row r="236" spans="1:14" ht="15" customHeight="1">
      <c r="A236" s="5" t="s">
        <v>79</v>
      </c>
      <c r="B236" s="6">
        <v>45748</v>
      </c>
      <c r="C236" s="5" t="s">
        <v>15</v>
      </c>
      <c r="D236" s="5" t="s">
        <v>18</v>
      </c>
      <c r="E236" s="5">
        <v>25818.080000000002</v>
      </c>
      <c r="F236" s="5">
        <v>5457</v>
      </c>
      <c r="G236" s="5">
        <v>0</v>
      </c>
      <c r="H236" s="5">
        <v>11</v>
      </c>
      <c r="I236" s="5">
        <v>95.4</v>
      </c>
      <c r="J236" s="5"/>
      <c r="K236" s="5">
        <v>0</v>
      </c>
      <c r="L236" s="5">
        <v>3.7</v>
      </c>
      <c r="M236" s="5">
        <v>647512.85</v>
      </c>
      <c r="N236" s="5">
        <v>153835.57</v>
      </c>
    </row>
    <row r="237" spans="1:14" ht="15" customHeight="1">
      <c r="A237" s="5" t="s">
        <v>80</v>
      </c>
      <c r="B237" s="6">
        <v>45658</v>
      </c>
      <c r="C237" s="5" t="s">
        <v>27</v>
      </c>
      <c r="D237" s="5" t="s">
        <v>16</v>
      </c>
      <c r="E237" s="5">
        <v>47241.919999999998</v>
      </c>
      <c r="F237" s="5">
        <v>4264</v>
      </c>
      <c r="G237" s="5">
        <v>6.9000000000000006E-2</v>
      </c>
      <c r="H237" s="5">
        <v>13</v>
      </c>
      <c r="I237" s="5">
        <v>95.3</v>
      </c>
      <c r="J237" s="5">
        <v>0.85</v>
      </c>
      <c r="K237" s="5">
        <v>0</v>
      </c>
      <c r="L237" s="5">
        <v>4.3</v>
      </c>
      <c r="M237" s="5">
        <v>658072.14</v>
      </c>
      <c r="N237" s="5">
        <v>110595.89</v>
      </c>
    </row>
    <row r="238" spans="1:14" ht="15" customHeight="1">
      <c r="A238" s="5" t="s">
        <v>80</v>
      </c>
      <c r="B238" s="6">
        <v>45689</v>
      </c>
      <c r="C238" s="5" t="s">
        <v>27</v>
      </c>
      <c r="D238" s="5" t="s">
        <v>16</v>
      </c>
      <c r="E238" s="5">
        <v>61650.79</v>
      </c>
      <c r="F238" s="5">
        <v>5321</v>
      </c>
      <c r="G238" s="5">
        <v>0.126</v>
      </c>
      <c r="H238" s="5">
        <v>17</v>
      </c>
      <c r="I238" s="5">
        <v>89.2</v>
      </c>
      <c r="J238" s="5">
        <v>2.13</v>
      </c>
      <c r="K238" s="5">
        <v>0</v>
      </c>
      <c r="L238" s="5">
        <v>4</v>
      </c>
      <c r="M238" s="5">
        <v>723305.11</v>
      </c>
      <c r="N238" s="5">
        <v>128468.7</v>
      </c>
    </row>
    <row r="239" spans="1:14" ht="15" customHeight="1">
      <c r="A239" s="5" t="s">
        <v>80</v>
      </c>
      <c r="B239" s="6">
        <v>45717</v>
      </c>
      <c r="C239" s="5" t="s">
        <v>27</v>
      </c>
      <c r="D239" s="5" t="s">
        <v>16</v>
      </c>
      <c r="E239" s="5">
        <v>62582.71</v>
      </c>
      <c r="F239" s="5">
        <v>5479</v>
      </c>
      <c r="G239" s="5">
        <v>4.8000000000000001E-2</v>
      </c>
      <c r="H239" s="5">
        <v>16</v>
      </c>
      <c r="I239" s="5">
        <v>81.2</v>
      </c>
      <c r="J239" s="5">
        <v>1.46</v>
      </c>
      <c r="K239" s="5">
        <v>0</v>
      </c>
      <c r="L239" s="5">
        <v>4.5</v>
      </c>
      <c r="M239" s="5">
        <v>640666.53</v>
      </c>
      <c r="N239" s="5">
        <v>134919.16</v>
      </c>
    </row>
    <row r="240" spans="1:14" ht="15" customHeight="1">
      <c r="A240" s="5" t="s">
        <v>80</v>
      </c>
      <c r="B240" s="6">
        <v>45748</v>
      </c>
      <c r="C240" s="5" t="s">
        <v>27</v>
      </c>
      <c r="D240" s="5" t="s">
        <v>16</v>
      </c>
      <c r="E240" s="5">
        <v>47944.14</v>
      </c>
      <c r="F240" s="5">
        <v>6169</v>
      </c>
      <c r="G240" s="5">
        <v>0.11899999999999999</v>
      </c>
      <c r="H240" s="5">
        <v>17</v>
      </c>
      <c r="I240" s="5">
        <v>92.2</v>
      </c>
      <c r="J240" s="5">
        <v>3.02</v>
      </c>
      <c r="K240" s="5">
        <v>0</v>
      </c>
      <c r="L240" s="5">
        <v>4.0999999999999996</v>
      </c>
      <c r="M240" s="5">
        <v>670629.48</v>
      </c>
      <c r="N240" s="5">
        <v>100140.8</v>
      </c>
    </row>
    <row r="241" spans="1:14" ht="15" customHeight="1">
      <c r="A241" s="5" t="s">
        <v>81</v>
      </c>
      <c r="B241" s="6">
        <v>45658</v>
      </c>
      <c r="C241" s="5" t="s">
        <v>27</v>
      </c>
      <c r="D241" s="5" t="s">
        <v>28</v>
      </c>
      <c r="E241" s="5">
        <v>46495.4</v>
      </c>
      <c r="F241" s="5">
        <v>9908</v>
      </c>
      <c r="G241" s="5">
        <v>0.121</v>
      </c>
      <c r="H241" s="5">
        <v>22</v>
      </c>
      <c r="I241" s="5">
        <v>89.4</v>
      </c>
      <c r="J241" s="5">
        <v>3.22</v>
      </c>
      <c r="K241" s="5">
        <v>0</v>
      </c>
      <c r="L241" s="5">
        <v>3.7</v>
      </c>
      <c r="M241" s="5">
        <v>721079.35</v>
      </c>
      <c r="N241" s="5">
        <v>115295.05</v>
      </c>
    </row>
    <row r="242" spans="1:14" ht="15" customHeight="1">
      <c r="A242" s="5" t="s">
        <v>81</v>
      </c>
      <c r="B242" s="6">
        <v>45689</v>
      </c>
      <c r="C242" s="5" t="s">
        <v>27</v>
      </c>
      <c r="D242" s="5" t="s">
        <v>28</v>
      </c>
      <c r="E242" s="5">
        <v>72961.95</v>
      </c>
      <c r="F242" s="5">
        <v>9996</v>
      </c>
      <c r="G242" s="5">
        <v>0.106</v>
      </c>
      <c r="H242" s="5">
        <v>22</v>
      </c>
      <c r="I242" s="5">
        <v>89.1</v>
      </c>
      <c r="J242" s="5">
        <v>15.66</v>
      </c>
      <c r="K242" s="5">
        <v>0</v>
      </c>
      <c r="L242" s="5">
        <v>3.4</v>
      </c>
      <c r="M242" s="5">
        <v>810355.02</v>
      </c>
      <c r="N242" s="5">
        <v>131510</v>
      </c>
    </row>
    <row r="243" spans="1:14" ht="15" customHeight="1">
      <c r="A243" s="5" t="s">
        <v>81</v>
      </c>
      <c r="B243" s="6">
        <v>45717</v>
      </c>
      <c r="C243" s="5" t="s">
        <v>27</v>
      </c>
      <c r="D243" s="5" t="s">
        <v>28</v>
      </c>
      <c r="E243" s="5">
        <v>59060.05</v>
      </c>
      <c r="F243" s="5">
        <v>9702</v>
      </c>
      <c r="G243" s="5">
        <v>0.20100000000000001</v>
      </c>
      <c r="H243" s="5">
        <v>23</v>
      </c>
      <c r="I243" s="5">
        <v>80.900000000000006</v>
      </c>
      <c r="J243" s="5">
        <v>6.96</v>
      </c>
      <c r="K243" s="5">
        <v>0</v>
      </c>
      <c r="L243" s="5">
        <v>3.2</v>
      </c>
      <c r="M243" s="5">
        <v>761919.25</v>
      </c>
      <c r="N243" s="5">
        <v>111893.06</v>
      </c>
    </row>
    <row r="244" spans="1:14" ht="15" customHeight="1">
      <c r="A244" s="5" t="s">
        <v>81</v>
      </c>
      <c r="B244" s="6">
        <v>45748</v>
      </c>
      <c r="C244" s="5" t="s">
        <v>27</v>
      </c>
      <c r="D244" s="5" t="s">
        <v>28</v>
      </c>
      <c r="E244" s="5">
        <v>26248.1</v>
      </c>
      <c r="F244" s="5">
        <v>9314</v>
      </c>
      <c r="G244" s="5">
        <v>0.186</v>
      </c>
      <c r="H244" s="5">
        <v>21</v>
      </c>
      <c r="I244" s="5">
        <v>83.7</v>
      </c>
      <c r="J244" s="5">
        <v>4.62</v>
      </c>
      <c r="K244" s="5">
        <v>0</v>
      </c>
      <c r="L244" s="5">
        <v>3.3</v>
      </c>
      <c r="M244" s="5">
        <v>737070.18</v>
      </c>
      <c r="N244" s="5">
        <v>117593.97</v>
      </c>
    </row>
    <row r="245" spans="1:14" ht="15" customHeight="1">
      <c r="A245" s="5" t="s">
        <v>82</v>
      </c>
      <c r="B245" s="6">
        <v>45658</v>
      </c>
      <c r="C245" s="5" t="s">
        <v>24</v>
      </c>
      <c r="D245" s="5" t="s">
        <v>21</v>
      </c>
      <c r="E245" s="5">
        <v>69900.12</v>
      </c>
      <c r="F245" s="5">
        <v>8055</v>
      </c>
      <c r="G245" s="5">
        <v>0.28100000000000003</v>
      </c>
      <c r="H245" s="5">
        <v>22</v>
      </c>
      <c r="I245" s="5">
        <v>85.6</v>
      </c>
      <c r="J245" s="5">
        <v>10.68</v>
      </c>
      <c r="K245" s="5">
        <v>1</v>
      </c>
      <c r="L245" s="5">
        <v>2.9</v>
      </c>
      <c r="M245" s="5">
        <v>776992.93</v>
      </c>
      <c r="N245" s="5">
        <v>101598.32</v>
      </c>
    </row>
    <row r="246" spans="1:14" ht="15" customHeight="1">
      <c r="A246" s="5" t="s">
        <v>82</v>
      </c>
      <c r="B246" s="6">
        <v>45689</v>
      </c>
      <c r="C246" s="5" t="s">
        <v>24</v>
      </c>
      <c r="D246" s="5" t="s">
        <v>21</v>
      </c>
      <c r="E246" s="5">
        <v>51781.599999999999</v>
      </c>
      <c r="F246" s="5">
        <v>5648</v>
      </c>
      <c r="G246" s="5">
        <v>5.8999999999999997E-2</v>
      </c>
      <c r="H246" s="5">
        <v>13</v>
      </c>
      <c r="I246" s="5">
        <v>85.5</v>
      </c>
      <c r="J246" s="5">
        <v>4.04</v>
      </c>
      <c r="K246" s="5">
        <v>0</v>
      </c>
      <c r="L246" s="5">
        <v>3.7</v>
      </c>
      <c r="M246" s="5">
        <v>676337.41</v>
      </c>
      <c r="N246" s="5">
        <v>104355.77</v>
      </c>
    </row>
    <row r="247" spans="1:14" ht="15" customHeight="1">
      <c r="A247" s="5" t="s">
        <v>82</v>
      </c>
      <c r="B247" s="6">
        <v>45717</v>
      </c>
      <c r="C247" s="5" t="s">
        <v>24</v>
      </c>
      <c r="D247" s="5" t="s">
        <v>21</v>
      </c>
      <c r="E247" s="5">
        <v>70799.64</v>
      </c>
      <c r="F247" s="5">
        <v>10076</v>
      </c>
      <c r="G247" s="5">
        <v>0.152</v>
      </c>
      <c r="H247" s="5">
        <v>24</v>
      </c>
      <c r="I247" s="5">
        <v>84.8</v>
      </c>
      <c r="J247" s="5">
        <v>1.87</v>
      </c>
      <c r="K247" s="5">
        <v>0</v>
      </c>
      <c r="L247" s="5">
        <v>3.5</v>
      </c>
      <c r="M247" s="5">
        <v>828219.67</v>
      </c>
      <c r="N247" s="5">
        <v>179806.87</v>
      </c>
    </row>
    <row r="248" spans="1:14" ht="15" customHeight="1">
      <c r="A248" s="5" t="s">
        <v>82</v>
      </c>
      <c r="B248" s="6">
        <v>45748</v>
      </c>
      <c r="C248" s="5" t="s">
        <v>24</v>
      </c>
      <c r="D248" s="5" t="s">
        <v>21</v>
      </c>
      <c r="E248" s="5">
        <v>53546.34</v>
      </c>
      <c r="F248" s="5">
        <v>8004</v>
      </c>
      <c r="G248" s="5">
        <v>0</v>
      </c>
      <c r="H248" s="5">
        <v>21</v>
      </c>
      <c r="I248" s="5">
        <v>95.2</v>
      </c>
      <c r="J248" s="5">
        <v>2.83</v>
      </c>
      <c r="K248" s="5">
        <v>0</v>
      </c>
      <c r="L248" s="5">
        <v>3</v>
      </c>
      <c r="M248" s="5">
        <v>763159.92</v>
      </c>
      <c r="N248" s="5">
        <v>177104.87</v>
      </c>
    </row>
    <row r="249" spans="1:14" ht="15" customHeight="1">
      <c r="A249" s="5" t="s">
        <v>83</v>
      </c>
      <c r="B249" s="6">
        <v>45658</v>
      </c>
      <c r="C249" s="5" t="s">
        <v>15</v>
      </c>
      <c r="D249" s="5" t="s">
        <v>18</v>
      </c>
      <c r="E249" s="5">
        <v>76942.2</v>
      </c>
      <c r="F249" s="5">
        <v>8934</v>
      </c>
      <c r="G249" s="5">
        <v>8.4000000000000005E-2</v>
      </c>
      <c r="H249" s="5">
        <v>20</v>
      </c>
      <c r="I249" s="5">
        <v>91</v>
      </c>
      <c r="J249" s="5">
        <v>0.95</v>
      </c>
      <c r="K249" s="5">
        <v>0</v>
      </c>
      <c r="L249" s="5">
        <v>3.2</v>
      </c>
      <c r="M249" s="5">
        <v>802001.68</v>
      </c>
      <c r="N249" s="5">
        <v>159715.82</v>
      </c>
    </row>
    <row r="250" spans="1:14" ht="15" customHeight="1">
      <c r="A250" s="5" t="s">
        <v>83</v>
      </c>
      <c r="B250" s="6">
        <v>45689</v>
      </c>
      <c r="C250" s="5" t="s">
        <v>15</v>
      </c>
      <c r="D250" s="5" t="s">
        <v>18</v>
      </c>
      <c r="E250" s="5">
        <v>48060.78</v>
      </c>
      <c r="F250" s="5">
        <v>8733</v>
      </c>
      <c r="G250" s="5">
        <v>0</v>
      </c>
      <c r="H250" s="5">
        <v>20</v>
      </c>
      <c r="I250" s="5">
        <v>89.9</v>
      </c>
      <c r="J250" s="5">
        <v>0.8</v>
      </c>
      <c r="K250" s="5">
        <v>0</v>
      </c>
      <c r="L250" s="5">
        <v>3.4</v>
      </c>
      <c r="M250" s="5">
        <v>750471.34</v>
      </c>
      <c r="N250" s="5">
        <v>133788.04</v>
      </c>
    </row>
    <row r="251" spans="1:14" ht="15" customHeight="1">
      <c r="A251" s="5" t="s">
        <v>83</v>
      </c>
      <c r="B251" s="6">
        <v>45717</v>
      </c>
      <c r="C251" s="5" t="s">
        <v>15</v>
      </c>
      <c r="D251" s="5" t="s">
        <v>18</v>
      </c>
      <c r="E251" s="5">
        <v>57390.04</v>
      </c>
      <c r="F251" s="5">
        <v>7374</v>
      </c>
      <c r="G251" s="5">
        <v>0.21</v>
      </c>
      <c r="H251" s="5">
        <v>21</v>
      </c>
      <c r="I251" s="5">
        <v>91.8</v>
      </c>
      <c r="J251" s="5">
        <v>0.2</v>
      </c>
      <c r="K251" s="5">
        <v>0</v>
      </c>
      <c r="L251" s="5">
        <v>3.1</v>
      </c>
      <c r="M251" s="5">
        <v>679230.86</v>
      </c>
      <c r="N251" s="5">
        <v>106927.58</v>
      </c>
    </row>
    <row r="252" spans="1:14" ht="15" customHeight="1">
      <c r="A252" s="5" t="s">
        <v>83</v>
      </c>
      <c r="B252" s="6">
        <v>45748</v>
      </c>
      <c r="C252" s="5" t="s">
        <v>15</v>
      </c>
      <c r="D252" s="5" t="s">
        <v>18</v>
      </c>
      <c r="E252" s="5">
        <v>21536.18</v>
      </c>
      <c r="F252" s="5">
        <v>8119</v>
      </c>
      <c r="G252" s="5">
        <v>0.22700000000000001</v>
      </c>
      <c r="H252" s="5">
        <v>20</v>
      </c>
      <c r="I252" s="5">
        <v>90.4</v>
      </c>
      <c r="J252" s="5">
        <v>1.7</v>
      </c>
      <c r="K252" s="5">
        <v>0</v>
      </c>
      <c r="L252" s="5">
        <v>3.3</v>
      </c>
      <c r="M252" s="5">
        <v>679888.74</v>
      </c>
      <c r="N252" s="5">
        <v>83406.89</v>
      </c>
    </row>
    <row r="253" spans="1:14" ht="15" customHeight="1">
      <c r="A253" s="5" t="s">
        <v>84</v>
      </c>
      <c r="B253" s="6">
        <v>45658</v>
      </c>
      <c r="C253" s="5" t="s">
        <v>20</v>
      </c>
      <c r="D253" s="5" t="s">
        <v>18</v>
      </c>
      <c r="E253" s="5">
        <v>40923.67</v>
      </c>
      <c r="F253" s="5">
        <v>3875</v>
      </c>
      <c r="G253" s="5">
        <v>0.15</v>
      </c>
      <c r="H253" s="5">
        <v>10</v>
      </c>
      <c r="I253" s="5">
        <v>96.1</v>
      </c>
      <c r="J253" s="5"/>
      <c r="K253" s="5">
        <v>0</v>
      </c>
      <c r="L253" s="5">
        <v>3.8</v>
      </c>
      <c r="M253" s="5">
        <v>606783.67000000004</v>
      </c>
      <c r="N253" s="5">
        <v>74515.87</v>
      </c>
    </row>
    <row r="254" spans="1:14" ht="15" customHeight="1">
      <c r="A254" s="5" t="s">
        <v>84</v>
      </c>
      <c r="B254" s="6">
        <v>45689</v>
      </c>
      <c r="C254" s="5" t="s">
        <v>20</v>
      </c>
      <c r="D254" s="5" t="s">
        <v>18</v>
      </c>
      <c r="E254" s="5">
        <v>72932.55</v>
      </c>
      <c r="F254" s="5">
        <v>5765</v>
      </c>
      <c r="G254" s="5">
        <v>2.5999999999999999E-2</v>
      </c>
      <c r="H254" s="5">
        <v>17</v>
      </c>
      <c r="I254" s="5">
        <v>81.8</v>
      </c>
      <c r="J254" s="5">
        <v>5.0999999999999996</v>
      </c>
      <c r="K254" s="5">
        <v>0</v>
      </c>
      <c r="L254" s="5">
        <v>3.6</v>
      </c>
      <c r="M254" s="5">
        <v>642751.42000000004</v>
      </c>
      <c r="N254" s="5">
        <v>131942.15</v>
      </c>
    </row>
    <row r="255" spans="1:14" ht="15" customHeight="1">
      <c r="A255" s="5" t="s">
        <v>84</v>
      </c>
      <c r="B255" s="6">
        <v>45717</v>
      </c>
      <c r="C255" s="5" t="s">
        <v>20</v>
      </c>
      <c r="D255" s="5" t="s">
        <v>18</v>
      </c>
      <c r="E255" s="5">
        <v>38361.93</v>
      </c>
      <c r="F255" s="5">
        <v>6322</v>
      </c>
      <c r="G255" s="5">
        <v>0.27300000000000002</v>
      </c>
      <c r="H255" s="5">
        <v>15</v>
      </c>
      <c r="I255" s="5">
        <v>88.4</v>
      </c>
      <c r="J255" s="5">
        <v>0.83</v>
      </c>
      <c r="K255" s="5">
        <v>0</v>
      </c>
      <c r="L255" s="5">
        <v>4</v>
      </c>
      <c r="M255" s="5">
        <v>647953.78</v>
      </c>
      <c r="N255" s="5">
        <v>118497.43</v>
      </c>
    </row>
    <row r="256" spans="1:14" ht="15" customHeight="1">
      <c r="A256" s="5" t="s">
        <v>84</v>
      </c>
      <c r="B256" s="6">
        <v>45748</v>
      </c>
      <c r="C256" s="5" t="s">
        <v>20</v>
      </c>
      <c r="D256" s="5" t="s">
        <v>18</v>
      </c>
      <c r="E256" s="5">
        <v>97480.94</v>
      </c>
      <c r="F256" s="5">
        <v>6840</v>
      </c>
      <c r="G256" s="5">
        <v>8.6999999999999994E-2</v>
      </c>
      <c r="H256" s="5">
        <v>14</v>
      </c>
      <c r="I256" s="5">
        <v>79.2</v>
      </c>
      <c r="J256" s="5">
        <v>1.1399999999999999</v>
      </c>
      <c r="K256" s="5">
        <v>0</v>
      </c>
      <c r="L256" s="5">
        <v>4</v>
      </c>
      <c r="M256" s="5">
        <v>729440.45</v>
      </c>
      <c r="N256" s="5">
        <v>87614.29</v>
      </c>
    </row>
    <row r="257" spans="1:14" ht="15" customHeight="1">
      <c r="A257" s="5" t="s">
        <v>85</v>
      </c>
      <c r="B257" s="6">
        <v>45658</v>
      </c>
      <c r="C257" s="5" t="s">
        <v>24</v>
      </c>
      <c r="D257" s="5" t="s">
        <v>21</v>
      </c>
      <c r="E257" s="5">
        <v>81801.8</v>
      </c>
      <c r="F257" s="5">
        <v>6782</v>
      </c>
      <c r="G257" s="5">
        <v>0.05</v>
      </c>
      <c r="H257" s="5">
        <v>16</v>
      </c>
      <c r="I257" s="5">
        <v>99</v>
      </c>
      <c r="J257" s="5">
        <v>9.5399999999999991</v>
      </c>
      <c r="K257" s="5">
        <v>0</v>
      </c>
      <c r="L257" s="5">
        <v>3.7</v>
      </c>
      <c r="M257" s="5">
        <v>764949</v>
      </c>
      <c r="N257" s="5">
        <v>148322.43</v>
      </c>
    </row>
    <row r="258" spans="1:14" ht="15" customHeight="1">
      <c r="A258" s="5" t="s">
        <v>85</v>
      </c>
      <c r="B258" s="6">
        <v>45689</v>
      </c>
      <c r="C258" s="5" t="s">
        <v>24</v>
      </c>
      <c r="D258" s="5" t="s">
        <v>21</v>
      </c>
      <c r="E258" s="5">
        <v>63582.11</v>
      </c>
      <c r="F258" s="5">
        <v>6856</v>
      </c>
      <c r="G258" s="5">
        <v>7.3999999999999996E-2</v>
      </c>
      <c r="H258" s="5">
        <v>17</v>
      </c>
      <c r="I258" s="5">
        <v>89.5</v>
      </c>
      <c r="J258" s="5">
        <v>5.48</v>
      </c>
      <c r="K258" s="5">
        <v>0</v>
      </c>
      <c r="L258" s="5">
        <v>3.2</v>
      </c>
      <c r="M258" s="5">
        <v>799046.94</v>
      </c>
      <c r="N258" s="5">
        <v>144553.64000000001</v>
      </c>
    </row>
    <row r="259" spans="1:14" ht="15" customHeight="1">
      <c r="A259" s="5" t="s">
        <v>85</v>
      </c>
      <c r="B259" s="6">
        <v>45717</v>
      </c>
      <c r="C259" s="5" t="s">
        <v>24</v>
      </c>
      <c r="D259" s="5" t="s">
        <v>21</v>
      </c>
      <c r="E259" s="5">
        <v>75412.740000000005</v>
      </c>
      <c r="F259" s="5">
        <v>5641</v>
      </c>
      <c r="G259" s="5">
        <v>5.8999999999999997E-2</v>
      </c>
      <c r="H259" s="5">
        <v>13</v>
      </c>
      <c r="I259" s="5">
        <v>87.9</v>
      </c>
      <c r="J259" s="5">
        <v>0.84</v>
      </c>
      <c r="K259" s="5">
        <v>0</v>
      </c>
      <c r="L259" s="5">
        <v>3.6</v>
      </c>
      <c r="M259" s="5">
        <v>720079.54</v>
      </c>
      <c r="N259" s="5">
        <v>119499.47</v>
      </c>
    </row>
    <row r="260" spans="1:14" ht="15" customHeight="1">
      <c r="A260" s="5" t="s">
        <v>85</v>
      </c>
      <c r="B260" s="6">
        <v>45748</v>
      </c>
      <c r="C260" s="5" t="s">
        <v>24</v>
      </c>
      <c r="D260" s="5" t="s">
        <v>21</v>
      </c>
      <c r="E260" s="5">
        <v>36290.080000000002</v>
      </c>
      <c r="F260" s="5">
        <v>5787</v>
      </c>
      <c r="G260" s="5">
        <v>0</v>
      </c>
      <c r="H260" s="5">
        <v>17</v>
      </c>
      <c r="I260" s="5">
        <v>88.3</v>
      </c>
      <c r="J260" s="5">
        <v>4.1900000000000004</v>
      </c>
      <c r="K260" s="5">
        <v>0</v>
      </c>
      <c r="L260" s="5">
        <v>4.0999999999999996</v>
      </c>
      <c r="M260" s="5">
        <v>612390.14</v>
      </c>
      <c r="N260" s="5">
        <v>108985.74</v>
      </c>
    </row>
    <row r="261" spans="1:14" ht="15" customHeight="1">
      <c r="A261" s="5" t="s">
        <v>86</v>
      </c>
      <c r="B261" s="6">
        <v>45658</v>
      </c>
      <c r="C261" s="5" t="s">
        <v>24</v>
      </c>
      <c r="D261" s="5" t="s">
        <v>28</v>
      </c>
      <c r="E261" s="5">
        <v>65272.58</v>
      </c>
      <c r="F261" s="5">
        <v>8165</v>
      </c>
      <c r="G261" s="5">
        <v>5.0999999999999997E-2</v>
      </c>
      <c r="H261" s="5">
        <v>19</v>
      </c>
      <c r="I261" s="5">
        <v>87.8</v>
      </c>
      <c r="J261" s="5">
        <v>1.26</v>
      </c>
      <c r="K261" s="5">
        <v>1</v>
      </c>
      <c r="L261" s="5">
        <v>4.3</v>
      </c>
      <c r="M261" s="5">
        <v>840108.12</v>
      </c>
      <c r="N261" s="5">
        <v>126587.01</v>
      </c>
    </row>
    <row r="262" spans="1:14" ht="15" customHeight="1">
      <c r="A262" s="5" t="s">
        <v>86</v>
      </c>
      <c r="B262" s="6">
        <v>45689</v>
      </c>
      <c r="C262" s="5" t="s">
        <v>24</v>
      </c>
      <c r="D262" s="5" t="s">
        <v>28</v>
      </c>
      <c r="E262" s="5">
        <v>28670.43</v>
      </c>
      <c r="F262" s="5">
        <v>7574</v>
      </c>
      <c r="G262" s="5">
        <v>0.114</v>
      </c>
      <c r="H262" s="5">
        <v>19</v>
      </c>
      <c r="I262" s="5">
        <v>82.7</v>
      </c>
      <c r="J262" s="5">
        <v>2.74</v>
      </c>
      <c r="K262" s="5">
        <v>0</v>
      </c>
      <c r="L262" s="5">
        <v>4.5999999999999996</v>
      </c>
      <c r="M262" s="5">
        <v>697888.09</v>
      </c>
      <c r="N262" s="5">
        <v>116249.87</v>
      </c>
    </row>
    <row r="263" spans="1:14" ht="15" customHeight="1">
      <c r="A263" s="5" t="s">
        <v>86</v>
      </c>
      <c r="B263" s="6">
        <v>45717</v>
      </c>
      <c r="C263" s="5" t="s">
        <v>24</v>
      </c>
      <c r="D263" s="5" t="s">
        <v>28</v>
      </c>
      <c r="E263" s="5">
        <v>44189.34</v>
      </c>
      <c r="F263" s="5">
        <v>8634</v>
      </c>
      <c r="G263" s="5">
        <v>0.14299999999999999</v>
      </c>
      <c r="H263" s="5">
        <v>19</v>
      </c>
      <c r="I263" s="5">
        <v>87.5</v>
      </c>
      <c r="J263" s="5">
        <v>3.69</v>
      </c>
      <c r="K263" s="5">
        <v>0</v>
      </c>
      <c r="L263" s="5">
        <v>4.4000000000000004</v>
      </c>
      <c r="M263" s="5">
        <v>746115.59</v>
      </c>
      <c r="N263" s="5">
        <v>94662.96</v>
      </c>
    </row>
    <row r="264" spans="1:14" ht="15" customHeight="1">
      <c r="A264" s="5" t="s">
        <v>86</v>
      </c>
      <c r="B264" s="6">
        <v>45748</v>
      </c>
      <c r="C264" s="5" t="s">
        <v>24</v>
      </c>
      <c r="D264" s="5" t="s">
        <v>28</v>
      </c>
      <c r="E264" s="5">
        <v>38397.82</v>
      </c>
      <c r="F264" s="5">
        <v>7836</v>
      </c>
      <c r="G264" s="5">
        <v>7.0000000000000001E-3</v>
      </c>
      <c r="H264" s="5">
        <v>21</v>
      </c>
      <c r="I264" s="5">
        <v>92.2</v>
      </c>
      <c r="J264" s="5">
        <v>1.82</v>
      </c>
      <c r="K264" s="5">
        <v>0</v>
      </c>
      <c r="L264" s="5">
        <v>3.6</v>
      </c>
      <c r="M264" s="5">
        <v>776110.32</v>
      </c>
      <c r="N264" s="5">
        <v>139676.21</v>
      </c>
    </row>
    <row r="265" spans="1:14" ht="15" customHeight="1">
      <c r="A265" s="5" t="s">
        <v>87</v>
      </c>
      <c r="B265" s="6">
        <v>45658</v>
      </c>
      <c r="C265" s="5" t="s">
        <v>27</v>
      </c>
      <c r="D265" s="5" t="s">
        <v>18</v>
      </c>
      <c r="E265" s="5">
        <v>14519.37</v>
      </c>
      <c r="F265" s="5">
        <v>3047</v>
      </c>
      <c r="G265" s="5">
        <v>0.13500000000000001</v>
      </c>
      <c r="H265" s="5">
        <v>10</v>
      </c>
      <c r="I265" s="5">
        <v>90.3</v>
      </c>
      <c r="J265" s="5">
        <v>6.62</v>
      </c>
      <c r="K265" s="5">
        <v>0</v>
      </c>
      <c r="L265" s="5">
        <v>4.2</v>
      </c>
      <c r="M265" s="5">
        <v>528852.62</v>
      </c>
      <c r="N265" s="5">
        <v>68426.210000000006</v>
      </c>
    </row>
    <row r="266" spans="1:14" ht="15" customHeight="1">
      <c r="A266" s="5" t="s">
        <v>87</v>
      </c>
      <c r="B266" s="6">
        <v>45689</v>
      </c>
      <c r="C266" s="5" t="s">
        <v>27</v>
      </c>
      <c r="D266" s="5" t="s">
        <v>18</v>
      </c>
      <c r="E266" s="5">
        <v>43288.2</v>
      </c>
      <c r="F266" s="5">
        <v>4783</v>
      </c>
      <c r="G266" s="5">
        <v>0.16900000000000001</v>
      </c>
      <c r="H266" s="5">
        <v>13</v>
      </c>
      <c r="I266" s="5">
        <v>87.3</v>
      </c>
      <c r="J266" s="5"/>
      <c r="K266" s="5">
        <v>0</v>
      </c>
      <c r="L266" s="5">
        <v>4.2</v>
      </c>
      <c r="M266" s="5">
        <v>605751.32999999996</v>
      </c>
      <c r="N266" s="5">
        <v>60685.53</v>
      </c>
    </row>
    <row r="267" spans="1:14" ht="15" customHeight="1">
      <c r="A267" s="5" t="s">
        <v>87</v>
      </c>
      <c r="B267" s="6">
        <v>45717</v>
      </c>
      <c r="C267" s="5" t="s">
        <v>27</v>
      </c>
      <c r="D267" s="5" t="s">
        <v>18</v>
      </c>
      <c r="E267" s="5">
        <v>51450.55</v>
      </c>
      <c r="F267" s="5">
        <v>4902</v>
      </c>
      <c r="G267" s="5">
        <v>8.5999999999999993E-2</v>
      </c>
      <c r="H267" s="5">
        <v>11</v>
      </c>
      <c r="I267" s="5">
        <v>83.7</v>
      </c>
      <c r="J267" s="5">
        <v>6.92</v>
      </c>
      <c r="K267" s="5">
        <v>1</v>
      </c>
      <c r="L267" s="5">
        <v>4.2</v>
      </c>
      <c r="M267" s="5">
        <v>677640.65</v>
      </c>
      <c r="N267" s="5">
        <v>111610.89</v>
      </c>
    </row>
    <row r="268" spans="1:14" ht="15" customHeight="1">
      <c r="A268" s="5" t="s">
        <v>87</v>
      </c>
      <c r="B268" s="6">
        <v>45748</v>
      </c>
      <c r="C268" s="5" t="s">
        <v>27</v>
      </c>
      <c r="D268" s="5" t="s">
        <v>18</v>
      </c>
      <c r="E268" s="5">
        <v>58688.26</v>
      </c>
      <c r="F268" s="5">
        <v>4022</v>
      </c>
      <c r="G268" s="5">
        <v>0.217</v>
      </c>
      <c r="H268" s="5">
        <v>12</v>
      </c>
      <c r="I268" s="5">
        <v>93.8</v>
      </c>
      <c r="J268" s="5">
        <v>11.78</v>
      </c>
      <c r="K268" s="5">
        <v>0</v>
      </c>
      <c r="L268" s="5">
        <v>3.7</v>
      </c>
      <c r="M268" s="5">
        <v>636613.23</v>
      </c>
      <c r="N268" s="5">
        <v>78908.350000000006</v>
      </c>
    </row>
    <row r="269" spans="1:14" ht="15" customHeight="1">
      <c r="A269" s="5" t="s">
        <v>88</v>
      </c>
      <c r="B269" s="6">
        <v>45658</v>
      </c>
      <c r="C269" s="5" t="s">
        <v>15</v>
      </c>
      <c r="D269" s="5" t="s">
        <v>18</v>
      </c>
      <c r="E269" s="5">
        <v>58981.91</v>
      </c>
      <c r="F269" s="5">
        <v>7324</v>
      </c>
      <c r="G269" s="5">
        <v>9.4E-2</v>
      </c>
      <c r="H269" s="5">
        <v>15</v>
      </c>
      <c r="I269" s="5">
        <v>95.8</v>
      </c>
      <c r="J269" s="5">
        <v>0.5</v>
      </c>
      <c r="K269" s="5">
        <v>0</v>
      </c>
      <c r="L269" s="5">
        <v>3.5</v>
      </c>
      <c r="M269" s="5">
        <v>708985.19</v>
      </c>
      <c r="N269" s="5">
        <v>125368.16</v>
      </c>
    </row>
    <row r="270" spans="1:14" ht="15" customHeight="1">
      <c r="A270" s="5" t="s">
        <v>88</v>
      </c>
      <c r="B270" s="6">
        <v>45689</v>
      </c>
      <c r="C270" s="5" t="s">
        <v>15</v>
      </c>
      <c r="D270" s="5" t="s">
        <v>18</v>
      </c>
      <c r="E270" s="5">
        <v>73454.539999999994</v>
      </c>
      <c r="F270" s="5">
        <v>8129</v>
      </c>
      <c r="G270" s="5">
        <v>0.21099999999999999</v>
      </c>
      <c r="H270" s="5">
        <v>20</v>
      </c>
      <c r="I270" s="5">
        <v>85.2</v>
      </c>
      <c r="J270" s="5">
        <v>0.88</v>
      </c>
      <c r="K270" s="5">
        <v>0</v>
      </c>
      <c r="L270" s="5">
        <v>3.7</v>
      </c>
      <c r="M270" s="5">
        <v>767792.94</v>
      </c>
      <c r="N270" s="5">
        <v>96235.77</v>
      </c>
    </row>
    <row r="271" spans="1:14" ht="15" customHeight="1">
      <c r="A271" s="5" t="s">
        <v>88</v>
      </c>
      <c r="B271" s="6">
        <v>45717</v>
      </c>
      <c r="C271" s="5" t="s">
        <v>15</v>
      </c>
      <c r="D271" s="5" t="s">
        <v>18</v>
      </c>
      <c r="E271" s="5">
        <v>56602.39</v>
      </c>
      <c r="F271" s="5">
        <v>7969</v>
      </c>
      <c r="G271" s="5">
        <v>0.17</v>
      </c>
      <c r="H271" s="5">
        <v>21</v>
      </c>
      <c r="I271" s="5">
        <v>88.3</v>
      </c>
      <c r="J271" s="5">
        <v>2.25</v>
      </c>
      <c r="K271" s="5">
        <v>0</v>
      </c>
      <c r="L271" s="5">
        <v>3.7</v>
      </c>
      <c r="M271" s="5">
        <v>745580.51</v>
      </c>
      <c r="N271" s="5">
        <v>116273.68</v>
      </c>
    </row>
    <row r="272" spans="1:14" ht="15" customHeight="1">
      <c r="A272" s="5" t="s">
        <v>88</v>
      </c>
      <c r="B272" s="6">
        <v>45748</v>
      </c>
      <c r="C272" s="5" t="s">
        <v>15</v>
      </c>
      <c r="D272" s="5" t="s">
        <v>18</v>
      </c>
      <c r="E272" s="5">
        <v>67722.289999999994</v>
      </c>
      <c r="F272" s="5">
        <v>7240</v>
      </c>
      <c r="G272" s="5">
        <v>2.5999999999999999E-2</v>
      </c>
      <c r="H272" s="5">
        <v>15</v>
      </c>
      <c r="I272" s="5">
        <v>92.9</v>
      </c>
      <c r="J272" s="5">
        <v>0.28999999999999998</v>
      </c>
      <c r="K272" s="5">
        <v>0</v>
      </c>
      <c r="L272" s="5">
        <v>3.5</v>
      </c>
      <c r="M272" s="5">
        <v>762328.31</v>
      </c>
      <c r="N272" s="5">
        <v>159158.19</v>
      </c>
    </row>
    <row r="273" spans="1:14" ht="15" customHeight="1">
      <c r="A273" s="5" t="s">
        <v>89</v>
      </c>
      <c r="B273" s="6">
        <v>45658</v>
      </c>
      <c r="C273" s="5" t="s">
        <v>15</v>
      </c>
      <c r="D273" s="5" t="s">
        <v>28</v>
      </c>
      <c r="E273" s="5">
        <v>48752.92</v>
      </c>
      <c r="F273" s="5">
        <v>8052</v>
      </c>
      <c r="G273" s="5">
        <v>0.106</v>
      </c>
      <c r="H273" s="5">
        <v>16</v>
      </c>
      <c r="I273" s="5">
        <v>94.9</v>
      </c>
      <c r="J273" s="5">
        <v>0.65</v>
      </c>
      <c r="K273" s="5">
        <v>0</v>
      </c>
      <c r="L273" s="5">
        <v>3.6</v>
      </c>
      <c r="M273" s="5">
        <v>660633.99</v>
      </c>
      <c r="N273" s="5">
        <v>118768.66</v>
      </c>
    </row>
    <row r="274" spans="1:14" ht="15" customHeight="1">
      <c r="A274" s="5" t="s">
        <v>89</v>
      </c>
      <c r="B274" s="6">
        <v>45689</v>
      </c>
      <c r="C274" s="5" t="s">
        <v>15</v>
      </c>
      <c r="D274" s="5" t="s">
        <v>28</v>
      </c>
      <c r="E274" s="5">
        <v>23914.97</v>
      </c>
      <c r="F274" s="5">
        <v>8018</v>
      </c>
      <c r="G274" s="5">
        <v>0.13900000000000001</v>
      </c>
      <c r="H274" s="5">
        <v>20</v>
      </c>
      <c r="I274" s="5">
        <v>89</v>
      </c>
      <c r="J274" s="5">
        <v>0.2</v>
      </c>
      <c r="K274" s="5">
        <v>0</v>
      </c>
      <c r="L274" s="5">
        <v>3.5</v>
      </c>
      <c r="M274" s="5">
        <v>739374.56</v>
      </c>
      <c r="N274" s="5">
        <v>121032.29</v>
      </c>
    </row>
    <row r="275" spans="1:14" ht="15" customHeight="1">
      <c r="A275" s="5" t="s">
        <v>89</v>
      </c>
      <c r="B275" s="6">
        <v>45717</v>
      </c>
      <c r="C275" s="5" t="s">
        <v>15</v>
      </c>
      <c r="D275" s="5" t="s">
        <v>28</v>
      </c>
      <c r="E275" s="5">
        <v>61995.3</v>
      </c>
      <c r="F275" s="5">
        <v>10192</v>
      </c>
      <c r="G275" s="5">
        <v>0.19800000000000001</v>
      </c>
      <c r="H275" s="5">
        <v>21</v>
      </c>
      <c r="I275" s="5">
        <v>87.6</v>
      </c>
      <c r="J275" s="5">
        <v>3.63</v>
      </c>
      <c r="K275" s="5">
        <v>1</v>
      </c>
      <c r="L275" s="5">
        <v>3.8</v>
      </c>
      <c r="M275" s="5">
        <v>799756.46</v>
      </c>
      <c r="N275" s="5">
        <v>105052.93</v>
      </c>
    </row>
    <row r="276" spans="1:14" ht="15" customHeight="1">
      <c r="A276" s="5" t="s">
        <v>89</v>
      </c>
      <c r="B276" s="6">
        <v>45748</v>
      </c>
      <c r="C276" s="5" t="s">
        <v>15</v>
      </c>
      <c r="D276" s="5" t="s">
        <v>28</v>
      </c>
      <c r="E276" s="5">
        <v>29344.93</v>
      </c>
      <c r="F276" s="5">
        <v>7446</v>
      </c>
      <c r="G276" s="5">
        <v>0.111</v>
      </c>
      <c r="H276" s="5">
        <v>15</v>
      </c>
      <c r="I276" s="5">
        <v>86.2</v>
      </c>
      <c r="J276" s="5">
        <v>0.2</v>
      </c>
      <c r="K276" s="5">
        <v>0</v>
      </c>
      <c r="L276" s="5">
        <v>3.2</v>
      </c>
      <c r="M276" s="5">
        <v>593343</v>
      </c>
      <c r="N276" s="5">
        <v>82832.240000000005</v>
      </c>
    </row>
    <row r="277" spans="1:14" ht="15" customHeight="1">
      <c r="A277" s="5" t="s">
        <v>90</v>
      </c>
      <c r="B277" s="6">
        <v>45658</v>
      </c>
      <c r="C277" s="5" t="s">
        <v>27</v>
      </c>
      <c r="D277" s="5" t="s">
        <v>18</v>
      </c>
      <c r="E277" s="5">
        <v>50532.17</v>
      </c>
      <c r="F277" s="5">
        <v>5689</v>
      </c>
      <c r="G277" s="5">
        <v>5.1999999999999998E-2</v>
      </c>
      <c r="H277" s="5">
        <v>17</v>
      </c>
      <c r="I277" s="5">
        <v>85.6</v>
      </c>
      <c r="J277" s="5">
        <v>6.23</v>
      </c>
      <c r="K277" s="5">
        <v>0</v>
      </c>
      <c r="L277" s="5">
        <v>3.3</v>
      </c>
      <c r="M277" s="5">
        <v>645039.97</v>
      </c>
      <c r="N277" s="5">
        <v>83093.33</v>
      </c>
    </row>
    <row r="278" spans="1:14" ht="15" customHeight="1">
      <c r="A278" s="5" t="s">
        <v>90</v>
      </c>
      <c r="B278" s="6">
        <v>45689</v>
      </c>
      <c r="C278" s="5" t="s">
        <v>27</v>
      </c>
      <c r="D278" s="5" t="s">
        <v>18</v>
      </c>
      <c r="E278" s="5">
        <v>17562.57</v>
      </c>
      <c r="F278" s="5">
        <v>3326</v>
      </c>
      <c r="G278" s="5">
        <v>0.153</v>
      </c>
      <c r="H278" s="5">
        <v>14</v>
      </c>
      <c r="I278" s="5">
        <v>88.1</v>
      </c>
      <c r="J278" s="5">
        <v>1.04</v>
      </c>
      <c r="K278" s="5">
        <v>0</v>
      </c>
      <c r="L278" s="5">
        <v>3.1</v>
      </c>
      <c r="M278" s="5">
        <v>561597.32999999996</v>
      </c>
      <c r="N278" s="5">
        <v>75072.75</v>
      </c>
    </row>
    <row r="279" spans="1:14" ht="15" customHeight="1">
      <c r="A279" s="5" t="s">
        <v>90</v>
      </c>
      <c r="B279" s="6">
        <v>45717</v>
      </c>
      <c r="C279" s="5" t="s">
        <v>27</v>
      </c>
      <c r="D279" s="5" t="s">
        <v>18</v>
      </c>
      <c r="E279" s="5">
        <v>47648.71</v>
      </c>
      <c r="F279" s="5">
        <v>5767</v>
      </c>
      <c r="G279" s="5">
        <v>0.14099999999999999</v>
      </c>
      <c r="H279" s="5">
        <v>17</v>
      </c>
      <c r="I279" s="5">
        <v>89.8</v>
      </c>
      <c r="J279" s="5">
        <v>1.76</v>
      </c>
      <c r="K279" s="5">
        <v>0</v>
      </c>
      <c r="L279" s="5">
        <v>3.1</v>
      </c>
      <c r="M279" s="5">
        <v>635837.74</v>
      </c>
      <c r="N279" s="5">
        <v>114740.64</v>
      </c>
    </row>
    <row r="280" spans="1:14" ht="15" customHeight="1">
      <c r="A280" s="5" t="s">
        <v>90</v>
      </c>
      <c r="B280" s="6">
        <v>45748</v>
      </c>
      <c r="C280" s="5" t="s">
        <v>27</v>
      </c>
      <c r="D280" s="5" t="s">
        <v>18</v>
      </c>
      <c r="E280" s="5">
        <v>38297.58</v>
      </c>
      <c r="F280" s="5">
        <v>5893</v>
      </c>
      <c r="G280" s="5">
        <v>0.247</v>
      </c>
      <c r="H280" s="5">
        <v>18</v>
      </c>
      <c r="I280" s="5">
        <v>77.599999999999994</v>
      </c>
      <c r="J280" s="5">
        <v>2.86</v>
      </c>
      <c r="K280" s="5">
        <v>0</v>
      </c>
      <c r="L280" s="5">
        <v>3</v>
      </c>
      <c r="M280" s="5">
        <v>686737.87</v>
      </c>
      <c r="N280" s="5">
        <v>83839.67</v>
      </c>
    </row>
    <row r="281" spans="1:14" ht="15" customHeight="1">
      <c r="A281" s="5" t="s">
        <v>91</v>
      </c>
      <c r="B281" s="6">
        <v>45658</v>
      </c>
      <c r="C281" s="5" t="s">
        <v>24</v>
      </c>
      <c r="D281" s="5" t="s">
        <v>16</v>
      </c>
      <c r="E281" s="5">
        <v>61784.11</v>
      </c>
      <c r="F281" s="5">
        <v>8564</v>
      </c>
      <c r="G281" s="5">
        <v>0.13</v>
      </c>
      <c r="H281" s="5">
        <v>17</v>
      </c>
      <c r="I281" s="5">
        <v>87.4</v>
      </c>
      <c r="J281" s="5">
        <v>18.14</v>
      </c>
      <c r="K281" s="5">
        <v>1</v>
      </c>
      <c r="L281" s="5">
        <v>3.4</v>
      </c>
      <c r="M281" s="5">
        <v>673076.34</v>
      </c>
      <c r="N281" s="5">
        <v>93899.76</v>
      </c>
    </row>
    <row r="282" spans="1:14" ht="15" customHeight="1">
      <c r="A282" s="5" t="s">
        <v>91</v>
      </c>
      <c r="B282" s="6">
        <v>45689</v>
      </c>
      <c r="C282" s="5" t="s">
        <v>24</v>
      </c>
      <c r="D282" s="5" t="s">
        <v>16</v>
      </c>
      <c r="E282" s="5">
        <v>36832.33</v>
      </c>
      <c r="F282" s="5">
        <v>8001</v>
      </c>
      <c r="G282" s="5">
        <v>0</v>
      </c>
      <c r="H282" s="5">
        <v>19</v>
      </c>
      <c r="I282" s="5">
        <v>88.7</v>
      </c>
      <c r="J282" s="5">
        <v>3.39</v>
      </c>
      <c r="K282" s="5">
        <v>0</v>
      </c>
      <c r="L282" s="5">
        <v>4</v>
      </c>
      <c r="M282" s="5">
        <v>738548.42</v>
      </c>
      <c r="N282" s="5">
        <v>134282.76999999999</v>
      </c>
    </row>
    <row r="283" spans="1:14" ht="15" customHeight="1">
      <c r="A283" s="5" t="s">
        <v>91</v>
      </c>
      <c r="B283" s="6">
        <v>45717</v>
      </c>
      <c r="C283" s="5" t="s">
        <v>24</v>
      </c>
      <c r="D283" s="5" t="s">
        <v>16</v>
      </c>
      <c r="E283" s="5">
        <v>48609.41</v>
      </c>
      <c r="F283" s="5">
        <v>9324</v>
      </c>
      <c r="G283" s="5">
        <v>0.21299999999999999</v>
      </c>
      <c r="H283" s="5">
        <v>18</v>
      </c>
      <c r="I283" s="5">
        <v>86.5</v>
      </c>
      <c r="J283" s="5">
        <v>1.44</v>
      </c>
      <c r="K283" s="5">
        <v>0</v>
      </c>
      <c r="L283" s="5">
        <v>3.9</v>
      </c>
      <c r="M283" s="5">
        <v>756619.77</v>
      </c>
      <c r="N283" s="5">
        <v>112057.69</v>
      </c>
    </row>
    <row r="284" spans="1:14" ht="15" customHeight="1">
      <c r="A284" s="5" t="s">
        <v>91</v>
      </c>
      <c r="B284" s="6">
        <v>45748</v>
      </c>
      <c r="C284" s="5" t="s">
        <v>24</v>
      </c>
      <c r="D284" s="5" t="s">
        <v>16</v>
      </c>
      <c r="E284" s="5">
        <v>70284.06</v>
      </c>
      <c r="F284" s="5">
        <v>9109</v>
      </c>
      <c r="G284" s="5">
        <v>4.0000000000000001E-3</v>
      </c>
      <c r="H284" s="5">
        <v>23</v>
      </c>
      <c r="I284" s="5">
        <v>87</v>
      </c>
      <c r="J284" s="5">
        <v>3.65</v>
      </c>
      <c r="K284" s="5">
        <v>0</v>
      </c>
      <c r="L284" s="5">
        <v>3.7</v>
      </c>
      <c r="M284" s="5">
        <v>761122.42</v>
      </c>
      <c r="N284" s="5">
        <v>149802.04</v>
      </c>
    </row>
    <row r="285" spans="1:14" ht="15" customHeight="1">
      <c r="A285" s="5" t="s">
        <v>92</v>
      </c>
      <c r="B285" s="6">
        <v>45658</v>
      </c>
      <c r="C285" s="5" t="s">
        <v>24</v>
      </c>
      <c r="D285" s="5" t="s">
        <v>18</v>
      </c>
      <c r="E285" s="5">
        <v>45940.39</v>
      </c>
      <c r="F285" s="5">
        <v>4022</v>
      </c>
      <c r="G285" s="5">
        <v>6.9000000000000006E-2</v>
      </c>
      <c r="H285" s="5">
        <v>10</v>
      </c>
      <c r="I285" s="5">
        <v>83</v>
      </c>
      <c r="J285" s="5">
        <v>1.23</v>
      </c>
      <c r="K285" s="5">
        <v>1</v>
      </c>
      <c r="L285" s="5">
        <v>3.8</v>
      </c>
      <c r="M285" s="5">
        <v>524899.56999999995</v>
      </c>
      <c r="N285" s="5">
        <v>63619.98</v>
      </c>
    </row>
    <row r="286" spans="1:14" ht="15" customHeight="1">
      <c r="A286" s="5" t="s">
        <v>92</v>
      </c>
      <c r="B286" s="6">
        <v>45689</v>
      </c>
      <c r="C286" s="5" t="s">
        <v>24</v>
      </c>
      <c r="D286" s="5" t="s">
        <v>18</v>
      </c>
      <c r="E286" s="5">
        <v>34771.26</v>
      </c>
      <c r="F286" s="5">
        <v>4355</v>
      </c>
      <c r="G286" s="5">
        <v>5.0999999999999997E-2</v>
      </c>
      <c r="H286" s="5">
        <v>15</v>
      </c>
      <c r="I286" s="5">
        <v>87.9</v>
      </c>
      <c r="J286" s="5">
        <v>3.09</v>
      </c>
      <c r="K286" s="5">
        <v>0</v>
      </c>
      <c r="L286" s="5">
        <v>4</v>
      </c>
      <c r="M286" s="5">
        <v>555557.77</v>
      </c>
      <c r="N286" s="5">
        <v>86475.51</v>
      </c>
    </row>
    <row r="287" spans="1:14" ht="15" customHeight="1">
      <c r="A287" s="5" t="s">
        <v>92</v>
      </c>
      <c r="B287" s="6">
        <v>45717</v>
      </c>
      <c r="C287" s="5" t="s">
        <v>24</v>
      </c>
      <c r="D287" s="5" t="s">
        <v>18</v>
      </c>
      <c r="E287" s="5">
        <v>66104.19</v>
      </c>
      <c r="F287" s="5">
        <v>5745</v>
      </c>
      <c r="G287" s="5">
        <v>7.0000000000000007E-2</v>
      </c>
      <c r="H287" s="5">
        <v>17</v>
      </c>
      <c r="I287" s="5">
        <v>95.8</v>
      </c>
      <c r="J287" s="5">
        <v>3.15</v>
      </c>
      <c r="K287" s="5">
        <v>0</v>
      </c>
      <c r="L287" s="5">
        <v>4</v>
      </c>
      <c r="M287" s="5">
        <v>714083.68</v>
      </c>
      <c r="N287" s="5">
        <v>127231.74</v>
      </c>
    </row>
    <row r="288" spans="1:14" ht="15" customHeight="1">
      <c r="A288" s="5" t="s">
        <v>92</v>
      </c>
      <c r="B288" s="6">
        <v>45748</v>
      </c>
      <c r="C288" s="5" t="s">
        <v>24</v>
      </c>
      <c r="D288" s="5" t="s">
        <v>18</v>
      </c>
      <c r="E288" s="5">
        <v>18599.21</v>
      </c>
      <c r="F288" s="5">
        <v>3027</v>
      </c>
      <c r="G288" s="5">
        <v>0.122</v>
      </c>
      <c r="H288" s="5">
        <v>11</v>
      </c>
      <c r="I288" s="5">
        <v>80.900000000000006</v>
      </c>
      <c r="J288" s="5">
        <v>6.44</v>
      </c>
      <c r="K288" s="5">
        <v>0</v>
      </c>
      <c r="L288" s="5">
        <v>4.2</v>
      </c>
      <c r="M288" s="5">
        <v>497439.82</v>
      </c>
      <c r="N288" s="5">
        <v>93372.75</v>
      </c>
    </row>
    <row r="289" spans="1:14" ht="15" customHeight="1">
      <c r="A289" s="5" t="s">
        <v>93</v>
      </c>
      <c r="B289" s="6">
        <v>45658</v>
      </c>
      <c r="C289" s="5" t="s">
        <v>27</v>
      </c>
      <c r="D289" s="5" t="s">
        <v>16</v>
      </c>
      <c r="E289" s="5">
        <v>60183.06</v>
      </c>
      <c r="F289" s="5">
        <v>5562</v>
      </c>
      <c r="G289" s="5">
        <v>8.9999999999999993E-3</v>
      </c>
      <c r="H289" s="5">
        <v>13</v>
      </c>
      <c r="I289" s="5">
        <v>86.3</v>
      </c>
      <c r="J289" s="5">
        <v>0.2</v>
      </c>
      <c r="K289" s="5">
        <v>1</v>
      </c>
      <c r="L289" s="5">
        <v>4.5</v>
      </c>
      <c r="M289" s="5">
        <v>636775.66</v>
      </c>
      <c r="N289" s="5">
        <v>122636.86</v>
      </c>
    </row>
    <row r="290" spans="1:14" ht="15" customHeight="1">
      <c r="A290" s="5" t="s">
        <v>93</v>
      </c>
      <c r="B290" s="6">
        <v>45689</v>
      </c>
      <c r="C290" s="5" t="s">
        <v>27</v>
      </c>
      <c r="D290" s="5" t="s">
        <v>16</v>
      </c>
      <c r="E290" s="5">
        <v>74539.14</v>
      </c>
      <c r="F290" s="5">
        <v>4487</v>
      </c>
      <c r="G290" s="5">
        <v>0.14000000000000001</v>
      </c>
      <c r="H290" s="5">
        <v>10</v>
      </c>
      <c r="I290" s="5">
        <v>90.4</v>
      </c>
      <c r="J290" s="5">
        <v>0.59</v>
      </c>
      <c r="K290" s="5">
        <v>0</v>
      </c>
      <c r="L290" s="5">
        <v>4.5</v>
      </c>
      <c r="M290" s="5">
        <v>633009.53</v>
      </c>
      <c r="N290" s="5">
        <v>123782.67</v>
      </c>
    </row>
    <row r="291" spans="1:14" ht="15" customHeight="1">
      <c r="A291" s="5" t="s">
        <v>93</v>
      </c>
      <c r="B291" s="6">
        <v>45717</v>
      </c>
      <c r="C291" s="5" t="s">
        <v>27</v>
      </c>
      <c r="D291" s="5" t="s">
        <v>16</v>
      </c>
      <c r="E291" s="5">
        <v>55371.97</v>
      </c>
      <c r="F291" s="5">
        <v>4162</v>
      </c>
      <c r="G291" s="5">
        <v>0.183</v>
      </c>
      <c r="H291" s="5">
        <v>11</v>
      </c>
      <c r="I291" s="5">
        <v>92</v>
      </c>
      <c r="J291" s="5">
        <v>0.2</v>
      </c>
      <c r="K291" s="5">
        <v>1</v>
      </c>
      <c r="L291" s="5">
        <v>4.2</v>
      </c>
      <c r="M291" s="5">
        <v>609949</v>
      </c>
      <c r="N291" s="5">
        <v>126789.25</v>
      </c>
    </row>
    <row r="292" spans="1:14" ht="15" customHeight="1">
      <c r="A292" s="5" t="s">
        <v>93</v>
      </c>
      <c r="B292" s="6">
        <v>45748</v>
      </c>
      <c r="C292" s="5" t="s">
        <v>27</v>
      </c>
      <c r="D292" s="5" t="s">
        <v>16</v>
      </c>
      <c r="E292" s="5">
        <v>40928.69</v>
      </c>
      <c r="F292" s="5">
        <v>4094</v>
      </c>
      <c r="G292" s="5">
        <v>0.17399999999999999</v>
      </c>
      <c r="H292" s="5">
        <v>13</v>
      </c>
      <c r="I292" s="5">
        <v>82.4</v>
      </c>
      <c r="J292" s="5">
        <v>1.36</v>
      </c>
      <c r="K292" s="5">
        <v>0</v>
      </c>
      <c r="L292" s="5">
        <v>4.8</v>
      </c>
      <c r="M292" s="5">
        <v>548103.69999999995</v>
      </c>
      <c r="N292" s="5">
        <v>99905.52</v>
      </c>
    </row>
    <row r="293" spans="1:14" ht="15" customHeight="1">
      <c r="A293" s="5" t="s">
        <v>94</v>
      </c>
      <c r="B293" s="6">
        <v>45658</v>
      </c>
      <c r="C293" s="5" t="s">
        <v>15</v>
      </c>
      <c r="D293" s="5" t="s">
        <v>16</v>
      </c>
      <c r="E293" s="5">
        <v>70012.41</v>
      </c>
      <c r="F293" s="5">
        <v>8484</v>
      </c>
      <c r="G293" s="5">
        <v>0.27300000000000002</v>
      </c>
      <c r="H293" s="5">
        <v>23</v>
      </c>
      <c r="I293" s="5">
        <v>72.900000000000006</v>
      </c>
      <c r="J293" s="5">
        <v>3.34</v>
      </c>
      <c r="K293" s="5">
        <v>0</v>
      </c>
      <c r="L293" s="5">
        <v>3.7</v>
      </c>
      <c r="M293" s="5">
        <v>729424.42</v>
      </c>
      <c r="N293" s="5">
        <v>75592.28</v>
      </c>
    </row>
    <row r="294" spans="1:14" ht="15" customHeight="1">
      <c r="A294" s="5" t="s">
        <v>94</v>
      </c>
      <c r="B294" s="6">
        <v>45689</v>
      </c>
      <c r="C294" s="5" t="s">
        <v>15</v>
      </c>
      <c r="D294" s="5" t="s">
        <v>16</v>
      </c>
      <c r="E294" s="5">
        <v>68909.259999999995</v>
      </c>
      <c r="F294" s="5">
        <v>7794</v>
      </c>
      <c r="G294" s="5">
        <v>0.28399999999999997</v>
      </c>
      <c r="H294" s="5">
        <v>22</v>
      </c>
      <c r="I294" s="5">
        <v>89</v>
      </c>
      <c r="J294" s="5">
        <v>0.33</v>
      </c>
      <c r="K294" s="5">
        <v>0</v>
      </c>
      <c r="L294" s="5">
        <v>4</v>
      </c>
      <c r="M294" s="5">
        <v>696261.49</v>
      </c>
      <c r="N294" s="5">
        <v>72455.350000000006</v>
      </c>
    </row>
    <row r="295" spans="1:14" ht="15" customHeight="1">
      <c r="A295" s="5" t="s">
        <v>94</v>
      </c>
      <c r="B295" s="6">
        <v>45717</v>
      </c>
      <c r="C295" s="5" t="s">
        <v>15</v>
      </c>
      <c r="D295" s="5" t="s">
        <v>16</v>
      </c>
      <c r="E295" s="5">
        <v>56737.3</v>
      </c>
      <c r="F295" s="5">
        <v>8300</v>
      </c>
      <c r="G295" s="5">
        <v>3.2000000000000001E-2</v>
      </c>
      <c r="H295" s="5">
        <v>21</v>
      </c>
      <c r="I295" s="5">
        <v>83.2</v>
      </c>
      <c r="J295" s="5">
        <v>3.44</v>
      </c>
      <c r="K295" s="5">
        <v>1</v>
      </c>
      <c r="L295" s="5">
        <v>4.3</v>
      </c>
      <c r="M295" s="5">
        <v>813316.71</v>
      </c>
      <c r="N295" s="5">
        <v>110077.42</v>
      </c>
    </row>
    <row r="296" spans="1:14" ht="15" customHeight="1">
      <c r="A296" s="5" t="s">
        <v>94</v>
      </c>
      <c r="B296" s="6">
        <v>45748</v>
      </c>
      <c r="C296" s="5" t="s">
        <v>15</v>
      </c>
      <c r="D296" s="5" t="s">
        <v>16</v>
      </c>
      <c r="E296" s="5">
        <v>54080.91</v>
      </c>
      <c r="F296" s="5">
        <v>7083</v>
      </c>
      <c r="G296" s="5">
        <v>0</v>
      </c>
      <c r="H296" s="5">
        <v>15</v>
      </c>
      <c r="I296" s="5">
        <v>97</v>
      </c>
      <c r="J296" s="5">
        <v>5.33</v>
      </c>
      <c r="K296" s="5">
        <v>0</v>
      </c>
      <c r="L296" s="5">
        <v>4.0999999999999996</v>
      </c>
      <c r="M296" s="5">
        <v>702068.92</v>
      </c>
      <c r="N296" s="5">
        <v>111266.63</v>
      </c>
    </row>
    <row r="297" spans="1:14" ht="15" customHeight="1">
      <c r="A297" s="5" t="s">
        <v>95</v>
      </c>
      <c r="B297" s="6">
        <v>45658</v>
      </c>
      <c r="C297" s="5" t="s">
        <v>27</v>
      </c>
      <c r="D297" s="5" t="s">
        <v>18</v>
      </c>
      <c r="E297" s="5">
        <v>51996.32</v>
      </c>
      <c r="F297" s="5">
        <v>3834</v>
      </c>
      <c r="G297" s="5">
        <v>9.6000000000000002E-2</v>
      </c>
      <c r="H297" s="5">
        <v>8</v>
      </c>
      <c r="I297" s="5">
        <v>86.7</v>
      </c>
      <c r="J297" s="5">
        <v>6.04</v>
      </c>
      <c r="K297" s="5">
        <v>0</v>
      </c>
      <c r="L297" s="5">
        <v>4.5</v>
      </c>
      <c r="M297" s="5">
        <v>546223.69999999995</v>
      </c>
      <c r="N297" s="5">
        <v>100769.17</v>
      </c>
    </row>
    <row r="298" spans="1:14" ht="15" customHeight="1">
      <c r="A298" s="5" t="s">
        <v>95</v>
      </c>
      <c r="B298" s="6">
        <v>45689</v>
      </c>
      <c r="C298" s="5" t="s">
        <v>27</v>
      </c>
      <c r="D298" s="5" t="s">
        <v>18</v>
      </c>
      <c r="E298" s="5">
        <v>40102.879999999997</v>
      </c>
      <c r="F298" s="5">
        <v>2358</v>
      </c>
      <c r="G298" s="5">
        <v>0.11899999999999999</v>
      </c>
      <c r="H298" s="5">
        <v>9</v>
      </c>
      <c r="I298" s="5">
        <v>88.7</v>
      </c>
      <c r="J298" s="5">
        <v>1.6</v>
      </c>
      <c r="K298" s="5">
        <v>0</v>
      </c>
      <c r="L298" s="5">
        <v>4.2</v>
      </c>
      <c r="M298" s="5">
        <v>533121.26</v>
      </c>
      <c r="N298" s="5">
        <v>55063.39</v>
      </c>
    </row>
    <row r="299" spans="1:14" ht="15" customHeight="1">
      <c r="A299" s="5" t="s">
        <v>95</v>
      </c>
      <c r="B299" s="6">
        <v>45717</v>
      </c>
      <c r="C299" s="5" t="s">
        <v>27</v>
      </c>
      <c r="D299" s="5" t="s">
        <v>18</v>
      </c>
      <c r="E299" s="5">
        <v>59825.51</v>
      </c>
      <c r="F299" s="5">
        <v>1231</v>
      </c>
      <c r="G299" s="5">
        <v>0.214</v>
      </c>
      <c r="H299" s="5">
        <v>10</v>
      </c>
      <c r="I299" s="5">
        <v>84.8</v>
      </c>
      <c r="J299" s="5">
        <v>8.9600000000000009</v>
      </c>
      <c r="K299" s="5">
        <v>0</v>
      </c>
      <c r="L299" s="5">
        <v>4.7</v>
      </c>
      <c r="M299" s="5">
        <v>498970.32</v>
      </c>
      <c r="N299" s="5">
        <v>69656.7</v>
      </c>
    </row>
    <row r="300" spans="1:14" ht="15" customHeight="1">
      <c r="A300" s="5" t="s">
        <v>95</v>
      </c>
      <c r="B300" s="6">
        <v>45748</v>
      </c>
      <c r="C300" s="5" t="s">
        <v>27</v>
      </c>
      <c r="D300" s="5" t="s">
        <v>18</v>
      </c>
      <c r="E300" s="5">
        <v>27398.28</v>
      </c>
      <c r="F300" s="5">
        <v>1723</v>
      </c>
      <c r="G300" s="5">
        <v>0.17100000000000001</v>
      </c>
      <c r="H300" s="5">
        <v>9</v>
      </c>
      <c r="I300" s="5">
        <v>81</v>
      </c>
      <c r="J300" s="5">
        <v>0.74</v>
      </c>
      <c r="K300" s="5">
        <v>0</v>
      </c>
      <c r="L300" s="5">
        <v>4.5999999999999996</v>
      </c>
      <c r="M300" s="5">
        <v>487738.26</v>
      </c>
      <c r="N300" s="5">
        <v>96435.6</v>
      </c>
    </row>
    <row r="301" spans="1:14" ht="15" customHeight="1">
      <c r="A301" s="5" t="s">
        <v>96</v>
      </c>
      <c r="B301" s="6">
        <v>45658</v>
      </c>
      <c r="C301" s="5" t="s">
        <v>27</v>
      </c>
      <c r="D301" s="5" t="s">
        <v>18</v>
      </c>
      <c r="E301" s="5">
        <v>55599.56</v>
      </c>
      <c r="F301" s="5">
        <v>5896</v>
      </c>
      <c r="G301" s="5">
        <v>3.5999999999999997E-2</v>
      </c>
      <c r="H301" s="5">
        <v>12</v>
      </c>
      <c r="I301" s="5">
        <v>93.1</v>
      </c>
      <c r="J301" s="5">
        <v>6.13</v>
      </c>
      <c r="K301" s="5">
        <v>0</v>
      </c>
      <c r="L301" s="5">
        <v>3.3</v>
      </c>
      <c r="M301" s="5">
        <v>668459.37</v>
      </c>
      <c r="N301" s="5">
        <v>126435.42</v>
      </c>
    </row>
    <row r="302" spans="1:14" ht="15" customHeight="1">
      <c r="A302" s="5" t="s">
        <v>96</v>
      </c>
      <c r="B302" s="6">
        <v>45689</v>
      </c>
      <c r="C302" s="5" t="s">
        <v>27</v>
      </c>
      <c r="D302" s="5" t="s">
        <v>18</v>
      </c>
      <c r="E302" s="5">
        <v>55477.61</v>
      </c>
      <c r="F302" s="5">
        <v>5903</v>
      </c>
      <c r="G302" s="5">
        <v>0.10199999999999999</v>
      </c>
      <c r="H302" s="5">
        <v>14</v>
      </c>
      <c r="I302" s="5">
        <v>96.2</v>
      </c>
      <c r="J302" s="5">
        <v>1.41</v>
      </c>
      <c r="K302" s="5">
        <v>0</v>
      </c>
      <c r="L302" s="5">
        <v>3.3</v>
      </c>
      <c r="M302" s="5">
        <v>763162.45</v>
      </c>
      <c r="N302" s="5">
        <v>162524.04999999999</v>
      </c>
    </row>
    <row r="303" spans="1:14" ht="15" customHeight="1">
      <c r="A303" s="5" t="s">
        <v>96</v>
      </c>
      <c r="B303" s="6">
        <v>45717</v>
      </c>
      <c r="C303" s="5" t="s">
        <v>27</v>
      </c>
      <c r="D303" s="5" t="s">
        <v>18</v>
      </c>
      <c r="E303" s="5">
        <v>46174.7</v>
      </c>
      <c r="F303" s="5">
        <v>4898</v>
      </c>
      <c r="G303" s="5">
        <v>0.114</v>
      </c>
      <c r="H303" s="5">
        <v>11</v>
      </c>
      <c r="I303" s="5">
        <v>91.7</v>
      </c>
      <c r="J303" s="5">
        <v>3.75</v>
      </c>
      <c r="K303" s="5">
        <v>0</v>
      </c>
      <c r="L303" s="5">
        <v>3.1</v>
      </c>
      <c r="M303" s="5">
        <v>599017.32999999996</v>
      </c>
      <c r="N303" s="5">
        <v>134009.92000000001</v>
      </c>
    </row>
    <row r="304" spans="1:14" ht="15" customHeight="1">
      <c r="A304" s="5" t="s">
        <v>96</v>
      </c>
      <c r="B304" s="6">
        <v>45748</v>
      </c>
      <c r="C304" s="5" t="s">
        <v>27</v>
      </c>
      <c r="D304" s="5" t="s">
        <v>18</v>
      </c>
      <c r="E304" s="5">
        <v>24362.98</v>
      </c>
      <c r="F304" s="5">
        <v>1462</v>
      </c>
      <c r="G304" s="5">
        <v>0.11700000000000001</v>
      </c>
      <c r="H304" s="5">
        <v>6</v>
      </c>
      <c r="I304" s="5">
        <v>89.3</v>
      </c>
      <c r="J304" s="5">
        <v>15.06</v>
      </c>
      <c r="K304" s="5">
        <v>0</v>
      </c>
      <c r="L304" s="5">
        <v>3.2</v>
      </c>
      <c r="M304" s="5">
        <v>401582.58</v>
      </c>
      <c r="N304" s="5">
        <v>68454.929999999993</v>
      </c>
    </row>
    <row r="305" spans="1:14" ht="15" customHeight="1">
      <c r="A305" s="5" t="s">
        <v>97</v>
      </c>
      <c r="B305" s="6">
        <v>45658</v>
      </c>
      <c r="C305" s="5" t="s">
        <v>20</v>
      </c>
      <c r="D305" s="5" t="s">
        <v>28</v>
      </c>
      <c r="E305" s="5">
        <v>40647.67</v>
      </c>
      <c r="F305" s="5">
        <v>8252</v>
      </c>
      <c r="G305" s="5">
        <v>0.14099999999999999</v>
      </c>
      <c r="H305" s="5">
        <v>22</v>
      </c>
      <c r="I305" s="5">
        <v>88.2</v>
      </c>
      <c r="J305" s="5">
        <v>5.07</v>
      </c>
      <c r="K305" s="5">
        <v>1</v>
      </c>
      <c r="L305" s="5">
        <v>4.0999999999999996</v>
      </c>
      <c r="M305" s="5">
        <v>703812.99</v>
      </c>
      <c r="N305" s="5">
        <v>133577.98000000001</v>
      </c>
    </row>
    <row r="306" spans="1:14" ht="15" customHeight="1">
      <c r="A306" s="5" t="s">
        <v>97</v>
      </c>
      <c r="B306" s="6">
        <v>45689</v>
      </c>
      <c r="C306" s="5" t="s">
        <v>20</v>
      </c>
      <c r="D306" s="5" t="s">
        <v>28</v>
      </c>
      <c r="E306" s="5">
        <v>63986.98</v>
      </c>
      <c r="F306" s="5">
        <v>7989</v>
      </c>
      <c r="G306" s="5">
        <v>7.3999999999999996E-2</v>
      </c>
      <c r="H306" s="5">
        <v>20</v>
      </c>
      <c r="I306" s="5">
        <v>83.3</v>
      </c>
      <c r="J306" s="5">
        <v>3.6</v>
      </c>
      <c r="K306" s="5">
        <v>0</v>
      </c>
      <c r="L306" s="5">
        <v>3.7</v>
      </c>
      <c r="M306" s="5">
        <v>724346.73</v>
      </c>
      <c r="N306" s="5">
        <v>155013.91</v>
      </c>
    </row>
    <row r="307" spans="1:14" ht="15" customHeight="1">
      <c r="A307" s="5" t="s">
        <v>97</v>
      </c>
      <c r="B307" s="6">
        <v>45717</v>
      </c>
      <c r="C307" s="5" t="s">
        <v>20</v>
      </c>
      <c r="D307" s="5" t="s">
        <v>28</v>
      </c>
      <c r="E307" s="5">
        <v>52843.75</v>
      </c>
      <c r="F307" s="5">
        <v>8268</v>
      </c>
      <c r="G307" s="5">
        <v>0.13800000000000001</v>
      </c>
      <c r="H307" s="5">
        <v>19</v>
      </c>
      <c r="I307" s="5">
        <v>87.3</v>
      </c>
      <c r="J307" s="5">
        <v>4.3899999999999997</v>
      </c>
      <c r="K307" s="5">
        <v>1</v>
      </c>
      <c r="L307" s="5">
        <v>4.7</v>
      </c>
      <c r="M307" s="5">
        <v>730890.01</v>
      </c>
      <c r="N307" s="5">
        <v>105502.56</v>
      </c>
    </row>
    <row r="308" spans="1:14" ht="15" customHeight="1">
      <c r="A308" s="5" t="s">
        <v>97</v>
      </c>
      <c r="B308" s="6">
        <v>45748</v>
      </c>
      <c r="C308" s="5" t="s">
        <v>20</v>
      </c>
      <c r="D308" s="5" t="s">
        <v>28</v>
      </c>
      <c r="E308" s="5">
        <v>31997.25</v>
      </c>
      <c r="F308" s="5">
        <v>8183</v>
      </c>
      <c r="G308" s="5">
        <v>0.19800000000000001</v>
      </c>
      <c r="H308" s="5">
        <v>18</v>
      </c>
      <c r="I308" s="5">
        <v>93</v>
      </c>
      <c r="J308" s="5">
        <v>2.79</v>
      </c>
      <c r="K308" s="5">
        <v>0</v>
      </c>
      <c r="L308" s="5">
        <v>4.2</v>
      </c>
      <c r="M308" s="5">
        <v>780580.95</v>
      </c>
      <c r="N308" s="5">
        <v>138144.46</v>
      </c>
    </row>
    <row r="309" spans="1:14" ht="15" customHeight="1">
      <c r="A309" s="5" t="s">
        <v>98</v>
      </c>
      <c r="B309" s="6">
        <v>45658</v>
      </c>
      <c r="C309" s="5" t="s">
        <v>24</v>
      </c>
      <c r="D309" s="5" t="s">
        <v>16</v>
      </c>
      <c r="E309" s="5">
        <v>54948.02</v>
      </c>
      <c r="F309" s="5">
        <v>6534</v>
      </c>
      <c r="G309" s="5">
        <v>0.183</v>
      </c>
      <c r="H309" s="5">
        <v>14</v>
      </c>
      <c r="I309" s="5">
        <v>94.5</v>
      </c>
      <c r="J309" s="5">
        <v>1.56</v>
      </c>
      <c r="K309" s="5">
        <v>0</v>
      </c>
      <c r="L309" s="5">
        <v>4</v>
      </c>
      <c r="M309" s="5">
        <v>727957.48</v>
      </c>
      <c r="N309" s="5">
        <v>74805.23</v>
      </c>
    </row>
    <row r="310" spans="1:14" ht="15" customHeight="1">
      <c r="A310" s="5" t="s">
        <v>98</v>
      </c>
      <c r="B310" s="6">
        <v>45689</v>
      </c>
      <c r="C310" s="5" t="s">
        <v>24</v>
      </c>
      <c r="D310" s="5" t="s">
        <v>16</v>
      </c>
      <c r="E310" s="5">
        <v>46146.239999999998</v>
      </c>
      <c r="F310" s="5">
        <v>5804</v>
      </c>
      <c r="G310" s="5">
        <v>4.7E-2</v>
      </c>
      <c r="H310" s="5">
        <v>16</v>
      </c>
      <c r="I310" s="5">
        <v>86.9</v>
      </c>
      <c r="J310" s="5">
        <v>15.82</v>
      </c>
      <c r="K310" s="5">
        <v>0</v>
      </c>
      <c r="L310" s="5">
        <v>3.8</v>
      </c>
      <c r="M310" s="5">
        <v>538376</v>
      </c>
      <c r="N310" s="5">
        <v>87605.62</v>
      </c>
    </row>
    <row r="311" spans="1:14" ht="15" customHeight="1">
      <c r="A311" s="5" t="s">
        <v>98</v>
      </c>
      <c r="B311" s="6">
        <v>45717</v>
      </c>
      <c r="C311" s="5" t="s">
        <v>24</v>
      </c>
      <c r="D311" s="5" t="s">
        <v>16</v>
      </c>
      <c r="E311" s="5">
        <v>22387.26</v>
      </c>
      <c r="F311" s="5">
        <v>6301</v>
      </c>
      <c r="G311" s="5">
        <v>0.14599999999999999</v>
      </c>
      <c r="H311" s="5">
        <v>14</v>
      </c>
      <c r="I311" s="5">
        <v>85.9</v>
      </c>
      <c r="J311" s="5">
        <v>1.17</v>
      </c>
      <c r="K311" s="5">
        <v>1</v>
      </c>
      <c r="L311" s="5">
        <v>3.7</v>
      </c>
      <c r="M311" s="5">
        <v>665342.49</v>
      </c>
      <c r="N311" s="5">
        <v>93441.81</v>
      </c>
    </row>
    <row r="312" spans="1:14" ht="15" customHeight="1">
      <c r="A312" s="5" t="s">
        <v>98</v>
      </c>
      <c r="B312" s="6">
        <v>45748</v>
      </c>
      <c r="C312" s="5" t="s">
        <v>24</v>
      </c>
      <c r="D312" s="5" t="s">
        <v>16</v>
      </c>
      <c r="E312" s="5">
        <v>60684.05</v>
      </c>
      <c r="F312" s="5">
        <v>6399</v>
      </c>
      <c r="G312" s="5">
        <v>7.4999999999999997E-2</v>
      </c>
      <c r="H312" s="5">
        <v>16</v>
      </c>
      <c r="I312" s="5">
        <v>99</v>
      </c>
      <c r="J312" s="5">
        <v>3.82</v>
      </c>
      <c r="K312" s="5">
        <v>0</v>
      </c>
      <c r="L312" s="5">
        <v>3.5</v>
      </c>
      <c r="M312" s="5">
        <v>651164.18000000005</v>
      </c>
      <c r="N312" s="5">
        <v>109466.5</v>
      </c>
    </row>
    <row r="313" spans="1:14" ht="15" customHeight="1">
      <c r="A313" s="5" t="s">
        <v>99</v>
      </c>
      <c r="B313" s="6">
        <v>45658</v>
      </c>
      <c r="C313" s="5" t="s">
        <v>24</v>
      </c>
      <c r="D313" s="5" t="s">
        <v>18</v>
      </c>
      <c r="E313" s="5">
        <v>48465.599999999999</v>
      </c>
      <c r="F313" s="5">
        <v>5759</v>
      </c>
      <c r="G313" s="5">
        <v>0.154</v>
      </c>
      <c r="H313" s="5">
        <v>13</v>
      </c>
      <c r="I313" s="5">
        <v>87.5</v>
      </c>
      <c r="J313" s="5">
        <v>4.1399999999999997</v>
      </c>
      <c r="K313" s="5">
        <v>0</v>
      </c>
      <c r="L313" s="5">
        <v>4</v>
      </c>
      <c r="M313" s="5">
        <v>628538.30000000005</v>
      </c>
      <c r="N313" s="5">
        <v>112509.15</v>
      </c>
    </row>
    <row r="314" spans="1:14" ht="15" customHeight="1">
      <c r="A314" s="5" t="s">
        <v>99</v>
      </c>
      <c r="B314" s="6">
        <v>45689</v>
      </c>
      <c r="C314" s="5" t="s">
        <v>24</v>
      </c>
      <c r="D314" s="5" t="s">
        <v>18</v>
      </c>
      <c r="E314" s="5">
        <v>23702.38</v>
      </c>
      <c r="F314" s="5">
        <v>5285</v>
      </c>
      <c r="G314" s="5">
        <v>0.16700000000000001</v>
      </c>
      <c r="H314" s="5">
        <v>14</v>
      </c>
      <c r="I314" s="5">
        <v>79.7</v>
      </c>
      <c r="J314" s="5">
        <v>1.1000000000000001</v>
      </c>
      <c r="K314" s="5">
        <v>0</v>
      </c>
      <c r="L314" s="5">
        <v>4.3</v>
      </c>
      <c r="M314" s="5">
        <v>536524.84</v>
      </c>
      <c r="N314" s="5">
        <v>92752.94</v>
      </c>
    </row>
    <row r="315" spans="1:14" ht="15" customHeight="1">
      <c r="A315" s="5" t="s">
        <v>99</v>
      </c>
      <c r="B315" s="6">
        <v>45717</v>
      </c>
      <c r="C315" s="5" t="s">
        <v>24</v>
      </c>
      <c r="D315" s="5" t="s">
        <v>18</v>
      </c>
      <c r="E315" s="5">
        <v>54322.94</v>
      </c>
      <c r="F315" s="5">
        <v>5434</v>
      </c>
      <c r="G315" s="5">
        <v>0.2</v>
      </c>
      <c r="H315" s="5">
        <v>13</v>
      </c>
      <c r="I315" s="5">
        <v>85.7</v>
      </c>
      <c r="J315" s="5">
        <v>10.6</v>
      </c>
      <c r="K315" s="5">
        <v>0</v>
      </c>
      <c r="L315" s="5">
        <v>4.2</v>
      </c>
      <c r="M315" s="5">
        <v>621677.30000000005</v>
      </c>
      <c r="N315" s="5">
        <v>105192.52</v>
      </c>
    </row>
    <row r="316" spans="1:14" ht="15" customHeight="1">
      <c r="A316" s="5" t="s">
        <v>99</v>
      </c>
      <c r="B316" s="6">
        <v>45748</v>
      </c>
      <c r="C316" s="5" t="s">
        <v>24</v>
      </c>
      <c r="D316" s="5" t="s">
        <v>18</v>
      </c>
      <c r="E316" s="5">
        <v>86026.58</v>
      </c>
      <c r="F316" s="5">
        <v>7479</v>
      </c>
      <c r="G316" s="5">
        <v>0.14199999999999999</v>
      </c>
      <c r="H316" s="5">
        <v>20</v>
      </c>
      <c r="I316" s="5">
        <v>89</v>
      </c>
      <c r="J316" s="5">
        <v>0.9</v>
      </c>
      <c r="K316" s="5">
        <v>0</v>
      </c>
      <c r="L316" s="5"/>
      <c r="M316" s="5">
        <v>771129.07</v>
      </c>
      <c r="N316" s="5">
        <v>116851.13</v>
      </c>
    </row>
    <row r="317" spans="1:14" ht="15" customHeight="1">
      <c r="A317" s="5" t="s">
        <v>100</v>
      </c>
      <c r="B317" s="6">
        <v>45658</v>
      </c>
      <c r="C317" s="5" t="s">
        <v>20</v>
      </c>
      <c r="D317" s="5" t="s">
        <v>16</v>
      </c>
      <c r="E317" s="5">
        <v>78967.520000000004</v>
      </c>
      <c r="F317" s="5">
        <v>6164</v>
      </c>
      <c r="G317" s="5">
        <v>2.1000000000000001E-2</v>
      </c>
      <c r="H317" s="5">
        <v>16</v>
      </c>
      <c r="I317" s="5">
        <v>85.5</v>
      </c>
      <c r="J317" s="5">
        <v>0.2</v>
      </c>
      <c r="K317" s="5">
        <v>0</v>
      </c>
      <c r="L317" s="5">
        <v>3.4</v>
      </c>
      <c r="M317" s="5">
        <v>702052.47</v>
      </c>
      <c r="N317" s="5">
        <v>121732.51</v>
      </c>
    </row>
    <row r="318" spans="1:14" ht="15" customHeight="1">
      <c r="A318" s="5" t="s">
        <v>100</v>
      </c>
      <c r="B318" s="6">
        <v>45689</v>
      </c>
      <c r="C318" s="5" t="s">
        <v>20</v>
      </c>
      <c r="D318" s="5" t="s">
        <v>16</v>
      </c>
      <c r="E318" s="5">
        <v>46767.99</v>
      </c>
      <c r="F318" s="5">
        <v>7973</v>
      </c>
      <c r="G318" s="5">
        <v>0.183</v>
      </c>
      <c r="H318" s="5">
        <v>18</v>
      </c>
      <c r="I318" s="5">
        <v>94.8</v>
      </c>
      <c r="J318" s="5">
        <v>4.67</v>
      </c>
      <c r="K318" s="5">
        <v>0</v>
      </c>
      <c r="L318" s="5"/>
      <c r="M318" s="5">
        <v>688368.46</v>
      </c>
      <c r="N318" s="5">
        <v>93588.42</v>
      </c>
    </row>
    <row r="319" spans="1:14" ht="15" customHeight="1">
      <c r="A319" s="5" t="s">
        <v>100</v>
      </c>
      <c r="B319" s="6">
        <v>45717</v>
      </c>
      <c r="C319" s="5" t="s">
        <v>20</v>
      </c>
      <c r="D319" s="5" t="s">
        <v>16</v>
      </c>
      <c r="E319" s="5">
        <v>62507.16</v>
      </c>
      <c r="F319" s="5">
        <v>6000</v>
      </c>
      <c r="G319" s="5">
        <v>9.0999999999999998E-2</v>
      </c>
      <c r="H319" s="5">
        <v>14</v>
      </c>
      <c r="I319" s="5">
        <v>98.2</v>
      </c>
      <c r="J319" s="5">
        <v>4.38</v>
      </c>
      <c r="K319" s="5">
        <v>1</v>
      </c>
      <c r="L319" s="5">
        <v>3.9</v>
      </c>
      <c r="M319" s="5">
        <v>712375.77</v>
      </c>
      <c r="N319" s="5">
        <v>104171.53</v>
      </c>
    </row>
    <row r="320" spans="1:14" ht="15" customHeight="1">
      <c r="A320" s="5" t="s">
        <v>100</v>
      </c>
      <c r="B320" s="6">
        <v>45748</v>
      </c>
      <c r="C320" s="5" t="s">
        <v>20</v>
      </c>
      <c r="D320" s="5" t="s">
        <v>16</v>
      </c>
      <c r="E320" s="5">
        <v>66456.28</v>
      </c>
      <c r="F320" s="5">
        <v>9967</v>
      </c>
      <c r="G320" s="5">
        <v>0.108</v>
      </c>
      <c r="H320" s="5">
        <v>20</v>
      </c>
      <c r="I320" s="5">
        <v>94.7</v>
      </c>
      <c r="J320" s="5">
        <v>4.4800000000000004</v>
      </c>
      <c r="K320" s="5">
        <v>0</v>
      </c>
      <c r="L320" s="5">
        <v>4.2</v>
      </c>
      <c r="M320" s="5">
        <v>844710.67</v>
      </c>
      <c r="N320" s="5">
        <v>137140.18</v>
      </c>
    </row>
    <row r="321" spans="1:14" ht="15" customHeight="1">
      <c r="A321" s="5" t="s">
        <v>101</v>
      </c>
      <c r="B321" s="6">
        <v>45658</v>
      </c>
      <c r="C321" s="5" t="s">
        <v>15</v>
      </c>
      <c r="D321" s="5" t="s">
        <v>16</v>
      </c>
      <c r="E321" s="5">
        <v>76614.320000000007</v>
      </c>
      <c r="F321" s="5">
        <v>5639</v>
      </c>
      <c r="G321" s="5">
        <v>0.17399999999999999</v>
      </c>
      <c r="H321" s="5">
        <v>15</v>
      </c>
      <c r="I321" s="5">
        <v>92.9</v>
      </c>
      <c r="J321" s="5">
        <v>1.02</v>
      </c>
      <c r="K321" s="5">
        <v>1</v>
      </c>
      <c r="L321" s="5">
        <v>4</v>
      </c>
      <c r="M321" s="5">
        <v>620264.19999999995</v>
      </c>
      <c r="N321" s="5">
        <v>91365.64</v>
      </c>
    </row>
    <row r="322" spans="1:14" ht="15" customHeight="1">
      <c r="A322" s="5" t="s">
        <v>101</v>
      </c>
      <c r="B322" s="6">
        <v>45689</v>
      </c>
      <c r="C322" s="5" t="s">
        <v>15</v>
      </c>
      <c r="D322" s="5" t="s">
        <v>16</v>
      </c>
      <c r="E322" s="5">
        <v>24088.06</v>
      </c>
      <c r="F322" s="5">
        <v>3466</v>
      </c>
      <c r="G322" s="5">
        <v>0</v>
      </c>
      <c r="H322" s="5">
        <v>11</v>
      </c>
      <c r="I322" s="5">
        <v>88</v>
      </c>
      <c r="J322" s="5">
        <v>0.2</v>
      </c>
      <c r="K322" s="5">
        <v>0</v>
      </c>
      <c r="L322" s="5">
        <v>3.8</v>
      </c>
      <c r="M322" s="5">
        <v>536845.42000000004</v>
      </c>
      <c r="N322" s="5">
        <v>107473.75</v>
      </c>
    </row>
    <row r="323" spans="1:14" ht="15" customHeight="1">
      <c r="A323" s="5" t="s">
        <v>101</v>
      </c>
      <c r="B323" s="6">
        <v>45717</v>
      </c>
      <c r="C323" s="5" t="s">
        <v>15</v>
      </c>
      <c r="D323" s="5" t="s">
        <v>16</v>
      </c>
      <c r="E323" s="5">
        <v>81902.58</v>
      </c>
      <c r="F323" s="5">
        <v>7775</v>
      </c>
      <c r="G323" s="5">
        <v>0.215</v>
      </c>
      <c r="H323" s="5">
        <v>20</v>
      </c>
      <c r="I323" s="5">
        <v>85.2</v>
      </c>
      <c r="J323" s="5">
        <v>4.8899999999999997</v>
      </c>
      <c r="K323" s="5">
        <v>1</v>
      </c>
      <c r="L323" s="5">
        <v>4.2</v>
      </c>
      <c r="M323" s="5">
        <v>726776.22</v>
      </c>
      <c r="N323" s="5">
        <v>90804.49</v>
      </c>
    </row>
    <row r="324" spans="1:14" ht="15" customHeight="1">
      <c r="A324" s="5" t="s">
        <v>101</v>
      </c>
      <c r="B324" s="6">
        <v>45748</v>
      </c>
      <c r="C324" s="5" t="s">
        <v>15</v>
      </c>
      <c r="D324" s="5" t="s">
        <v>16</v>
      </c>
      <c r="E324" s="5">
        <v>40553.11</v>
      </c>
      <c r="F324" s="5">
        <v>5317</v>
      </c>
      <c r="G324" s="5">
        <v>0.16500000000000001</v>
      </c>
      <c r="H324" s="5">
        <v>17</v>
      </c>
      <c r="I324" s="5">
        <v>84.3</v>
      </c>
      <c r="J324" s="5">
        <v>11.82</v>
      </c>
      <c r="K324" s="5">
        <v>0</v>
      </c>
      <c r="L324" s="5">
        <v>4.0999999999999996</v>
      </c>
      <c r="M324" s="5">
        <v>559660.84</v>
      </c>
      <c r="N324" s="5">
        <v>71443.61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4"/>
  <sheetViews>
    <sheetView tabSelected="1" workbookViewId="0">
      <pane ySplit="4" topLeftCell="A5" activePane="bottomLeft" state="frozen"/>
      <selection pane="bottomLeft" activeCell="A2" sqref="A2"/>
    </sheetView>
  </sheetViews>
  <sheetFormatPr defaultColWidth="8.6640625" defaultRowHeight="14.4"/>
  <cols>
    <col min="1" max="1" width="10" style="1" customWidth="1"/>
    <col min="2" max="2" width="14" style="1" customWidth="1"/>
    <col min="3" max="3" width="8" style="1" customWidth="1"/>
    <col min="4" max="4" width="12" style="1" customWidth="1"/>
    <col min="5" max="5" width="14" style="1" customWidth="1"/>
    <col min="6" max="6" width="9" style="1" customWidth="1"/>
    <col min="7" max="7" width="13" style="1" customWidth="1"/>
    <col min="8" max="8" width="10" style="1" customWidth="1"/>
    <col min="9" max="9" width="17" style="1" customWidth="1"/>
    <col min="10" max="10" width="18" style="1" customWidth="1"/>
    <col min="11" max="11" width="11" style="1" customWidth="1"/>
    <col min="12" max="13" width="13" style="1" customWidth="1"/>
    <col min="14" max="14" width="14" style="1" customWidth="1"/>
  </cols>
  <sheetData>
    <row r="1" spans="1:14" ht="15.75" customHeight="1">
      <c r="A1" s="2" t="s">
        <v>173</v>
      </c>
    </row>
    <row r="2" spans="1:14" ht="15" customHeight="1">
      <c r="A2" s="3"/>
    </row>
    <row r="4" spans="1:14" ht="23.2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</row>
    <row r="5" spans="1:14" ht="15" customHeight="1">
      <c r="A5" s="5" t="s">
        <v>14</v>
      </c>
      <c r="B5" s="5" t="s">
        <v>102</v>
      </c>
      <c r="C5" s="5" t="s">
        <v>15</v>
      </c>
      <c r="D5" s="5" t="s">
        <v>16</v>
      </c>
      <c r="E5" s="5">
        <v>70389.11</v>
      </c>
      <c r="F5" s="5">
        <v>8302</v>
      </c>
      <c r="G5" s="5">
        <v>4.2000000000000003E-2</v>
      </c>
      <c r="H5" s="5">
        <v>17</v>
      </c>
      <c r="I5" s="5">
        <v>75</v>
      </c>
      <c r="J5" s="5">
        <v>5.28</v>
      </c>
      <c r="K5" s="5">
        <v>1</v>
      </c>
      <c r="L5" s="5">
        <v>3.1</v>
      </c>
      <c r="M5" s="5">
        <v>658832.62</v>
      </c>
      <c r="N5" s="5">
        <v>84349.93</v>
      </c>
    </row>
    <row r="6" spans="1:14" ht="15" customHeight="1">
      <c r="A6" s="5" t="s">
        <v>14</v>
      </c>
      <c r="B6" s="5" t="s">
        <v>103</v>
      </c>
      <c r="C6" s="5" t="s">
        <v>15</v>
      </c>
      <c r="D6" s="5" t="s">
        <v>16</v>
      </c>
      <c r="E6" s="5">
        <v>43827.89</v>
      </c>
      <c r="F6" s="5">
        <v>8487</v>
      </c>
      <c r="G6" s="5">
        <v>0.16800000000000001</v>
      </c>
      <c r="H6" s="5">
        <v>23</v>
      </c>
      <c r="I6" s="5">
        <v>84.4</v>
      </c>
      <c r="J6" s="5">
        <v>4.3099999999999996</v>
      </c>
      <c r="K6" s="5">
        <v>0</v>
      </c>
      <c r="L6" s="5">
        <v>2.8</v>
      </c>
      <c r="M6" s="5">
        <v>634436</v>
      </c>
      <c r="N6" s="5">
        <v>106130.54</v>
      </c>
    </row>
    <row r="7" spans="1:14" ht="15" customHeight="1">
      <c r="A7" s="5" t="s">
        <v>14</v>
      </c>
      <c r="B7" s="5" t="s">
        <v>104</v>
      </c>
      <c r="C7" s="5" t="s">
        <v>15</v>
      </c>
      <c r="D7" s="5" t="s">
        <v>16</v>
      </c>
      <c r="E7" s="5">
        <v>59921.75</v>
      </c>
      <c r="F7" s="5">
        <v>9113</v>
      </c>
      <c r="G7" s="5">
        <v>0.13300000000000001</v>
      </c>
      <c r="H7" s="5">
        <v>20</v>
      </c>
      <c r="I7" s="5">
        <v>88</v>
      </c>
      <c r="J7" s="5">
        <v>12</v>
      </c>
      <c r="K7" s="5">
        <v>0</v>
      </c>
      <c r="L7" s="5">
        <v>3.2</v>
      </c>
      <c r="M7" s="5">
        <v>678722.06</v>
      </c>
      <c r="N7" s="5">
        <v>101883.86</v>
      </c>
    </row>
    <row r="8" spans="1:14" ht="15" customHeight="1">
      <c r="A8" s="5" t="s">
        <v>14</v>
      </c>
      <c r="B8" s="5" t="s">
        <v>105</v>
      </c>
      <c r="C8" s="5" t="s">
        <v>15</v>
      </c>
      <c r="D8" s="5" t="s">
        <v>16</v>
      </c>
      <c r="E8" s="5">
        <v>56856.63</v>
      </c>
      <c r="F8" s="5">
        <v>9431</v>
      </c>
      <c r="G8" s="5">
        <v>0.14199999999999999</v>
      </c>
      <c r="H8" s="5">
        <v>23</v>
      </c>
      <c r="I8" s="5">
        <v>86.9</v>
      </c>
      <c r="J8" s="5">
        <v>4.97</v>
      </c>
      <c r="K8" s="5">
        <v>0</v>
      </c>
      <c r="L8" s="5">
        <v>3.4</v>
      </c>
      <c r="M8" s="5">
        <v>658920.30000000005</v>
      </c>
      <c r="N8" s="5">
        <v>97910.37</v>
      </c>
    </row>
    <row r="9" spans="1:14" ht="15" customHeight="1">
      <c r="A9" s="5" t="s">
        <v>17</v>
      </c>
      <c r="B9" s="5" t="s">
        <v>102</v>
      </c>
      <c r="C9" s="5" t="s">
        <v>15</v>
      </c>
      <c r="D9" s="5" t="s">
        <v>18</v>
      </c>
      <c r="E9" s="5">
        <v>48412.639999999999</v>
      </c>
      <c r="F9" s="5">
        <v>9545</v>
      </c>
      <c r="G9" s="5">
        <v>0.23100000000000001</v>
      </c>
      <c r="H9" s="5">
        <v>21</v>
      </c>
      <c r="I9" s="5">
        <v>97.6</v>
      </c>
      <c r="J9" s="5">
        <v>6.94</v>
      </c>
      <c r="K9" s="5">
        <v>1</v>
      </c>
      <c r="L9" s="5">
        <v>4.2</v>
      </c>
      <c r="M9" s="5">
        <v>741341.44</v>
      </c>
      <c r="N9" s="5">
        <v>119208.17</v>
      </c>
    </row>
    <row r="10" spans="1:14" ht="15" customHeight="1">
      <c r="A10" s="5" t="s">
        <v>17</v>
      </c>
      <c r="B10" s="5" t="s">
        <v>103</v>
      </c>
      <c r="C10" s="5" t="s">
        <v>15</v>
      </c>
      <c r="D10" s="5" t="s">
        <v>18</v>
      </c>
      <c r="E10" s="5">
        <v>64811.21</v>
      </c>
      <c r="F10" s="5">
        <v>9792</v>
      </c>
      <c r="G10" s="5">
        <v>0.112</v>
      </c>
      <c r="H10" s="5">
        <v>20</v>
      </c>
      <c r="I10" s="5">
        <v>84.2</v>
      </c>
      <c r="J10" s="5">
        <v>2.88</v>
      </c>
      <c r="K10" s="5">
        <v>0</v>
      </c>
      <c r="L10" s="5">
        <v>4.2</v>
      </c>
      <c r="M10" s="5">
        <v>761835.34</v>
      </c>
      <c r="N10" s="5">
        <v>149602.23000000001</v>
      </c>
    </row>
    <row r="11" spans="1:14" ht="15" customHeight="1">
      <c r="A11" s="5" t="s">
        <v>17</v>
      </c>
      <c r="B11" s="5" t="s">
        <v>104</v>
      </c>
      <c r="C11" s="5" t="s">
        <v>15</v>
      </c>
      <c r="D11" s="5" t="s">
        <v>18</v>
      </c>
      <c r="E11" s="5">
        <v>46213.45</v>
      </c>
      <c r="F11" s="5">
        <v>10616</v>
      </c>
      <c r="G11" s="5">
        <v>0.122</v>
      </c>
      <c r="H11" s="5">
        <v>22</v>
      </c>
      <c r="I11" s="5">
        <v>85.2</v>
      </c>
      <c r="J11" s="5">
        <v>0.2</v>
      </c>
      <c r="K11" s="5">
        <v>1</v>
      </c>
      <c r="L11" s="5">
        <v>4.0999999999999996</v>
      </c>
      <c r="M11" s="5">
        <v>806615.54</v>
      </c>
      <c r="N11" s="5">
        <v>131364.62</v>
      </c>
    </row>
    <row r="12" spans="1:14" ht="15" customHeight="1">
      <c r="A12" s="5" t="s">
        <v>17</v>
      </c>
      <c r="B12" s="5" t="s">
        <v>105</v>
      </c>
      <c r="C12" s="5" t="s">
        <v>15</v>
      </c>
      <c r="D12" s="5" t="s">
        <v>18</v>
      </c>
      <c r="E12" s="5">
        <v>68148.52</v>
      </c>
      <c r="F12" s="5">
        <v>8567</v>
      </c>
      <c r="G12" s="5">
        <v>0.127</v>
      </c>
      <c r="H12" s="5">
        <v>23</v>
      </c>
      <c r="I12" s="5">
        <v>95.6</v>
      </c>
      <c r="J12" s="5">
        <v>0.8</v>
      </c>
      <c r="K12" s="5">
        <v>0</v>
      </c>
      <c r="L12" s="5">
        <v>3.9</v>
      </c>
      <c r="M12" s="5">
        <v>850164.26</v>
      </c>
      <c r="N12" s="5">
        <v>149262.75</v>
      </c>
    </row>
    <row r="13" spans="1:14" ht="15" customHeight="1">
      <c r="A13" s="5" t="s">
        <v>19</v>
      </c>
      <c r="B13" s="5" t="s">
        <v>102</v>
      </c>
      <c r="C13" s="5" t="s">
        <v>20</v>
      </c>
      <c r="D13" s="5" t="s">
        <v>21</v>
      </c>
      <c r="E13" s="5">
        <v>71838.86</v>
      </c>
      <c r="F13" s="5">
        <v>10979</v>
      </c>
      <c r="G13" s="5">
        <v>0.215</v>
      </c>
      <c r="H13" s="5">
        <v>26</v>
      </c>
      <c r="I13" s="5">
        <v>88.6</v>
      </c>
      <c r="J13" s="5">
        <v>7.7</v>
      </c>
      <c r="K13" s="5">
        <v>1</v>
      </c>
      <c r="L13" s="5">
        <v>3.8</v>
      </c>
      <c r="M13" s="5">
        <v>930581.7</v>
      </c>
      <c r="N13" s="5">
        <v>136207.98000000001</v>
      </c>
    </row>
    <row r="14" spans="1:14" ht="15" customHeight="1">
      <c r="A14" s="5" t="s">
        <v>19</v>
      </c>
      <c r="B14" s="5" t="s">
        <v>103</v>
      </c>
      <c r="C14" s="5" t="s">
        <v>20</v>
      </c>
      <c r="D14" s="5" t="s">
        <v>21</v>
      </c>
      <c r="E14" s="5">
        <v>68133.440000000002</v>
      </c>
      <c r="F14" s="5">
        <v>9459</v>
      </c>
      <c r="G14" s="5">
        <v>0.22</v>
      </c>
      <c r="H14" s="5">
        <v>21</v>
      </c>
      <c r="I14" s="5">
        <v>85</v>
      </c>
      <c r="J14" s="5">
        <v>1.91</v>
      </c>
      <c r="K14" s="5">
        <v>0</v>
      </c>
      <c r="L14" s="5">
        <v>4.2</v>
      </c>
      <c r="M14" s="5">
        <v>779010.94</v>
      </c>
      <c r="N14" s="5">
        <v>106328.09</v>
      </c>
    </row>
    <row r="15" spans="1:14" ht="15" customHeight="1">
      <c r="A15" s="5" t="s">
        <v>19</v>
      </c>
      <c r="B15" s="5" t="s">
        <v>104</v>
      </c>
      <c r="C15" s="5" t="s">
        <v>20</v>
      </c>
      <c r="D15" s="5" t="s">
        <v>21</v>
      </c>
      <c r="E15" s="5">
        <v>34285.21</v>
      </c>
      <c r="F15" s="5">
        <v>9172</v>
      </c>
      <c r="G15" s="5">
        <v>0.21299999999999999</v>
      </c>
      <c r="H15" s="5">
        <v>22</v>
      </c>
      <c r="I15" s="5">
        <v>88.3</v>
      </c>
      <c r="J15" s="5">
        <v>10.46</v>
      </c>
      <c r="K15" s="5">
        <v>1</v>
      </c>
      <c r="L15" s="5">
        <v>3.8</v>
      </c>
      <c r="M15" s="5">
        <v>723060.76</v>
      </c>
      <c r="N15" s="5">
        <v>123131.24</v>
      </c>
    </row>
    <row r="16" spans="1:14" ht="15" customHeight="1">
      <c r="A16" s="5" t="s">
        <v>19</v>
      </c>
      <c r="B16" s="5" t="s">
        <v>105</v>
      </c>
      <c r="C16" s="5" t="s">
        <v>20</v>
      </c>
      <c r="D16" s="5" t="s">
        <v>21</v>
      </c>
      <c r="E16" s="5">
        <v>67979.88</v>
      </c>
      <c r="F16" s="5">
        <v>11230</v>
      </c>
      <c r="G16" s="5">
        <v>2E-3</v>
      </c>
      <c r="H16" s="5">
        <v>28</v>
      </c>
      <c r="I16" s="5">
        <v>85.3</v>
      </c>
      <c r="J16" s="5">
        <v>7.16</v>
      </c>
      <c r="K16" s="5">
        <v>0</v>
      </c>
      <c r="L16" s="5">
        <v>3.8</v>
      </c>
      <c r="M16" s="5">
        <v>910791.94</v>
      </c>
      <c r="N16" s="5">
        <v>158891.28</v>
      </c>
    </row>
    <row r="17" spans="1:14" ht="15" customHeight="1">
      <c r="A17" s="5" t="s">
        <v>22</v>
      </c>
      <c r="B17" s="5" t="s">
        <v>102</v>
      </c>
      <c r="C17" s="5" t="s">
        <v>15</v>
      </c>
      <c r="D17" s="5" t="s">
        <v>16</v>
      </c>
      <c r="E17" s="5">
        <v>71828.259999999995</v>
      </c>
      <c r="F17" s="5">
        <v>12775</v>
      </c>
      <c r="G17" s="5">
        <v>0.11600000000000001</v>
      </c>
      <c r="H17" s="5">
        <v>30</v>
      </c>
      <c r="I17" s="5">
        <v>81.7</v>
      </c>
      <c r="J17" s="5">
        <v>4.24</v>
      </c>
      <c r="K17" s="5">
        <v>1</v>
      </c>
      <c r="L17" s="5">
        <v>4.2</v>
      </c>
      <c r="M17" s="5">
        <v>922168.6</v>
      </c>
      <c r="N17" s="5">
        <v>107494.53</v>
      </c>
    </row>
    <row r="18" spans="1:14" ht="15" customHeight="1">
      <c r="A18" s="5" t="s">
        <v>22</v>
      </c>
      <c r="B18" s="5" t="s">
        <v>103</v>
      </c>
      <c r="C18" s="5" t="s">
        <v>15</v>
      </c>
      <c r="D18" s="5" t="s">
        <v>16</v>
      </c>
      <c r="E18" s="5">
        <v>55716.82</v>
      </c>
      <c r="F18" s="5">
        <v>10054</v>
      </c>
      <c r="G18" s="5">
        <v>0.14599999999999999</v>
      </c>
      <c r="H18" s="5">
        <v>24</v>
      </c>
      <c r="I18" s="5">
        <v>84.9</v>
      </c>
      <c r="J18" s="5">
        <v>1.06</v>
      </c>
      <c r="K18" s="5">
        <v>0</v>
      </c>
      <c r="L18" s="5">
        <v>4.3</v>
      </c>
      <c r="M18" s="5">
        <v>726606.28</v>
      </c>
      <c r="N18" s="5">
        <v>122729.29</v>
      </c>
    </row>
    <row r="19" spans="1:14" ht="15" customHeight="1">
      <c r="A19" s="5" t="s">
        <v>22</v>
      </c>
      <c r="B19" s="5" t="s">
        <v>104</v>
      </c>
      <c r="C19" s="5" t="s">
        <v>15</v>
      </c>
      <c r="D19" s="5" t="s">
        <v>16</v>
      </c>
      <c r="E19" s="5">
        <v>59909.51</v>
      </c>
      <c r="F19" s="5">
        <v>8895</v>
      </c>
      <c r="G19" s="5">
        <v>0.22800000000000001</v>
      </c>
      <c r="H19" s="5">
        <v>23</v>
      </c>
      <c r="I19" s="5">
        <v>88.8</v>
      </c>
      <c r="J19" s="5">
        <v>0.27</v>
      </c>
      <c r="K19" s="5">
        <v>0</v>
      </c>
      <c r="L19" s="5">
        <v>4.3</v>
      </c>
      <c r="M19" s="5">
        <v>746501.09</v>
      </c>
      <c r="N19" s="5">
        <v>136816.72</v>
      </c>
    </row>
    <row r="20" spans="1:14" ht="15" customHeight="1">
      <c r="A20" s="5" t="s">
        <v>22</v>
      </c>
      <c r="B20" s="5" t="s">
        <v>105</v>
      </c>
      <c r="C20" s="5" t="s">
        <v>15</v>
      </c>
      <c r="D20" s="5" t="s">
        <v>16</v>
      </c>
      <c r="E20" s="5">
        <v>75305.710000000006</v>
      </c>
      <c r="F20" s="5">
        <v>10940</v>
      </c>
      <c r="G20" s="5">
        <v>6.0000000000000001E-3</v>
      </c>
      <c r="H20" s="5">
        <v>26</v>
      </c>
      <c r="I20" s="5">
        <v>76.5</v>
      </c>
      <c r="J20" s="5">
        <v>1.32</v>
      </c>
      <c r="K20" s="5">
        <v>0</v>
      </c>
      <c r="L20" s="5">
        <v>4.5</v>
      </c>
      <c r="M20" s="5">
        <v>834017.02</v>
      </c>
      <c r="N20" s="5">
        <v>114745.03</v>
      </c>
    </row>
    <row r="21" spans="1:14" ht="15" customHeight="1">
      <c r="A21" s="5" t="s">
        <v>23</v>
      </c>
      <c r="B21" s="5" t="s">
        <v>102</v>
      </c>
      <c r="C21" s="5" t="s">
        <v>24</v>
      </c>
      <c r="D21" s="5" t="s">
        <v>16</v>
      </c>
      <c r="E21" s="5">
        <v>48804.22</v>
      </c>
      <c r="F21" s="5">
        <v>7057</v>
      </c>
      <c r="G21" s="5">
        <v>5.0000000000000001E-3</v>
      </c>
      <c r="H21" s="5">
        <v>15</v>
      </c>
      <c r="I21" s="5">
        <v>87.7</v>
      </c>
      <c r="J21" s="5">
        <v>1.22</v>
      </c>
      <c r="K21" s="5">
        <v>0</v>
      </c>
      <c r="L21" s="5">
        <v>3.7</v>
      </c>
      <c r="M21" s="5">
        <v>666152.52</v>
      </c>
      <c r="N21" s="5">
        <v>107490.58</v>
      </c>
    </row>
    <row r="22" spans="1:14" ht="15" customHeight="1">
      <c r="A22" s="5" t="s">
        <v>23</v>
      </c>
      <c r="B22" s="5" t="s">
        <v>103</v>
      </c>
      <c r="C22" s="5" t="s">
        <v>24</v>
      </c>
      <c r="D22" s="5" t="s">
        <v>16</v>
      </c>
      <c r="E22" s="5">
        <v>59117.9</v>
      </c>
      <c r="F22" s="5">
        <v>4263</v>
      </c>
      <c r="G22" s="5">
        <v>0.11899999999999999</v>
      </c>
      <c r="H22" s="5">
        <v>9</v>
      </c>
      <c r="I22" s="5">
        <v>87.6</v>
      </c>
      <c r="J22" s="5">
        <v>4.01</v>
      </c>
      <c r="K22" s="5">
        <v>0</v>
      </c>
      <c r="L22" s="5">
        <v>3.6</v>
      </c>
      <c r="M22" s="5">
        <v>573155.18999999994</v>
      </c>
      <c r="N22" s="5">
        <v>83680.75</v>
      </c>
    </row>
    <row r="23" spans="1:14" ht="15" customHeight="1">
      <c r="A23" s="5" t="s">
        <v>23</v>
      </c>
      <c r="B23" s="5" t="s">
        <v>104</v>
      </c>
      <c r="C23" s="5" t="s">
        <v>24</v>
      </c>
      <c r="D23" s="5" t="s">
        <v>16</v>
      </c>
      <c r="E23" s="5">
        <v>78831.12</v>
      </c>
      <c r="F23" s="5">
        <v>5538</v>
      </c>
      <c r="G23" s="5">
        <v>0</v>
      </c>
      <c r="H23" s="5">
        <v>15</v>
      </c>
      <c r="I23" s="5">
        <v>94.1</v>
      </c>
      <c r="J23" s="5">
        <v>0.2</v>
      </c>
      <c r="K23" s="5">
        <v>0</v>
      </c>
      <c r="L23" s="5">
        <v>3.9</v>
      </c>
      <c r="M23" s="5">
        <v>666573.19999999995</v>
      </c>
      <c r="N23" s="5">
        <v>140641.01999999999</v>
      </c>
    </row>
    <row r="24" spans="1:14" ht="15" customHeight="1">
      <c r="A24" s="5" t="s">
        <v>23</v>
      </c>
      <c r="B24" s="5" t="s">
        <v>105</v>
      </c>
      <c r="C24" s="5" t="s">
        <v>24</v>
      </c>
      <c r="D24" s="5" t="s">
        <v>16</v>
      </c>
      <c r="E24" s="5">
        <v>41441.93</v>
      </c>
      <c r="F24" s="5">
        <v>4865</v>
      </c>
      <c r="G24" s="5">
        <v>0.158</v>
      </c>
      <c r="H24" s="5">
        <v>16</v>
      </c>
      <c r="I24" s="5">
        <v>88.3</v>
      </c>
      <c r="J24" s="5">
        <v>0.5</v>
      </c>
      <c r="K24" s="5">
        <v>0</v>
      </c>
      <c r="L24" s="5">
        <v>4</v>
      </c>
      <c r="M24" s="5">
        <v>591619.94999999995</v>
      </c>
      <c r="N24" s="5">
        <v>99521.35</v>
      </c>
    </row>
    <row r="25" spans="1:14" ht="15" customHeight="1">
      <c r="A25" s="5" t="s">
        <v>25</v>
      </c>
      <c r="B25" s="5" t="s">
        <v>102</v>
      </c>
      <c r="C25" s="5" t="s">
        <v>20</v>
      </c>
      <c r="D25" s="5" t="s">
        <v>16</v>
      </c>
      <c r="E25" s="5">
        <v>30356.28</v>
      </c>
      <c r="F25" s="5">
        <v>2822</v>
      </c>
      <c r="G25" s="5">
        <v>0.23100000000000001</v>
      </c>
      <c r="H25" s="5">
        <v>9</v>
      </c>
      <c r="I25" s="5">
        <v>84.8</v>
      </c>
      <c r="J25" s="5">
        <v>6.95</v>
      </c>
      <c r="K25" s="5">
        <v>0</v>
      </c>
      <c r="L25" s="5">
        <v>5</v>
      </c>
      <c r="M25" s="5">
        <v>415721.82</v>
      </c>
      <c r="N25" s="5">
        <v>61179.15</v>
      </c>
    </row>
    <row r="26" spans="1:14" ht="15" customHeight="1">
      <c r="A26" s="5" t="s">
        <v>25</v>
      </c>
      <c r="B26" s="5" t="s">
        <v>103</v>
      </c>
      <c r="C26" s="5" t="s">
        <v>20</v>
      </c>
      <c r="D26" s="5" t="s">
        <v>16</v>
      </c>
      <c r="E26" s="5">
        <v>33518.879999999997</v>
      </c>
      <c r="F26" s="5">
        <v>2121</v>
      </c>
      <c r="G26" s="5">
        <v>0.17599999999999999</v>
      </c>
      <c r="H26" s="5">
        <v>8</v>
      </c>
      <c r="I26" s="5">
        <v>88.5</v>
      </c>
      <c r="J26" s="5">
        <v>0.2</v>
      </c>
      <c r="K26" s="5">
        <v>0</v>
      </c>
      <c r="L26" s="5">
        <v>5</v>
      </c>
      <c r="M26" s="5">
        <v>491905.13</v>
      </c>
      <c r="N26" s="5">
        <v>79212.259999999995</v>
      </c>
    </row>
    <row r="27" spans="1:14" ht="15" customHeight="1">
      <c r="A27" s="5" t="s">
        <v>25</v>
      </c>
      <c r="B27" s="5" t="s">
        <v>104</v>
      </c>
      <c r="C27" s="5" t="s">
        <v>20</v>
      </c>
      <c r="D27" s="5" t="s">
        <v>16</v>
      </c>
      <c r="E27" s="5">
        <v>42267.37</v>
      </c>
      <c r="F27" s="5">
        <v>3364</v>
      </c>
      <c r="G27" s="5">
        <v>0.16</v>
      </c>
      <c r="H27" s="5">
        <v>13</v>
      </c>
      <c r="I27" s="5">
        <v>82</v>
      </c>
      <c r="J27" s="5">
        <v>1.61</v>
      </c>
      <c r="K27" s="5">
        <v>1</v>
      </c>
      <c r="L27" s="5">
        <v>4.5999999999999996</v>
      </c>
      <c r="M27" s="5">
        <v>555929.4</v>
      </c>
      <c r="N27" s="5">
        <v>115201.76</v>
      </c>
    </row>
    <row r="28" spans="1:14" ht="15" customHeight="1">
      <c r="A28" s="5" t="s">
        <v>25</v>
      </c>
      <c r="B28" s="5" t="s">
        <v>105</v>
      </c>
      <c r="C28" s="5" t="s">
        <v>20</v>
      </c>
      <c r="D28" s="5" t="s">
        <v>16</v>
      </c>
      <c r="E28" s="5">
        <v>62060.43</v>
      </c>
      <c r="F28" s="5">
        <v>2613</v>
      </c>
      <c r="G28" s="5">
        <v>0.216</v>
      </c>
      <c r="H28" s="5">
        <v>12</v>
      </c>
      <c r="I28" s="5">
        <v>92.1</v>
      </c>
      <c r="J28" s="5">
        <v>1.55</v>
      </c>
      <c r="K28" s="5">
        <v>0</v>
      </c>
      <c r="L28" s="5">
        <v>4.7</v>
      </c>
      <c r="M28" s="5">
        <v>565810.99</v>
      </c>
      <c r="N28" s="5">
        <v>77825.460000000006</v>
      </c>
    </row>
    <row r="29" spans="1:14" ht="15" customHeight="1">
      <c r="A29" s="5" t="s">
        <v>26</v>
      </c>
      <c r="B29" s="5" t="s">
        <v>102</v>
      </c>
      <c r="C29" s="5" t="s">
        <v>27</v>
      </c>
      <c r="D29" s="5" t="s">
        <v>28</v>
      </c>
      <c r="E29" s="5">
        <v>57696.69</v>
      </c>
      <c r="F29" s="5">
        <v>10218</v>
      </c>
      <c r="G29" s="5">
        <v>0.121</v>
      </c>
      <c r="H29" s="5">
        <v>25</v>
      </c>
      <c r="I29" s="5">
        <v>94.8</v>
      </c>
      <c r="J29" s="5">
        <v>2.99</v>
      </c>
      <c r="K29" s="5">
        <v>0</v>
      </c>
      <c r="L29" s="5">
        <v>3.5</v>
      </c>
      <c r="M29" s="5">
        <v>811771.14</v>
      </c>
      <c r="N29" s="5">
        <v>148756.24</v>
      </c>
    </row>
    <row r="30" spans="1:14" ht="15" customHeight="1">
      <c r="A30" s="5" t="s">
        <v>26</v>
      </c>
      <c r="B30" s="5" t="s">
        <v>103</v>
      </c>
      <c r="C30" s="5" t="s">
        <v>27</v>
      </c>
      <c r="D30" s="5" t="s">
        <v>28</v>
      </c>
      <c r="E30" s="5">
        <v>172415.52</v>
      </c>
      <c r="F30" s="5">
        <v>8927</v>
      </c>
      <c r="G30" s="5">
        <v>0.14000000000000001</v>
      </c>
      <c r="H30" s="5">
        <v>22</v>
      </c>
      <c r="I30" s="5">
        <v>86.2</v>
      </c>
      <c r="J30" s="5">
        <v>7.04</v>
      </c>
      <c r="K30" s="5">
        <v>0</v>
      </c>
      <c r="L30" s="5">
        <v>3.9</v>
      </c>
      <c r="M30" s="5">
        <v>800451.94</v>
      </c>
      <c r="N30" s="5">
        <v>111572.29</v>
      </c>
    </row>
    <row r="31" spans="1:14" ht="15" customHeight="1">
      <c r="A31" s="5" t="s">
        <v>26</v>
      </c>
      <c r="B31" s="5" t="s">
        <v>104</v>
      </c>
      <c r="C31" s="5" t="s">
        <v>27</v>
      </c>
      <c r="D31" s="5" t="s">
        <v>28</v>
      </c>
      <c r="E31" s="5">
        <v>55270.52</v>
      </c>
      <c r="F31" s="5">
        <v>9315</v>
      </c>
      <c r="G31" s="5">
        <v>0.16900000000000001</v>
      </c>
      <c r="H31" s="5">
        <v>23</v>
      </c>
      <c r="I31" s="5">
        <v>91.9</v>
      </c>
      <c r="J31" s="5">
        <v>4.9400000000000004</v>
      </c>
      <c r="K31" s="5">
        <v>0</v>
      </c>
      <c r="L31" s="5">
        <v>4</v>
      </c>
      <c r="M31" s="5">
        <v>783672.82</v>
      </c>
      <c r="N31" s="5">
        <v>112577.14</v>
      </c>
    </row>
    <row r="32" spans="1:14" ht="15" customHeight="1">
      <c r="A32" s="5" t="s">
        <v>26</v>
      </c>
      <c r="B32" s="5" t="s">
        <v>105</v>
      </c>
      <c r="C32" s="5" t="s">
        <v>27</v>
      </c>
      <c r="D32" s="5" t="s">
        <v>28</v>
      </c>
      <c r="E32" s="5">
        <v>52715.1</v>
      </c>
      <c r="F32" s="5">
        <v>7223</v>
      </c>
      <c r="G32" s="5">
        <v>0.122</v>
      </c>
      <c r="H32" s="5">
        <v>16</v>
      </c>
      <c r="I32" s="5">
        <v>84.2</v>
      </c>
      <c r="J32" s="5">
        <v>16.149999999999999</v>
      </c>
      <c r="K32" s="5">
        <v>0</v>
      </c>
      <c r="L32" s="5">
        <v>3.7</v>
      </c>
      <c r="M32" s="5">
        <v>701641.97</v>
      </c>
      <c r="N32" s="5">
        <v>106111.86</v>
      </c>
    </row>
    <row r="33" spans="1:14" ht="15" customHeight="1">
      <c r="A33" s="5" t="s">
        <v>29</v>
      </c>
      <c r="B33" s="5" t="s">
        <v>102</v>
      </c>
      <c r="C33" s="5" t="s">
        <v>15</v>
      </c>
      <c r="D33" s="5" t="s">
        <v>16</v>
      </c>
      <c r="E33" s="5">
        <v>68600.62</v>
      </c>
      <c r="F33" s="5">
        <v>3988</v>
      </c>
      <c r="G33" s="5">
        <v>0.124</v>
      </c>
      <c r="H33" s="5">
        <v>11</v>
      </c>
      <c r="I33" s="5">
        <v>85</v>
      </c>
      <c r="J33" s="5">
        <v>0.48</v>
      </c>
      <c r="K33" s="5">
        <v>0</v>
      </c>
      <c r="L33" s="5">
        <v>3.6</v>
      </c>
      <c r="M33" s="5">
        <v>511844.41</v>
      </c>
      <c r="N33" s="5">
        <v>72774.44</v>
      </c>
    </row>
    <row r="34" spans="1:14" ht="15" customHeight="1">
      <c r="A34" s="5" t="s">
        <v>29</v>
      </c>
      <c r="B34" s="5" t="s">
        <v>103</v>
      </c>
      <c r="C34" s="5" t="s">
        <v>15</v>
      </c>
      <c r="D34" s="5" t="s">
        <v>16</v>
      </c>
      <c r="E34" s="5">
        <v>63176.73</v>
      </c>
      <c r="F34" s="5">
        <v>2390</v>
      </c>
      <c r="G34" s="5">
        <v>0.216</v>
      </c>
      <c r="H34" s="5">
        <v>9</v>
      </c>
      <c r="I34" s="5">
        <v>87.5</v>
      </c>
      <c r="J34" s="5">
        <v>0.31</v>
      </c>
      <c r="K34" s="5">
        <v>0</v>
      </c>
      <c r="L34" s="5">
        <v>3.1</v>
      </c>
      <c r="M34" s="5">
        <v>537383.79</v>
      </c>
      <c r="N34" s="5">
        <v>63773.27</v>
      </c>
    </row>
    <row r="35" spans="1:14" ht="15" customHeight="1">
      <c r="A35" s="5" t="s">
        <v>29</v>
      </c>
      <c r="B35" s="5" t="s">
        <v>104</v>
      </c>
      <c r="C35" s="5" t="s">
        <v>15</v>
      </c>
      <c r="D35" s="5" t="s">
        <v>16</v>
      </c>
      <c r="E35" s="5">
        <v>44970.080000000002</v>
      </c>
      <c r="F35" s="5">
        <v>2471</v>
      </c>
      <c r="G35" s="5">
        <v>0.13600000000000001</v>
      </c>
      <c r="H35" s="5">
        <v>11</v>
      </c>
      <c r="I35" s="5">
        <v>87.6</v>
      </c>
      <c r="J35" s="5">
        <v>3.01</v>
      </c>
      <c r="K35" s="5">
        <v>1</v>
      </c>
      <c r="L35" s="5">
        <v>3.7</v>
      </c>
      <c r="M35" s="5">
        <v>500173.02</v>
      </c>
      <c r="N35" s="5">
        <v>70982.05</v>
      </c>
    </row>
    <row r="36" spans="1:14" ht="15" customHeight="1">
      <c r="A36" s="5" t="s">
        <v>29</v>
      </c>
      <c r="B36" s="5" t="s">
        <v>105</v>
      </c>
      <c r="C36" s="5" t="s">
        <v>15</v>
      </c>
      <c r="D36" s="5" t="s">
        <v>16</v>
      </c>
      <c r="E36" s="5">
        <v>69816.350000000006</v>
      </c>
      <c r="F36" s="5">
        <v>971</v>
      </c>
      <c r="G36" s="5">
        <v>0.16800000000000001</v>
      </c>
      <c r="H36" s="5">
        <v>5</v>
      </c>
      <c r="I36" s="5">
        <v>89.9</v>
      </c>
      <c r="J36" s="5">
        <v>12.15</v>
      </c>
      <c r="K36" s="5">
        <v>0</v>
      </c>
      <c r="L36" s="5">
        <v>3.6</v>
      </c>
      <c r="M36" s="5">
        <v>427917.38</v>
      </c>
      <c r="N36" s="5">
        <v>81824.31</v>
      </c>
    </row>
    <row r="37" spans="1:14" ht="15" customHeight="1">
      <c r="A37" s="5" t="s">
        <v>30</v>
      </c>
      <c r="B37" s="5" t="s">
        <v>102</v>
      </c>
      <c r="C37" s="5" t="s">
        <v>20</v>
      </c>
      <c r="D37" s="5" t="s">
        <v>16</v>
      </c>
      <c r="E37" s="5">
        <v>54597.83</v>
      </c>
      <c r="F37" s="5">
        <v>9429</v>
      </c>
      <c r="G37" s="5">
        <v>0.188</v>
      </c>
      <c r="H37" s="5">
        <v>21</v>
      </c>
      <c r="I37" s="5">
        <v>83.3</v>
      </c>
      <c r="J37" s="5">
        <v>11.71</v>
      </c>
      <c r="K37" s="5">
        <v>0</v>
      </c>
      <c r="L37" s="5">
        <v>4.2</v>
      </c>
      <c r="M37" s="5">
        <v>641865.03</v>
      </c>
      <c r="N37" s="5">
        <v>81342.58</v>
      </c>
    </row>
    <row r="38" spans="1:14" ht="15" customHeight="1">
      <c r="A38" s="5" t="s">
        <v>30</v>
      </c>
      <c r="B38" s="5" t="s">
        <v>103</v>
      </c>
      <c r="C38" s="5" t="s">
        <v>20</v>
      </c>
      <c r="D38" s="5" t="s">
        <v>16</v>
      </c>
      <c r="E38" s="5">
        <v>73771.91</v>
      </c>
      <c r="F38" s="5">
        <v>11695</v>
      </c>
      <c r="G38" s="5">
        <v>7.0000000000000007E-2</v>
      </c>
      <c r="H38" s="5">
        <v>25</v>
      </c>
      <c r="I38" s="5">
        <v>84.7</v>
      </c>
      <c r="J38" s="5">
        <v>0.62</v>
      </c>
      <c r="K38" s="5">
        <v>0</v>
      </c>
      <c r="L38" s="5">
        <v>3.9</v>
      </c>
      <c r="M38" s="5">
        <v>799477.76000000001</v>
      </c>
      <c r="N38" s="5">
        <v>164974.41</v>
      </c>
    </row>
    <row r="39" spans="1:14" ht="15" customHeight="1">
      <c r="A39" s="5" t="s">
        <v>30</v>
      </c>
      <c r="B39" s="5" t="s">
        <v>104</v>
      </c>
      <c r="C39" s="5" t="s">
        <v>20</v>
      </c>
      <c r="D39" s="5" t="s">
        <v>16</v>
      </c>
      <c r="E39" s="5">
        <v>74413.88</v>
      </c>
      <c r="F39" s="5">
        <v>9449</v>
      </c>
      <c r="G39" s="5">
        <v>3.9E-2</v>
      </c>
      <c r="H39" s="5">
        <v>23</v>
      </c>
      <c r="I39" s="5">
        <v>92.1</v>
      </c>
      <c r="J39" s="5">
        <v>2.12</v>
      </c>
      <c r="K39" s="5">
        <v>0</v>
      </c>
      <c r="L39" s="5">
        <v>3.5</v>
      </c>
      <c r="M39" s="5">
        <v>798952.17</v>
      </c>
      <c r="N39" s="5">
        <v>161499.04</v>
      </c>
    </row>
    <row r="40" spans="1:14" ht="15" customHeight="1">
      <c r="A40" s="5" t="s">
        <v>30</v>
      </c>
      <c r="B40" s="5" t="s">
        <v>105</v>
      </c>
      <c r="C40" s="5" t="s">
        <v>20</v>
      </c>
      <c r="D40" s="5" t="s">
        <v>16</v>
      </c>
      <c r="E40" s="5">
        <v>52483.77</v>
      </c>
      <c r="F40" s="5">
        <v>10453</v>
      </c>
      <c r="G40" s="5">
        <v>0.247</v>
      </c>
      <c r="H40" s="5">
        <v>25</v>
      </c>
      <c r="I40" s="5">
        <v>99</v>
      </c>
      <c r="J40" s="5">
        <v>6.31</v>
      </c>
      <c r="K40" s="5">
        <v>0</v>
      </c>
      <c r="L40" s="5">
        <v>3.6</v>
      </c>
      <c r="M40" s="5">
        <v>800979.78</v>
      </c>
      <c r="N40" s="5">
        <v>149242.26999999999</v>
      </c>
    </row>
    <row r="41" spans="1:14" ht="15" customHeight="1">
      <c r="A41" s="5" t="s">
        <v>31</v>
      </c>
      <c r="B41" s="5" t="s">
        <v>102</v>
      </c>
      <c r="C41" s="5" t="s">
        <v>20</v>
      </c>
      <c r="D41" s="5" t="s">
        <v>28</v>
      </c>
      <c r="E41" s="5">
        <v>75269.87</v>
      </c>
      <c r="F41" s="5">
        <v>8838</v>
      </c>
      <c r="G41" s="5">
        <v>9.1999999999999998E-2</v>
      </c>
      <c r="H41" s="5">
        <v>21</v>
      </c>
      <c r="I41" s="5">
        <v>83.1</v>
      </c>
      <c r="J41" s="5">
        <v>9.56</v>
      </c>
      <c r="K41" s="5">
        <v>1</v>
      </c>
      <c r="L41" s="5">
        <v>4.2</v>
      </c>
      <c r="M41" s="5">
        <v>820593.93</v>
      </c>
      <c r="N41" s="5">
        <v>115860.06</v>
      </c>
    </row>
    <row r="42" spans="1:14" ht="15" customHeight="1">
      <c r="A42" s="5" t="s">
        <v>31</v>
      </c>
      <c r="B42" s="5" t="s">
        <v>103</v>
      </c>
      <c r="C42" s="5" t="s">
        <v>20</v>
      </c>
      <c r="D42" s="5" t="s">
        <v>28</v>
      </c>
      <c r="E42" s="5">
        <v>61245.41</v>
      </c>
      <c r="F42" s="5">
        <v>8156</v>
      </c>
      <c r="G42" s="5">
        <v>0.156</v>
      </c>
      <c r="H42" s="5">
        <v>19</v>
      </c>
      <c r="I42" s="5">
        <v>92.9</v>
      </c>
      <c r="J42" s="5">
        <v>9.0500000000000007</v>
      </c>
      <c r="K42" s="5">
        <v>0</v>
      </c>
      <c r="L42" s="5">
        <v>3.8</v>
      </c>
      <c r="M42" s="5">
        <v>718330.53</v>
      </c>
      <c r="N42" s="5">
        <v>93247.9</v>
      </c>
    </row>
    <row r="43" spans="1:14" ht="15" customHeight="1">
      <c r="A43" s="5" t="s">
        <v>31</v>
      </c>
      <c r="B43" s="5" t="s">
        <v>104</v>
      </c>
      <c r="C43" s="5" t="s">
        <v>20</v>
      </c>
      <c r="D43" s="5" t="s">
        <v>28</v>
      </c>
      <c r="E43" s="5">
        <v>93381.26</v>
      </c>
      <c r="F43" s="5">
        <v>7562</v>
      </c>
      <c r="G43" s="5">
        <v>0.19800000000000001</v>
      </c>
      <c r="H43" s="5">
        <v>19</v>
      </c>
      <c r="I43" s="5">
        <v>82.9</v>
      </c>
      <c r="J43" s="5">
        <v>5.05</v>
      </c>
      <c r="K43" s="5">
        <v>0</v>
      </c>
      <c r="L43" s="5">
        <v>4</v>
      </c>
      <c r="M43" s="5">
        <v>736633.4</v>
      </c>
      <c r="N43" s="5">
        <v>115654.66</v>
      </c>
    </row>
    <row r="44" spans="1:14" ht="15" customHeight="1">
      <c r="A44" s="5" t="s">
        <v>31</v>
      </c>
      <c r="B44" s="5" t="s">
        <v>105</v>
      </c>
      <c r="C44" s="5" t="s">
        <v>20</v>
      </c>
      <c r="D44" s="5" t="s">
        <v>28</v>
      </c>
      <c r="E44" s="5">
        <v>65012.19</v>
      </c>
      <c r="F44" s="5">
        <v>9598</v>
      </c>
      <c r="G44" s="5">
        <v>8.5000000000000006E-2</v>
      </c>
      <c r="H44" s="5">
        <v>24</v>
      </c>
      <c r="I44" s="5">
        <v>98.3</v>
      </c>
      <c r="J44" s="5">
        <v>0.89</v>
      </c>
      <c r="K44" s="5">
        <v>0</v>
      </c>
      <c r="L44" s="5">
        <v>3.8</v>
      </c>
      <c r="M44" s="5">
        <v>828623.85</v>
      </c>
      <c r="N44" s="5">
        <v>167320.51999999999</v>
      </c>
    </row>
    <row r="45" spans="1:14" ht="15" customHeight="1">
      <c r="A45" s="5" t="s">
        <v>32</v>
      </c>
      <c r="B45" s="5" t="s">
        <v>102</v>
      </c>
      <c r="C45" s="5" t="s">
        <v>15</v>
      </c>
      <c r="D45" s="5" t="s">
        <v>28</v>
      </c>
      <c r="E45" s="5">
        <v>40462.94</v>
      </c>
      <c r="F45" s="5">
        <v>3660</v>
      </c>
      <c r="G45" s="5">
        <v>0.218</v>
      </c>
      <c r="H45" s="5">
        <v>11</v>
      </c>
      <c r="I45" s="5">
        <v>95.2</v>
      </c>
      <c r="J45" s="5">
        <v>5.57</v>
      </c>
      <c r="K45" s="5">
        <v>0</v>
      </c>
      <c r="L45" s="5">
        <v>4.4000000000000004</v>
      </c>
      <c r="M45" s="5">
        <v>592195.85</v>
      </c>
      <c r="N45" s="5">
        <v>92291.56</v>
      </c>
    </row>
    <row r="46" spans="1:14" ht="15" customHeight="1">
      <c r="A46" s="5" t="s">
        <v>32</v>
      </c>
      <c r="B46" s="5" t="s">
        <v>103</v>
      </c>
      <c r="C46" s="5" t="s">
        <v>15</v>
      </c>
      <c r="D46" s="5" t="s">
        <v>28</v>
      </c>
      <c r="E46" s="5">
        <v>46123.88</v>
      </c>
      <c r="F46" s="5">
        <v>3227</v>
      </c>
      <c r="G46" s="5">
        <v>0.14299999999999999</v>
      </c>
      <c r="H46" s="5">
        <v>10</v>
      </c>
      <c r="I46" s="5">
        <v>75.400000000000006</v>
      </c>
      <c r="J46" s="5">
        <v>1.06</v>
      </c>
      <c r="K46" s="5">
        <v>0</v>
      </c>
      <c r="L46" s="5">
        <v>4.4000000000000004</v>
      </c>
      <c r="M46" s="5">
        <v>532644.46</v>
      </c>
      <c r="N46" s="5">
        <v>60681.32</v>
      </c>
    </row>
    <row r="47" spans="1:14" ht="15" customHeight="1">
      <c r="A47" s="5" t="s">
        <v>32</v>
      </c>
      <c r="B47" s="5" t="s">
        <v>104</v>
      </c>
      <c r="C47" s="5" t="s">
        <v>15</v>
      </c>
      <c r="D47" s="5" t="s">
        <v>28</v>
      </c>
      <c r="E47" s="5">
        <v>68077.539999999994</v>
      </c>
      <c r="F47" s="5">
        <v>3360</v>
      </c>
      <c r="G47" s="5">
        <v>0.128</v>
      </c>
      <c r="H47" s="5">
        <v>14</v>
      </c>
      <c r="I47" s="5">
        <v>88.2</v>
      </c>
      <c r="J47" s="5">
        <v>1.24</v>
      </c>
      <c r="K47" s="5">
        <v>1</v>
      </c>
      <c r="L47" s="5">
        <v>4</v>
      </c>
      <c r="M47" s="5">
        <v>657429.18000000005</v>
      </c>
      <c r="N47" s="5">
        <v>88919.74</v>
      </c>
    </row>
    <row r="48" spans="1:14" ht="15" customHeight="1">
      <c r="A48" s="5" t="s">
        <v>32</v>
      </c>
      <c r="B48" s="5" t="s">
        <v>105</v>
      </c>
      <c r="C48" s="5" t="s">
        <v>15</v>
      </c>
      <c r="D48" s="5" t="s">
        <v>28</v>
      </c>
      <c r="E48" s="5">
        <v>64882.14</v>
      </c>
      <c r="F48" s="5">
        <v>3642</v>
      </c>
      <c r="G48" s="5">
        <v>1.9E-2</v>
      </c>
      <c r="H48" s="5">
        <v>13</v>
      </c>
      <c r="I48" s="5">
        <v>87.8</v>
      </c>
      <c r="J48" s="5">
        <v>4.5199999999999996</v>
      </c>
      <c r="K48" s="5">
        <v>0</v>
      </c>
      <c r="L48" s="5">
        <v>4.2</v>
      </c>
      <c r="M48" s="5">
        <v>605178</v>
      </c>
      <c r="N48" s="5">
        <v>106958.74</v>
      </c>
    </row>
    <row r="49" spans="1:14" ht="15" customHeight="1">
      <c r="A49" s="5" t="s">
        <v>33</v>
      </c>
      <c r="B49" s="5" t="s">
        <v>102</v>
      </c>
      <c r="C49" s="5" t="s">
        <v>27</v>
      </c>
      <c r="D49" s="5" t="s">
        <v>16</v>
      </c>
      <c r="E49" s="5">
        <v>138855.51</v>
      </c>
      <c r="F49" s="5">
        <v>5145</v>
      </c>
      <c r="G49" s="5">
        <v>0.06</v>
      </c>
      <c r="H49" s="5">
        <v>17</v>
      </c>
      <c r="I49" s="5">
        <v>88.2</v>
      </c>
      <c r="J49" s="5">
        <v>9.58</v>
      </c>
      <c r="K49" s="5">
        <v>0</v>
      </c>
      <c r="L49" s="5">
        <v>3.2</v>
      </c>
      <c r="M49" s="5">
        <v>595467.6</v>
      </c>
      <c r="N49" s="5">
        <v>104276.46</v>
      </c>
    </row>
    <row r="50" spans="1:14" ht="15" customHeight="1">
      <c r="A50" s="5" t="s">
        <v>33</v>
      </c>
      <c r="B50" s="5" t="s">
        <v>103</v>
      </c>
      <c r="C50" s="5" t="s">
        <v>27</v>
      </c>
      <c r="D50" s="5" t="s">
        <v>16</v>
      </c>
      <c r="E50" s="5">
        <v>63630.21</v>
      </c>
      <c r="F50" s="5">
        <v>4460</v>
      </c>
      <c r="G50" s="5">
        <v>0.23499999999999999</v>
      </c>
      <c r="H50" s="5">
        <v>14</v>
      </c>
      <c r="I50" s="5">
        <v>98.6</v>
      </c>
      <c r="J50" s="5">
        <v>5.52</v>
      </c>
      <c r="K50" s="5">
        <v>0</v>
      </c>
      <c r="L50" s="5">
        <v>3.5</v>
      </c>
      <c r="M50" s="5">
        <v>599603.4</v>
      </c>
      <c r="N50" s="5">
        <v>112685.12</v>
      </c>
    </row>
    <row r="51" spans="1:14" ht="15" customHeight="1">
      <c r="A51" s="5" t="s">
        <v>33</v>
      </c>
      <c r="B51" s="5" t="s">
        <v>104</v>
      </c>
      <c r="C51" s="5" t="s">
        <v>27</v>
      </c>
      <c r="D51" s="5" t="s">
        <v>16</v>
      </c>
      <c r="E51" s="5">
        <v>50043.65</v>
      </c>
      <c r="F51" s="5">
        <v>3804</v>
      </c>
      <c r="G51" s="5">
        <v>0.113</v>
      </c>
      <c r="H51" s="5">
        <v>11</v>
      </c>
      <c r="I51" s="5">
        <v>90.9</v>
      </c>
      <c r="J51" s="5">
        <v>2.7</v>
      </c>
      <c r="K51" s="5">
        <v>1</v>
      </c>
      <c r="L51" s="5">
        <v>3.2</v>
      </c>
      <c r="M51" s="5">
        <v>614800.09</v>
      </c>
      <c r="N51" s="5">
        <v>100044.2</v>
      </c>
    </row>
    <row r="52" spans="1:14" ht="15" customHeight="1">
      <c r="A52" s="5" t="s">
        <v>33</v>
      </c>
      <c r="B52" s="5" t="s">
        <v>105</v>
      </c>
      <c r="C52" s="5" t="s">
        <v>27</v>
      </c>
      <c r="D52" s="5" t="s">
        <v>16</v>
      </c>
      <c r="E52" s="5">
        <v>42093.84</v>
      </c>
      <c r="F52" s="5">
        <v>4074</v>
      </c>
      <c r="G52" s="5">
        <v>0.155</v>
      </c>
      <c r="H52" s="5">
        <v>15</v>
      </c>
      <c r="I52" s="5">
        <v>88</v>
      </c>
      <c r="J52" s="5">
        <v>9.64</v>
      </c>
      <c r="K52" s="5">
        <v>0</v>
      </c>
      <c r="L52" s="5">
        <v>3.3</v>
      </c>
      <c r="M52" s="5">
        <v>585365.73</v>
      </c>
      <c r="N52" s="5">
        <v>81011.520000000004</v>
      </c>
    </row>
    <row r="53" spans="1:14" ht="15" customHeight="1">
      <c r="A53" s="5" t="s">
        <v>34</v>
      </c>
      <c r="B53" s="5" t="s">
        <v>102</v>
      </c>
      <c r="C53" s="5" t="s">
        <v>20</v>
      </c>
      <c r="D53" s="5" t="s">
        <v>28</v>
      </c>
      <c r="E53" s="5">
        <v>46624.05</v>
      </c>
      <c r="F53" s="5">
        <v>5104</v>
      </c>
      <c r="G53" s="5">
        <v>0.109</v>
      </c>
      <c r="H53" s="5">
        <v>11</v>
      </c>
      <c r="I53" s="5">
        <v>97.3</v>
      </c>
      <c r="J53" s="5">
        <v>3.49</v>
      </c>
      <c r="K53" s="5">
        <v>1</v>
      </c>
      <c r="L53" s="5">
        <v>4.7</v>
      </c>
      <c r="M53" s="5">
        <v>622811.74</v>
      </c>
      <c r="N53" s="5">
        <v>109978.35</v>
      </c>
    </row>
    <row r="54" spans="1:14" ht="15" customHeight="1">
      <c r="A54" s="5" t="s">
        <v>34</v>
      </c>
      <c r="B54" s="5" t="s">
        <v>103</v>
      </c>
      <c r="C54" s="5" t="s">
        <v>20</v>
      </c>
      <c r="D54" s="5" t="s">
        <v>28</v>
      </c>
      <c r="E54" s="5">
        <v>49710.29</v>
      </c>
      <c r="F54" s="5">
        <v>5559</v>
      </c>
      <c r="G54" s="5">
        <v>0.218</v>
      </c>
      <c r="H54" s="5">
        <v>14</v>
      </c>
      <c r="I54" s="5">
        <v>71</v>
      </c>
      <c r="J54" s="5">
        <v>9.11</v>
      </c>
      <c r="K54" s="5">
        <v>0</v>
      </c>
      <c r="L54" s="5">
        <v>4.5999999999999996</v>
      </c>
      <c r="M54" s="5">
        <v>603297.56999999995</v>
      </c>
      <c r="N54" s="5">
        <v>60592.26</v>
      </c>
    </row>
    <row r="55" spans="1:14" ht="15" customHeight="1">
      <c r="A55" s="5" t="s">
        <v>34</v>
      </c>
      <c r="B55" s="5" t="s">
        <v>104</v>
      </c>
      <c r="C55" s="5" t="s">
        <v>20</v>
      </c>
      <c r="D55" s="5" t="s">
        <v>28</v>
      </c>
      <c r="E55" s="5">
        <v>48287.85</v>
      </c>
      <c r="F55" s="5">
        <v>5150</v>
      </c>
      <c r="G55" s="5">
        <v>8.0000000000000002E-3</v>
      </c>
      <c r="H55" s="5">
        <v>12</v>
      </c>
      <c r="I55" s="5">
        <v>80.400000000000006</v>
      </c>
      <c r="J55" s="5">
        <v>7.4</v>
      </c>
      <c r="K55" s="5">
        <v>0</v>
      </c>
      <c r="L55" s="5">
        <v>4.5</v>
      </c>
      <c r="M55" s="5">
        <v>625672.86</v>
      </c>
      <c r="N55" s="5">
        <v>118020.12</v>
      </c>
    </row>
    <row r="56" spans="1:14" ht="15" customHeight="1">
      <c r="A56" s="5" t="s">
        <v>34</v>
      </c>
      <c r="B56" s="5" t="s">
        <v>105</v>
      </c>
      <c r="C56" s="5" t="s">
        <v>20</v>
      </c>
      <c r="D56" s="5" t="s">
        <v>28</v>
      </c>
      <c r="E56" s="5">
        <v>65312.49</v>
      </c>
      <c r="F56" s="5">
        <v>7189</v>
      </c>
      <c r="G56" s="5">
        <v>0.05</v>
      </c>
      <c r="H56" s="5">
        <v>19</v>
      </c>
      <c r="I56" s="5">
        <v>93.7</v>
      </c>
      <c r="J56" s="5">
        <v>7.16</v>
      </c>
      <c r="K56" s="5">
        <v>0</v>
      </c>
      <c r="L56" s="5">
        <v>4.5999999999999996</v>
      </c>
      <c r="M56" s="5">
        <v>773815.14</v>
      </c>
      <c r="N56" s="5">
        <v>133948.39000000001</v>
      </c>
    </row>
    <row r="57" spans="1:14" ht="15" customHeight="1">
      <c r="A57" s="5" t="s">
        <v>35</v>
      </c>
      <c r="B57" s="5" t="s">
        <v>102</v>
      </c>
      <c r="C57" s="5" t="s">
        <v>27</v>
      </c>
      <c r="D57" s="5" t="s">
        <v>18</v>
      </c>
      <c r="E57" s="5">
        <v>53015.46</v>
      </c>
      <c r="F57" s="5">
        <v>3279</v>
      </c>
      <c r="G57" s="5">
        <v>8.6999999999999994E-2</v>
      </c>
      <c r="H57" s="5">
        <v>9</v>
      </c>
      <c r="I57" s="5">
        <v>84.3</v>
      </c>
      <c r="J57" s="5">
        <v>22.02</v>
      </c>
      <c r="K57" s="5">
        <v>0</v>
      </c>
      <c r="L57" s="5">
        <v>3.9</v>
      </c>
      <c r="M57" s="5">
        <v>463534.25</v>
      </c>
      <c r="N57" s="5">
        <v>81834.539999999994</v>
      </c>
    </row>
    <row r="58" spans="1:14" ht="15" customHeight="1">
      <c r="A58" s="5" t="s">
        <v>35</v>
      </c>
      <c r="B58" s="5" t="s">
        <v>103</v>
      </c>
      <c r="C58" s="5" t="s">
        <v>27</v>
      </c>
      <c r="D58" s="5" t="s">
        <v>18</v>
      </c>
      <c r="E58" s="5">
        <v>99874.01</v>
      </c>
      <c r="F58" s="5">
        <v>5887</v>
      </c>
      <c r="G58" s="5">
        <v>0.26200000000000001</v>
      </c>
      <c r="H58" s="5">
        <v>14</v>
      </c>
      <c r="I58" s="5">
        <v>88.7</v>
      </c>
      <c r="J58" s="5">
        <v>6.18</v>
      </c>
      <c r="K58" s="5">
        <v>0</v>
      </c>
      <c r="L58" s="5">
        <v>4.7</v>
      </c>
      <c r="M58" s="5">
        <v>746677.75</v>
      </c>
      <c r="N58" s="5">
        <v>122437.84</v>
      </c>
    </row>
    <row r="59" spans="1:14" ht="15" customHeight="1">
      <c r="A59" s="5" t="s">
        <v>35</v>
      </c>
      <c r="B59" s="5" t="s">
        <v>104</v>
      </c>
      <c r="C59" s="5" t="s">
        <v>27</v>
      </c>
      <c r="D59" s="5" t="s">
        <v>18</v>
      </c>
      <c r="E59" s="5">
        <v>81195.5</v>
      </c>
      <c r="F59" s="5">
        <v>5516</v>
      </c>
      <c r="G59" s="5">
        <v>0.106</v>
      </c>
      <c r="H59" s="5">
        <v>14</v>
      </c>
      <c r="I59" s="5">
        <v>88</v>
      </c>
      <c r="J59" s="5">
        <v>1.76</v>
      </c>
      <c r="K59" s="5">
        <v>0</v>
      </c>
      <c r="L59" s="5">
        <v>4.3</v>
      </c>
      <c r="M59" s="5">
        <v>720852.5</v>
      </c>
      <c r="N59" s="5">
        <v>98565.62</v>
      </c>
    </row>
    <row r="60" spans="1:14" ht="15" customHeight="1">
      <c r="A60" s="5" t="s">
        <v>35</v>
      </c>
      <c r="B60" s="5" t="s">
        <v>105</v>
      </c>
      <c r="C60" s="5" t="s">
        <v>27</v>
      </c>
      <c r="D60" s="5" t="s">
        <v>18</v>
      </c>
      <c r="E60" s="5">
        <v>27808.6</v>
      </c>
      <c r="F60" s="5">
        <v>2863</v>
      </c>
      <c r="G60" s="5">
        <v>0.08</v>
      </c>
      <c r="H60" s="5">
        <v>13</v>
      </c>
      <c r="I60" s="5">
        <v>89.3</v>
      </c>
      <c r="J60" s="5">
        <v>0.47</v>
      </c>
      <c r="K60" s="5">
        <v>0</v>
      </c>
      <c r="L60" s="5">
        <v>4.0999999999999996</v>
      </c>
      <c r="M60" s="5">
        <v>487464.91</v>
      </c>
      <c r="N60" s="5">
        <v>64562.26</v>
      </c>
    </row>
    <row r="61" spans="1:14" ht="15" customHeight="1">
      <c r="A61" s="5" t="s">
        <v>36</v>
      </c>
      <c r="B61" s="5" t="s">
        <v>102</v>
      </c>
      <c r="C61" s="5" t="s">
        <v>15</v>
      </c>
      <c r="D61" s="5" t="s">
        <v>21</v>
      </c>
      <c r="E61" s="5">
        <v>19365.060000000001</v>
      </c>
      <c r="F61" s="5">
        <v>2378</v>
      </c>
      <c r="G61" s="5">
        <v>0</v>
      </c>
      <c r="H61" s="5">
        <v>12</v>
      </c>
      <c r="I61" s="5">
        <v>94.8</v>
      </c>
      <c r="J61" s="5">
        <v>0.2</v>
      </c>
      <c r="K61" s="5">
        <v>0</v>
      </c>
      <c r="L61" s="5">
        <v>3.5</v>
      </c>
      <c r="M61" s="5">
        <v>518049.26</v>
      </c>
      <c r="N61" s="5">
        <v>108592.49</v>
      </c>
    </row>
    <row r="62" spans="1:14" ht="15" customHeight="1">
      <c r="A62" s="5" t="s">
        <v>36</v>
      </c>
      <c r="B62" s="5" t="s">
        <v>103</v>
      </c>
      <c r="C62" s="5" t="s">
        <v>15</v>
      </c>
      <c r="D62" s="5" t="s">
        <v>21</v>
      </c>
      <c r="E62" s="5">
        <v>59405.68</v>
      </c>
      <c r="F62" s="5">
        <v>2515</v>
      </c>
      <c r="G62" s="5">
        <v>3.9E-2</v>
      </c>
      <c r="H62" s="5">
        <v>12</v>
      </c>
      <c r="I62" s="5">
        <v>76</v>
      </c>
      <c r="J62" s="5">
        <v>5.1100000000000003</v>
      </c>
      <c r="K62" s="5">
        <v>0</v>
      </c>
      <c r="L62" s="5">
        <v>3.7</v>
      </c>
      <c r="M62" s="5">
        <v>500298.48</v>
      </c>
      <c r="N62" s="5">
        <v>73461.320000000007</v>
      </c>
    </row>
    <row r="63" spans="1:14" ht="15" customHeight="1">
      <c r="A63" s="5" t="s">
        <v>36</v>
      </c>
      <c r="B63" s="5" t="s">
        <v>104</v>
      </c>
      <c r="C63" s="5" t="s">
        <v>15</v>
      </c>
      <c r="D63" s="5" t="s">
        <v>21</v>
      </c>
      <c r="E63" s="5">
        <v>118910.48</v>
      </c>
      <c r="F63" s="5">
        <v>4022</v>
      </c>
      <c r="G63" s="5">
        <v>0.13700000000000001</v>
      </c>
      <c r="H63" s="5">
        <v>11</v>
      </c>
      <c r="I63" s="5">
        <v>87.1</v>
      </c>
      <c r="J63" s="5">
        <v>0.2</v>
      </c>
      <c r="K63" s="5">
        <v>0</v>
      </c>
      <c r="L63" s="5">
        <v>3.1</v>
      </c>
      <c r="M63" s="5">
        <v>617291.15</v>
      </c>
      <c r="N63" s="5">
        <v>117782</v>
      </c>
    </row>
    <row r="64" spans="1:14" ht="15" customHeight="1">
      <c r="A64" s="5" t="s">
        <v>36</v>
      </c>
      <c r="B64" s="5" t="s">
        <v>105</v>
      </c>
      <c r="C64" s="5" t="s">
        <v>15</v>
      </c>
      <c r="D64" s="5" t="s">
        <v>21</v>
      </c>
      <c r="E64" s="5">
        <v>52952.12</v>
      </c>
      <c r="F64" s="5">
        <v>4377</v>
      </c>
      <c r="G64" s="5">
        <v>9.1999999999999998E-2</v>
      </c>
      <c r="H64" s="5">
        <v>14</v>
      </c>
      <c r="I64" s="5">
        <v>88.6</v>
      </c>
      <c r="J64" s="5">
        <v>13.59</v>
      </c>
      <c r="K64" s="5">
        <v>0</v>
      </c>
      <c r="L64" s="5">
        <v>3.1</v>
      </c>
      <c r="M64" s="5">
        <v>553756.43000000005</v>
      </c>
      <c r="N64" s="5">
        <v>86166.77</v>
      </c>
    </row>
    <row r="65" spans="1:14" ht="15" customHeight="1">
      <c r="A65" s="5" t="s">
        <v>37</v>
      </c>
      <c r="B65" s="5" t="s">
        <v>102</v>
      </c>
      <c r="C65" s="5" t="s">
        <v>24</v>
      </c>
      <c r="D65" s="5" t="s">
        <v>18</v>
      </c>
      <c r="E65" s="5">
        <v>74907.98</v>
      </c>
      <c r="F65" s="5">
        <v>5306</v>
      </c>
      <c r="G65" s="5">
        <v>6.2E-2</v>
      </c>
      <c r="H65" s="5">
        <v>16</v>
      </c>
      <c r="I65" s="5">
        <v>95.6</v>
      </c>
      <c r="J65" s="5">
        <v>1.02</v>
      </c>
      <c r="K65" s="5">
        <v>0</v>
      </c>
      <c r="L65" s="5">
        <v>3.7</v>
      </c>
      <c r="M65" s="5">
        <v>749559.71</v>
      </c>
      <c r="N65" s="5">
        <v>144522.53</v>
      </c>
    </row>
    <row r="66" spans="1:14" ht="15" customHeight="1">
      <c r="A66" s="5" t="s">
        <v>37</v>
      </c>
      <c r="B66" s="5" t="s">
        <v>103</v>
      </c>
      <c r="C66" s="5" t="s">
        <v>24</v>
      </c>
      <c r="D66" s="5" t="s">
        <v>18</v>
      </c>
      <c r="E66" s="5">
        <v>37284.660000000003</v>
      </c>
      <c r="F66" s="5">
        <v>3928</v>
      </c>
      <c r="G66" s="5">
        <v>7.3999999999999996E-2</v>
      </c>
      <c r="H66" s="5">
        <v>12</v>
      </c>
      <c r="I66" s="5">
        <v>86.5</v>
      </c>
      <c r="J66" s="5">
        <v>1.64</v>
      </c>
      <c r="K66" s="5">
        <v>0</v>
      </c>
      <c r="L66" s="5">
        <v>3.8</v>
      </c>
      <c r="M66" s="5">
        <v>615966.48</v>
      </c>
      <c r="N66" s="5">
        <v>91509.38</v>
      </c>
    </row>
    <row r="67" spans="1:14" ht="15" customHeight="1">
      <c r="A67" s="5" t="s">
        <v>37</v>
      </c>
      <c r="B67" s="5" t="s">
        <v>104</v>
      </c>
      <c r="C67" s="5" t="s">
        <v>24</v>
      </c>
      <c r="D67" s="5" t="s">
        <v>18</v>
      </c>
      <c r="E67" s="5">
        <v>50343.19</v>
      </c>
      <c r="F67" s="5">
        <v>3845</v>
      </c>
      <c r="G67" s="5">
        <v>0.113</v>
      </c>
      <c r="H67" s="5">
        <v>9</v>
      </c>
      <c r="I67" s="5">
        <v>88.7</v>
      </c>
      <c r="J67" s="5">
        <v>5.15</v>
      </c>
      <c r="K67" s="5">
        <v>0</v>
      </c>
      <c r="L67" s="5">
        <v>3.3</v>
      </c>
      <c r="M67" s="5">
        <v>572011.19999999995</v>
      </c>
      <c r="N67" s="5">
        <v>101409.68</v>
      </c>
    </row>
    <row r="68" spans="1:14" ht="15" customHeight="1">
      <c r="A68" s="5" t="s">
        <v>37</v>
      </c>
      <c r="B68" s="5" t="s">
        <v>105</v>
      </c>
      <c r="C68" s="5" t="s">
        <v>24</v>
      </c>
      <c r="D68" s="5" t="s">
        <v>18</v>
      </c>
      <c r="E68" s="5">
        <v>74954.47</v>
      </c>
      <c r="F68" s="5">
        <v>6620</v>
      </c>
      <c r="G68" s="5">
        <v>5.3999999999999999E-2</v>
      </c>
      <c r="H68" s="5">
        <v>17</v>
      </c>
      <c r="I68" s="5">
        <v>91.1</v>
      </c>
      <c r="J68" s="5">
        <v>1.1100000000000001</v>
      </c>
      <c r="K68" s="5">
        <v>0</v>
      </c>
      <c r="L68" s="5">
        <v>3.5</v>
      </c>
      <c r="M68" s="5">
        <v>761860.19</v>
      </c>
      <c r="N68" s="5">
        <v>133279.38</v>
      </c>
    </row>
    <row r="69" spans="1:14" ht="15" customHeight="1">
      <c r="A69" s="5" t="s">
        <v>38</v>
      </c>
      <c r="B69" s="5" t="s">
        <v>102</v>
      </c>
      <c r="C69" s="5" t="s">
        <v>27</v>
      </c>
      <c r="D69" s="5" t="s">
        <v>18</v>
      </c>
      <c r="E69" s="5">
        <v>70040.31</v>
      </c>
      <c r="F69" s="5">
        <v>9175</v>
      </c>
      <c r="G69" s="5">
        <v>0.107</v>
      </c>
      <c r="H69" s="5">
        <v>23</v>
      </c>
      <c r="I69" s="5">
        <v>95.1</v>
      </c>
      <c r="J69" s="5">
        <v>6.08</v>
      </c>
      <c r="K69" s="5">
        <v>1</v>
      </c>
      <c r="L69" s="5">
        <v>3.4</v>
      </c>
      <c r="M69" s="5">
        <v>784502.68</v>
      </c>
      <c r="N69" s="5">
        <v>129519.72</v>
      </c>
    </row>
    <row r="70" spans="1:14" ht="15" customHeight="1">
      <c r="A70" s="5" t="s">
        <v>38</v>
      </c>
      <c r="B70" s="5" t="s">
        <v>103</v>
      </c>
      <c r="C70" s="5" t="s">
        <v>27</v>
      </c>
      <c r="D70" s="5" t="s">
        <v>18</v>
      </c>
      <c r="E70" s="5">
        <v>51148.69</v>
      </c>
      <c r="F70" s="5">
        <v>7940</v>
      </c>
      <c r="G70" s="5">
        <v>0.156</v>
      </c>
      <c r="H70" s="5">
        <v>18</v>
      </c>
      <c r="I70" s="5">
        <v>93.3</v>
      </c>
      <c r="J70" s="5">
        <v>10.91</v>
      </c>
      <c r="K70" s="5">
        <v>0</v>
      </c>
      <c r="L70" s="5">
        <v>3.6</v>
      </c>
      <c r="M70" s="5">
        <v>717141.55</v>
      </c>
      <c r="N70" s="5">
        <v>134013.60999999999</v>
      </c>
    </row>
    <row r="71" spans="1:14" ht="15" customHeight="1">
      <c r="A71" s="5" t="s">
        <v>38</v>
      </c>
      <c r="B71" s="5" t="s">
        <v>104</v>
      </c>
      <c r="C71" s="5" t="s">
        <v>27</v>
      </c>
      <c r="D71" s="5" t="s">
        <v>18</v>
      </c>
      <c r="E71" s="5">
        <v>79346.100000000006</v>
      </c>
      <c r="F71" s="5">
        <v>9628</v>
      </c>
      <c r="G71" s="5">
        <v>0.10199999999999999</v>
      </c>
      <c r="H71" s="5">
        <v>20</v>
      </c>
      <c r="I71" s="5">
        <v>99</v>
      </c>
      <c r="J71" s="5">
        <v>19.010000000000002</v>
      </c>
      <c r="K71" s="5">
        <v>1</v>
      </c>
      <c r="L71" s="5">
        <v>3.2</v>
      </c>
      <c r="M71" s="5">
        <v>685379.08</v>
      </c>
      <c r="N71" s="5">
        <v>106898.82</v>
      </c>
    </row>
    <row r="72" spans="1:14" ht="15" customHeight="1">
      <c r="A72" s="5" t="s">
        <v>38</v>
      </c>
      <c r="B72" s="5" t="s">
        <v>105</v>
      </c>
      <c r="C72" s="5" t="s">
        <v>27</v>
      </c>
      <c r="D72" s="5" t="s">
        <v>18</v>
      </c>
      <c r="E72" s="5">
        <v>42018.400000000001</v>
      </c>
      <c r="F72" s="5">
        <v>8296</v>
      </c>
      <c r="G72" s="5">
        <v>0.115</v>
      </c>
      <c r="H72" s="5">
        <v>17</v>
      </c>
      <c r="I72" s="5">
        <v>91.8</v>
      </c>
      <c r="J72" s="5">
        <v>0.77</v>
      </c>
      <c r="K72" s="5">
        <v>0</v>
      </c>
      <c r="L72" s="5">
        <v>3.4</v>
      </c>
      <c r="M72" s="5">
        <v>740496.65</v>
      </c>
      <c r="N72" s="5">
        <v>128020.9</v>
      </c>
    </row>
    <row r="73" spans="1:14" ht="15" customHeight="1">
      <c r="A73" s="5" t="s">
        <v>39</v>
      </c>
      <c r="B73" s="5" t="s">
        <v>102</v>
      </c>
      <c r="C73" s="5" t="s">
        <v>15</v>
      </c>
      <c r="D73" s="5" t="s">
        <v>18</v>
      </c>
      <c r="E73" s="5">
        <v>70937.240000000005</v>
      </c>
      <c r="F73" s="5">
        <v>3595</v>
      </c>
      <c r="G73" s="5">
        <v>0.14099999999999999</v>
      </c>
      <c r="H73" s="5">
        <v>11</v>
      </c>
      <c r="I73" s="5">
        <v>88.9</v>
      </c>
      <c r="J73" s="5">
        <v>2.83</v>
      </c>
      <c r="K73" s="5">
        <v>1</v>
      </c>
      <c r="L73" s="5">
        <v>3.3</v>
      </c>
      <c r="M73" s="5">
        <v>661927.14</v>
      </c>
      <c r="N73" s="5">
        <v>79218.570000000007</v>
      </c>
    </row>
    <row r="74" spans="1:14" ht="15" customHeight="1">
      <c r="A74" s="5" t="s">
        <v>39</v>
      </c>
      <c r="B74" s="5" t="s">
        <v>103</v>
      </c>
      <c r="C74" s="5" t="s">
        <v>15</v>
      </c>
      <c r="D74" s="5" t="s">
        <v>18</v>
      </c>
      <c r="E74" s="5">
        <v>36813.449999999997</v>
      </c>
      <c r="F74" s="5">
        <v>2834</v>
      </c>
      <c r="G74" s="5">
        <v>0.191</v>
      </c>
      <c r="H74" s="5">
        <v>11</v>
      </c>
      <c r="I74" s="5">
        <v>81.8</v>
      </c>
      <c r="J74" s="5">
        <v>2.33</v>
      </c>
      <c r="K74" s="5">
        <v>0</v>
      </c>
      <c r="L74" s="5">
        <v>3.3</v>
      </c>
      <c r="M74" s="5">
        <v>479050.5</v>
      </c>
      <c r="N74" s="5">
        <v>53651.11</v>
      </c>
    </row>
    <row r="75" spans="1:14" ht="15" customHeight="1">
      <c r="A75" s="5" t="s">
        <v>39</v>
      </c>
      <c r="B75" s="5" t="s">
        <v>104</v>
      </c>
      <c r="C75" s="5" t="s">
        <v>15</v>
      </c>
      <c r="D75" s="5" t="s">
        <v>18</v>
      </c>
      <c r="E75" s="5">
        <v>60571.82</v>
      </c>
      <c r="F75" s="5">
        <v>3193</v>
      </c>
      <c r="G75" s="5">
        <v>0.19700000000000001</v>
      </c>
      <c r="H75" s="5">
        <v>7</v>
      </c>
      <c r="I75" s="5">
        <v>99</v>
      </c>
      <c r="J75" s="5">
        <v>1.43</v>
      </c>
      <c r="K75" s="5">
        <v>0</v>
      </c>
      <c r="L75" s="5">
        <v>3.2</v>
      </c>
      <c r="M75" s="5">
        <v>605023.87</v>
      </c>
      <c r="N75" s="5">
        <v>98545.81</v>
      </c>
    </row>
    <row r="76" spans="1:14" ht="15" customHeight="1">
      <c r="A76" s="5" t="s">
        <v>39</v>
      </c>
      <c r="B76" s="5" t="s">
        <v>105</v>
      </c>
      <c r="C76" s="5" t="s">
        <v>15</v>
      </c>
      <c r="D76" s="5" t="s">
        <v>18</v>
      </c>
      <c r="E76" s="5">
        <v>55081.16</v>
      </c>
      <c r="F76" s="5">
        <v>5485</v>
      </c>
      <c r="G76" s="5">
        <v>3.5999999999999997E-2</v>
      </c>
      <c r="H76" s="5">
        <v>12</v>
      </c>
      <c r="I76" s="5">
        <v>88</v>
      </c>
      <c r="J76" s="5">
        <v>3.3650000000000002</v>
      </c>
      <c r="K76" s="5">
        <v>0</v>
      </c>
      <c r="L76" s="5">
        <v>3.5</v>
      </c>
      <c r="M76" s="5">
        <v>674774.09</v>
      </c>
      <c r="N76" s="5">
        <v>141917.59</v>
      </c>
    </row>
    <row r="77" spans="1:14" ht="15" customHeight="1">
      <c r="A77" s="5" t="s">
        <v>40</v>
      </c>
      <c r="B77" s="5" t="s">
        <v>102</v>
      </c>
      <c r="C77" s="5" t="s">
        <v>15</v>
      </c>
      <c r="D77" s="5" t="s">
        <v>16</v>
      </c>
      <c r="E77" s="5">
        <v>46201.46</v>
      </c>
      <c r="F77" s="5">
        <v>5918</v>
      </c>
      <c r="G77" s="5">
        <v>0.27700000000000002</v>
      </c>
      <c r="H77" s="5">
        <v>13</v>
      </c>
      <c r="I77" s="5">
        <v>78.8</v>
      </c>
      <c r="J77" s="5">
        <v>4.91</v>
      </c>
      <c r="K77" s="5">
        <v>0</v>
      </c>
      <c r="L77" s="5">
        <v>4.5</v>
      </c>
      <c r="M77" s="5">
        <v>616069.41</v>
      </c>
      <c r="N77" s="5">
        <v>54453.99</v>
      </c>
    </row>
    <row r="78" spans="1:14" ht="15" customHeight="1">
      <c r="A78" s="5" t="s">
        <v>40</v>
      </c>
      <c r="B78" s="5" t="s">
        <v>103</v>
      </c>
      <c r="C78" s="5" t="s">
        <v>15</v>
      </c>
      <c r="D78" s="5" t="s">
        <v>16</v>
      </c>
      <c r="E78" s="5">
        <v>53762.92</v>
      </c>
      <c r="F78" s="5">
        <v>6821</v>
      </c>
      <c r="G78" s="5">
        <v>6.6000000000000003E-2</v>
      </c>
      <c r="H78" s="5">
        <v>19</v>
      </c>
      <c r="I78" s="5">
        <v>94.6</v>
      </c>
      <c r="J78" s="5">
        <v>7.03</v>
      </c>
      <c r="K78" s="5">
        <v>0</v>
      </c>
      <c r="L78" s="5">
        <v>4.4000000000000004</v>
      </c>
      <c r="M78" s="5">
        <v>630829.93999999994</v>
      </c>
      <c r="N78" s="5">
        <v>117090.02</v>
      </c>
    </row>
    <row r="79" spans="1:14" ht="15" customHeight="1">
      <c r="A79" s="5" t="s">
        <v>40</v>
      </c>
      <c r="B79" s="5" t="s">
        <v>104</v>
      </c>
      <c r="C79" s="5" t="s">
        <v>15</v>
      </c>
      <c r="D79" s="5" t="s">
        <v>16</v>
      </c>
      <c r="E79" s="5">
        <v>70144.78</v>
      </c>
      <c r="F79" s="5">
        <v>6806</v>
      </c>
      <c r="G79" s="5">
        <v>0.17799999999999999</v>
      </c>
      <c r="H79" s="5">
        <v>20</v>
      </c>
      <c r="I79" s="5">
        <v>93.1</v>
      </c>
      <c r="J79" s="5">
        <v>0.28000000000000003</v>
      </c>
      <c r="K79" s="5">
        <v>1</v>
      </c>
      <c r="L79" s="5">
        <v>4.3</v>
      </c>
      <c r="M79" s="5">
        <v>788087.68</v>
      </c>
      <c r="N79" s="5">
        <v>116803.42</v>
      </c>
    </row>
    <row r="80" spans="1:14" ht="15" customHeight="1">
      <c r="A80" s="5" t="s">
        <v>40</v>
      </c>
      <c r="B80" s="5" t="s">
        <v>105</v>
      </c>
      <c r="C80" s="5" t="s">
        <v>15</v>
      </c>
      <c r="D80" s="5" t="s">
        <v>16</v>
      </c>
      <c r="E80" s="5">
        <v>58749.63</v>
      </c>
      <c r="F80" s="5">
        <v>8252</v>
      </c>
      <c r="G80" s="5">
        <v>0.20300000000000001</v>
      </c>
      <c r="H80" s="5">
        <v>20</v>
      </c>
      <c r="I80" s="5">
        <v>85.2</v>
      </c>
      <c r="J80" s="5">
        <v>3.61</v>
      </c>
      <c r="K80" s="5">
        <v>0</v>
      </c>
      <c r="L80" s="5">
        <v>4.5</v>
      </c>
      <c r="M80" s="5">
        <v>680840.36</v>
      </c>
      <c r="N80" s="5">
        <v>68007.679999999993</v>
      </c>
    </row>
    <row r="81" spans="1:14" ht="15" customHeight="1">
      <c r="A81" s="5" t="s">
        <v>41</v>
      </c>
      <c r="B81" s="5" t="s">
        <v>102</v>
      </c>
      <c r="C81" s="5" t="s">
        <v>24</v>
      </c>
      <c r="D81" s="5" t="s">
        <v>18</v>
      </c>
      <c r="E81" s="5">
        <v>56973.18</v>
      </c>
      <c r="F81" s="5">
        <v>6662</v>
      </c>
      <c r="G81" s="5">
        <v>0.1</v>
      </c>
      <c r="H81" s="5">
        <v>15</v>
      </c>
      <c r="I81" s="5">
        <v>77.7</v>
      </c>
      <c r="J81" s="5">
        <v>7.52</v>
      </c>
      <c r="K81" s="5">
        <v>1</v>
      </c>
      <c r="L81" s="5">
        <v>3.2</v>
      </c>
      <c r="M81" s="5">
        <v>643657.47</v>
      </c>
      <c r="N81" s="5">
        <v>87022.45</v>
      </c>
    </row>
    <row r="82" spans="1:14" ht="15" customHeight="1">
      <c r="A82" s="5" t="s">
        <v>41</v>
      </c>
      <c r="B82" s="5" t="s">
        <v>103</v>
      </c>
      <c r="C82" s="5" t="s">
        <v>24</v>
      </c>
      <c r="D82" s="5" t="s">
        <v>18</v>
      </c>
      <c r="E82" s="5">
        <v>54872.82</v>
      </c>
      <c r="F82" s="5">
        <v>5962</v>
      </c>
      <c r="G82" s="5">
        <v>6.4000000000000001E-2</v>
      </c>
      <c r="H82" s="5">
        <v>12</v>
      </c>
      <c r="I82" s="5">
        <v>85.4</v>
      </c>
      <c r="J82" s="5">
        <v>2.58</v>
      </c>
      <c r="K82" s="5">
        <v>0</v>
      </c>
      <c r="L82" s="5">
        <v>2.9</v>
      </c>
      <c r="M82" s="5">
        <v>691112.6</v>
      </c>
      <c r="N82" s="5">
        <v>109212.83</v>
      </c>
    </row>
    <row r="83" spans="1:14" ht="15" customHeight="1">
      <c r="A83" s="5" t="s">
        <v>41</v>
      </c>
      <c r="B83" s="5" t="s">
        <v>104</v>
      </c>
      <c r="C83" s="5" t="s">
        <v>24</v>
      </c>
      <c r="D83" s="5" t="s">
        <v>18</v>
      </c>
      <c r="E83" s="5">
        <v>80562.81</v>
      </c>
      <c r="F83" s="5">
        <v>7470</v>
      </c>
      <c r="G83" s="5">
        <v>0.17199999999999999</v>
      </c>
      <c r="H83" s="5">
        <v>16</v>
      </c>
      <c r="I83" s="5">
        <v>83.5</v>
      </c>
      <c r="J83" s="5">
        <v>2.29</v>
      </c>
      <c r="K83" s="5">
        <v>0</v>
      </c>
      <c r="L83" s="5">
        <v>3.3</v>
      </c>
      <c r="M83" s="5">
        <v>776922.17</v>
      </c>
      <c r="N83" s="5">
        <v>150701.93</v>
      </c>
    </row>
    <row r="84" spans="1:14" ht="15" customHeight="1">
      <c r="A84" s="5" t="s">
        <v>41</v>
      </c>
      <c r="B84" s="5" t="s">
        <v>105</v>
      </c>
      <c r="C84" s="5" t="s">
        <v>24</v>
      </c>
      <c r="D84" s="5" t="s">
        <v>18</v>
      </c>
      <c r="E84" s="5">
        <v>77999.899999999994</v>
      </c>
      <c r="F84" s="5">
        <v>5974</v>
      </c>
      <c r="G84" s="5">
        <v>0.252</v>
      </c>
      <c r="H84" s="5">
        <v>14</v>
      </c>
      <c r="I84" s="5">
        <v>81.3</v>
      </c>
      <c r="J84" s="5">
        <v>2.39</v>
      </c>
      <c r="K84" s="5">
        <v>0</v>
      </c>
      <c r="L84" s="5">
        <v>3.2</v>
      </c>
      <c r="M84" s="5">
        <v>636561.34</v>
      </c>
      <c r="N84" s="5">
        <v>93861.06</v>
      </c>
    </row>
    <row r="85" spans="1:14" ht="15" customHeight="1">
      <c r="A85" s="5" t="s">
        <v>42</v>
      </c>
      <c r="B85" s="5" t="s">
        <v>102</v>
      </c>
      <c r="C85" s="5" t="s">
        <v>27</v>
      </c>
      <c r="D85" s="5" t="s">
        <v>28</v>
      </c>
      <c r="E85" s="5">
        <v>60881.01</v>
      </c>
      <c r="F85" s="5">
        <v>5410</v>
      </c>
      <c r="G85" s="5">
        <v>0.17899999999999999</v>
      </c>
      <c r="H85" s="5">
        <v>15</v>
      </c>
      <c r="I85" s="5">
        <v>83.9</v>
      </c>
      <c r="J85" s="5">
        <v>5.24</v>
      </c>
      <c r="K85" s="5">
        <v>0</v>
      </c>
      <c r="L85" s="5">
        <v>4.5999999999999996</v>
      </c>
      <c r="M85" s="5">
        <v>621369.57999999996</v>
      </c>
      <c r="N85" s="5">
        <v>85493.64</v>
      </c>
    </row>
    <row r="86" spans="1:14" ht="15" customHeight="1">
      <c r="A86" s="5" t="s">
        <v>42</v>
      </c>
      <c r="B86" s="5" t="s">
        <v>103</v>
      </c>
      <c r="C86" s="5" t="s">
        <v>27</v>
      </c>
      <c r="D86" s="5" t="s">
        <v>28</v>
      </c>
      <c r="E86" s="5">
        <v>60628.38</v>
      </c>
      <c r="F86" s="5">
        <v>4451</v>
      </c>
      <c r="G86" s="5">
        <v>9.5000000000000001E-2</v>
      </c>
      <c r="H86" s="5">
        <v>10</v>
      </c>
      <c r="I86" s="5">
        <v>89.6</v>
      </c>
      <c r="J86" s="5">
        <v>3.17</v>
      </c>
      <c r="K86" s="5">
        <v>0</v>
      </c>
      <c r="L86" s="5">
        <v>4.5999999999999996</v>
      </c>
      <c r="M86" s="5">
        <v>682208.01</v>
      </c>
      <c r="N86" s="5">
        <v>110318.84</v>
      </c>
    </row>
    <row r="87" spans="1:14" ht="15" customHeight="1">
      <c r="A87" s="5" t="s">
        <v>42</v>
      </c>
      <c r="B87" s="5" t="s">
        <v>104</v>
      </c>
      <c r="C87" s="5" t="s">
        <v>27</v>
      </c>
      <c r="D87" s="5" t="s">
        <v>28</v>
      </c>
      <c r="E87" s="5">
        <v>72731.14</v>
      </c>
      <c r="F87" s="5">
        <v>4644</v>
      </c>
      <c r="G87" s="5">
        <v>8.4000000000000005E-2</v>
      </c>
      <c r="H87" s="5">
        <v>15</v>
      </c>
      <c r="I87" s="5">
        <v>87.1</v>
      </c>
      <c r="J87" s="5">
        <v>2.66</v>
      </c>
      <c r="K87" s="5">
        <v>0</v>
      </c>
      <c r="L87" s="5">
        <v>4.5999999999999996</v>
      </c>
      <c r="M87" s="5">
        <v>727241.86</v>
      </c>
      <c r="N87" s="5">
        <v>155810.29999999999</v>
      </c>
    </row>
    <row r="88" spans="1:14" ht="15" customHeight="1">
      <c r="A88" s="5" t="s">
        <v>42</v>
      </c>
      <c r="B88" s="5" t="s">
        <v>105</v>
      </c>
      <c r="C88" s="5" t="s">
        <v>27</v>
      </c>
      <c r="D88" s="5" t="s">
        <v>28</v>
      </c>
      <c r="E88" s="5">
        <v>36475.71</v>
      </c>
      <c r="F88" s="5">
        <v>3559</v>
      </c>
      <c r="G88" s="5">
        <v>0.03</v>
      </c>
      <c r="H88" s="5">
        <v>8</v>
      </c>
      <c r="I88" s="5">
        <v>83.6</v>
      </c>
      <c r="J88" s="5">
        <v>1.41</v>
      </c>
      <c r="K88" s="5">
        <v>0</v>
      </c>
      <c r="L88" s="5">
        <v>4.2</v>
      </c>
      <c r="M88" s="5">
        <v>569100.78</v>
      </c>
      <c r="N88" s="5">
        <v>104808.78</v>
      </c>
    </row>
    <row r="89" spans="1:14" ht="15" customHeight="1">
      <c r="A89" s="5" t="s">
        <v>43</v>
      </c>
      <c r="B89" s="5" t="s">
        <v>102</v>
      </c>
      <c r="C89" s="5" t="s">
        <v>27</v>
      </c>
      <c r="D89" s="5" t="s">
        <v>18</v>
      </c>
      <c r="E89" s="5">
        <v>55388.11</v>
      </c>
      <c r="F89" s="5">
        <v>3091</v>
      </c>
      <c r="G89" s="5">
        <v>0.108</v>
      </c>
      <c r="H89" s="5">
        <v>7</v>
      </c>
      <c r="I89" s="5">
        <v>85.4</v>
      </c>
      <c r="J89" s="5">
        <v>7.34</v>
      </c>
      <c r="K89" s="5">
        <v>0</v>
      </c>
      <c r="L89" s="5">
        <v>4.9000000000000004</v>
      </c>
      <c r="M89" s="5">
        <v>574436.29</v>
      </c>
      <c r="N89" s="5">
        <v>80271.990000000005</v>
      </c>
    </row>
    <row r="90" spans="1:14" ht="15" customHeight="1">
      <c r="A90" s="5" t="s">
        <v>43</v>
      </c>
      <c r="B90" s="5" t="s">
        <v>103</v>
      </c>
      <c r="C90" s="5" t="s">
        <v>27</v>
      </c>
      <c r="D90" s="5" t="s">
        <v>18</v>
      </c>
      <c r="E90" s="5">
        <v>88443.77</v>
      </c>
      <c r="F90" s="5">
        <v>4004</v>
      </c>
      <c r="G90" s="5">
        <v>0.20599999999999999</v>
      </c>
      <c r="H90" s="5">
        <v>11</v>
      </c>
      <c r="I90" s="5">
        <v>91.9</v>
      </c>
      <c r="J90" s="5">
        <v>5.95</v>
      </c>
      <c r="K90" s="5">
        <v>0</v>
      </c>
      <c r="L90" s="5">
        <v>3.9</v>
      </c>
      <c r="M90" s="5">
        <v>611766.72</v>
      </c>
      <c r="N90" s="5">
        <v>88275.61</v>
      </c>
    </row>
    <row r="91" spans="1:14" ht="15" customHeight="1">
      <c r="A91" s="5" t="s">
        <v>43</v>
      </c>
      <c r="B91" s="5" t="s">
        <v>104</v>
      </c>
      <c r="C91" s="5" t="s">
        <v>27</v>
      </c>
      <c r="D91" s="5" t="s">
        <v>18</v>
      </c>
      <c r="E91" s="5">
        <v>78231.91</v>
      </c>
      <c r="F91" s="5">
        <v>3788</v>
      </c>
      <c r="G91" s="5">
        <v>5.8999999999999997E-2</v>
      </c>
      <c r="H91" s="5">
        <v>11</v>
      </c>
      <c r="I91" s="5">
        <v>88.5</v>
      </c>
      <c r="J91" s="5">
        <v>15.51</v>
      </c>
      <c r="K91" s="5">
        <v>0</v>
      </c>
      <c r="L91" s="5">
        <v>4.3</v>
      </c>
      <c r="M91" s="5">
        <v>614596.31999999995</v>
      </c>
      <c r="N91" s="5">
        <v>131199.41</v>
      </c>
    </row>
    <row r="92" spans="1:14" ht="15" customHeight="1">
      <c r="A92" s="5" t="s">
        <v>43</v>
      </c>
      <c r="B92" s="5" t="s">
        <v>105</v>
      </c>
      <c r="C92" s="5" t="s">
        <v>27</v>
      </c>
      <c r="D92" s="5" t="s">
        <v>18</v>
      </c>
      <c r="E92" s="5">
        <v>18996.32</v>
      </c>
      <c r="F92" s="5">
        <v>1260</v>
      </c>
      <c r="G92" s="5">
        <v>0.14499999999999999</v>
      </c>
      <c r="H92" s="5">
        <v>9</v>
      </c>
      <c r="I92" s="5">
        <v>86.4</v>
      </c>
      <c r="J92" s="5">
        <v>4.3099999999999996</v>
      </c>
      <c r="K92" s="5">
        <v>0</v>
      </c>
      <c r="L92" s="5">
        <v>4.5999999999999996</v>
      </c>
      <c r="M92" s="5">
        <v>450711.92</v>
      </c>
      <c r="N92" s="5">
        <v>90043.76</v>
      </c>
    </row>
    <row r="93" spans="1:14" ht="15" customHeight="1">
      <c r="A93" s="5" t="s">
        <v>44</v>
      </c>
      <c r="B93" s="5" t="s">
        <v>102</v>
      </c>
      <c r="C93" s="5" t="s">
        <v>24</v>
      </c>
      <c r="D93" s="5" t="s">
        <v>28</v>
      </c>
      <c r="E93" s="5">
        <v>50517.94</v>
      </c>
      <c r="F93" s="5">
        <v>7024</v>
      </c>
      <c r="G93" s="5">
        <v>2.9000000000000001E-2</v>
      </c>
      <c r="H93" s="5">
        <v>18</v>
      </c>
      <c r="I93" s="5">
        <v>79.2</v>
      </c>
      <c r="J93" s="5">
        <v>6.61</v>
      </c>
      <c r="K93" s="5">
        <v>1</v>
      </c>
      <c r="L93" s="5">
        <v>4.0999999999999996</v>
      </c>
      <c r="M93" s="5">
        <v>711213.46</v>
      </c>
      <c r="N93" s="5">
        <v>105863.26</v>
      </c>
    </row>
    <row r="94" spans="1:14" ht="15" customHeight="1">
      <c r="A94" s="5" t="s">
        <v>44</v>
      </c>
      <c r="B94" s="5" t="s">
        <v>103</v>
      </c>
      <c r="C94" s="5" t="s">
        <v>24</v>
      </c>
      <c r="D94" s="5" t="s">
        <v>28</v>
      </c>
      <c r="E94" s="5">
        <v>141540.29</v>
      </c>
      <c r="F94" s="5">
        <v>5400</v>
      </c>
      <c r="G94" s="5">
        <v>1.2999999999999999E-2</v>
      </c>
      <c r="H94" s="5">
        <v>12</v>
      </c>
      <c r="I94" s="5">
        <v>87</v>
      </c>
      <c r="J94" s="5">
        <v>4.26</v>
      </c>
      <c r="K94" s="5">
        <v>0</v>
      </c>
      <c r="L94" s="5">
        <v>4.5</v>
      </c>
      <c r="M94" s="5">
        <v>627171.9</v>
      </c>
      <c r="N94" s="5">
        <v>105772.75</v>
      </c>
    </row>
    <row r="95" spans="1:14" ht="15" customHeight="1">
      <c r="A95" s="5" t="s">
        <v>44</v>
      </c>
      <c r="B95" s="5" t="s">
        <v>104</v>
      </c>
      <c r="C95" s="5" t="s">
        <v>24</v>
      </c>
      <c r="D95" s="5" t="s">
        <v>28</v>
      </c>
      <c r="E95" s="5">
        <v>82116.19</v>
      </c>
      <c r="F95" s="5">
        <v>5988</v>
      </c>
      <c r="G95" s="5">
        <v>0.04</v>
      </c>
      <c r="H95" s="5">
        <v>17</v>
      </c>
      <c r="I95" s="5">
        <v>91.8</v>
      </c>
      <c r="J95" s="5">
        <v>5.75</v>
      </c>
      <c r="K95" s="5">
        <v>0</v>
      </c>
      <c r="L95" s="5">
        <v>4.7</v>
      </c>
      <c r="M95" s="5">
        <v>739852.58</v>
      </c>
      <c r="N95" s="5">
        <v>129386.43</v>
      </c>
    </row>
    <row r="96" spans="1:14" ht="15" customHeight="1">
      <c r="A96" s="5" t="s">
        <v>44</v>
      </c>
      <c r="B96" s="5" t="s">
        <v>105</v>
      </c>
      <c r="C96" s="5" t="s">
        <v>24</v>
      </c>
      <c r="D96" s="5" t="s">
        <v>28</v>
      </c>
      <c r="E96" s="5">
        <v>31207.51</v>
      </c>
      <c r="F96" s="5">
        <v>3701</v>
      </c>
      <c r="G96" s="5">
        <v>4.2999999999999997E-2</v>
      </c>
      <c r="H96" s="5">
        <v>11</v>
      </c>
      <c r="I96" s="5">
        <v>84.7</v>
      </c>
      <c r="J96" s="5">
        <v>0.33</v>
      </c>
      <c r="K96" s="5">
        <v>0</v>
      </c>
      <c r="L96" s="5">
        <v>4.3</v>
      </c>
      <c r="M96" s="5">
        <v>586307.22</v>
      </c>
      <c r="N96" s="5">
        <v>73927.850000000006</v>
      </c>
    </row>
    <row r="97" spans="1:14" ht="15" customHeight="1">
      <c r="A97" s="5" t="s">
        <v>45</v>
      </c>
      <c r="B97" s="5" t="s">
        <v>102</v>
      </c>
      <c r="C97" s="5" t="s">
        <v>27</v>
      </c>
      <c r="D97" s="5" t="s">
        <v>16</v>
      </c>
      <c r="E97" s="5">
        <v>38966.589999999997</v>
      </c>
      <c r="F97" s="5">
        <v>4509</v>
      </c>
      <c r="G97" s="5">
        <v>0.19400000000000001</v>
      </c>
      <c r="H97" s="5">
        <v>14</v>
      </c>
      <c r="I97" s="5">
        <v>91.1</v>
      </c>
      <c r="J97" s="5">
        <v>2.92</v>
      </c>
      <c r="K97" s="5">
        <v>0</v>
      </c>
      <c r="L97" s="5">
        <v>4.5999999999999996</v>
      </c>
      <c r="M97" s="5">
        <v>585937.48</v>
      </c>
      <c r="N97" s="5">
        <v>82624.2</v>
      </c>
    </row>
    <row r="98" spans="1:14" ht="15" customHeight="1">
      <c r="A98" s="5" t="s">
        <v>45</v>
      </c>
      <c r="B98" s="5" t="s">
        <v>103</v>
      </c>
      <c r="C98" s="5" t="s">
        <v>27</v>
      </c>
      <c r="D98" s="5" t="s">
        <v>16</v>
      </c>
      <c r="E98" s="5">
        <v>67439.3</v>
      </c>
      <c r="F98" s="5">
        <v>6477</v>
      </c>
      <c r="G98" s="5">
        <v>0</v>
      </c>
      <c r="H98" s="5">
        <v>16</v>
      </c>
      <c r="I98" s="5">
        <v>90.9</v>
      </c>
      <c r="J98" s="5">
        <v>1.64</v>
      </c>
      <c r="K98" s="5">
        <v>0</v>
      </c>
      <c r="L98" s="5">
        <v>4.5</v>
      </c>
      <c r="M98" s="5">
        <v>753473.55</v>
      </c>
      <c r="N98" s="5">
        <v>151527.22</v>
      </c>
    </row>
    <row r="99" spans="1:14" ht="15" customHeight="1">
      <c r="A99" s="5" t="s">
        <v>45</v>
      </c>
      <c r="B99" s="5" t="s">
        <v>104</v>
      </c>
      <c r="C99" s="5" t="s">
        <v>27</v>
      </c>
      <c r="D99" s="5" t="s">
        <v>16</v>
      </c>
      <c r="E99" s="5">
        <v>86421.88</v>
      </c>
      <c r="F99" s="5">
        <v>7970</v>
      </c>
      <c r="G99" s="5">
        <v>7.2999999999999995E-2</v>
      </c>
      <c r="H99" s="5">
        <v>17</v>
      </c>
      <c r="I99" s="5">
        <v>91.3</v>
      </c>
      <c r="J99" s="5">
        <v>0.8</v>
      </c>
      <c r="K99" s="5">
        <v>0</v>
      </c>
      <c r="L99" s="5">
        <v>5</v>
      </c>
      <c r="M99" s="5">
        <v>838250.32</v>
      </c>
      <c r="N99" s="5">
        <v>122939.34</v>
      </c>
    </row>
    <row r="100" spans="1:14" ht="15" customHeight="1">
      <c r="A100" s="5" t="s">
        <v>45</v>
      </c>
      <c r="B100" s="5" t="s">
        <v>105</v>
      </c>
      <c r="C100" s="5" t="s">
        <v>27</v>
      </c>
      <c r="D100" s="5" t="s">
        <v>16</v>
      </c>
      <c r="E100" s="5">
        <v>9534.65</v>
      </c>
      <c r="F100" s="5">
        <v>6057</v>
      </c>
      <c r="G100" s="5">
        <v>7.3999999999999996E-2</v>
      </c>
      <c r="H100" s="5">
        <v>15</v>
      </c>
      <c r="I100" s="5">
        <v>94.1</v>
      </c>
      <c r="J100" s="5">
        <v>5.79</v>
      </c>
      <c r="K100" s="5">
        <v>0</v>
      </c>
      <c r="L100" s="5">
        <v>4.5</v>
      </c>
      <c r="M100" s="5">
        <v>607898.12</v>
      </c>
      <c r="N100" s="5">
        <v>135404.85</v>
      </c>
    </row>
    <row r="101" spans="1:14" ht="15" customHeight="1">
      <c r="A101" s="5" t="s">
        <v>46</v>
      </c>
      <c r="B101" s="5" t="s">
        <v>102</v>
      </c>
      <c r="C101" s="5" t="s">
        <v>27</v>
      </c>
      <c r="D101" s="5" t="s">
        <v>28</v>
      </c>
      <c r="E101" s="5">
        <v>61132.07</v>
      </c>
      <c r="F101" s="5">
        <v>6394</v>
      </c>
      <c r="G101" s="5">
        <v>0.16300000000000001</v>
      </c>
      <c r="H101" s="5">
        <v>19</v>
      </c>
      <c r="I101" s="5">
        <v>91</v>
      </c>
      <c r="J101" s="5">
        <v>19.600000000000001</v>
      </c>
      <c r="K101" s="5">
        <v>0</v>
      </c>
      <c r="L101" s="5">
        <v>4.4000000000000004</v>
      </c>
      <c r="M101" s="5">
        <v>691113.62</v>
      </c>
      <c r="N101" s="5">
        <v>135145.44</v>
      </c>
    </row>
    <row r="102" spans="1:14" ht="15" customHeight="1">
      <c r="A102" s="5" t="s">
        <v>46</v>
      </c>
      <c r="B102" s="5" t="s">
        <v>103</v>
      </c>
      <c r="C102" s="5" t="s">
        <v>27</v>
      </c>
      <c r="D102" s="5" t="s">
        <v>28</v>
      </c>
      <c r="E102" s="5">
        <v>78839.39</v>
      </c>
      <c r="F102" s="5">
        <v>5150</v>
      </c>
      <c r="G102" s="5">
        <v>0.17100000000000001</v>
      </c>
      <c r="H102" s="5">
        <v>13</v>
      </c>
      <c r="I102" s="5">
        <v>85.8</v>
      </c>
      <c r="J102" s="5">
        <v>7.57</v>
      </c>
      <c r="K102" s="5">
        <v>0</v>
      </c>
      <c r="L102" s="5">
        <v>4.3</v>
      </c>
      <c r="M102" s="5">
        <v>735509.4</v>
      </c>
      <c r="N102" s="5">
        <v>83895.96</v>
      </c>
    </row>
    <row r="103" spans="1:14" ht="15" customHeight="1">
      <c r="A103" s="5" t="s">
        <v>46</v>
      </c>
      <c r="B103" s="5" t="s">
        <v>104</v>
      </c>
      <c r="C103" s="5" t="s">
        <v>27</v>
      </c>
      <c r="D103" s="5" t="s">
        <v>28</v>
      </c>
      <c r="E103" s="5">
        <v>38752.800000000003</v>
      </c>
      <c r="F103" s="5">
        <v>4712</v>
      </c>
      <c r="G103" s="5">
        <v>7.4999999999999997E-2</v>
      </c>
      <c r="H103" s="5">
        <v>15</v>
      </c>
      <c r="I103" s="5">
        <v>89.7</v>
      </c>
      <c r="J103" s="5">
        <v>3.3650000000000002</v>
      </c>
      <c r="K103" s="5">
        <v>0</v>
      </c>
      <c r="L103" s="5">
        <v>4.3</v>
      </c>
      <c r="M103" s="5">
        <v>605775.32999999996</v>
      </c>
      <c r="N103" s="5">
        <v>107194.6</v>
      </c>
    </row>
    <row r="104" spans="1:14" ht="15" customHeight="1">
      <c r="A104" s="5" t="s">
        <v>46</v>
      </c>
      <c r="B104" s="5" t="s">
        <v>105</v>
      </c>
      <c r="C104" s="5" t="s">
        <v>27</v>
      </c>
      <c r="D104" s="5" t="s">
        <v>28</v>
      </c>
      <c r="E104" s="5">
        <v>55101.1</v>
      </c>
      <c r="F104" s="5">
        <v>5281</v>
      </c>
      <c r="G104" s="5">
        <v>0.189</v>
      </c>
      <c r="H104" s="5">
        <v>11</v>
      </c>
      <c r="I104" s="5">
        <v>91</v>
      </c>
      <c r="J104" s="5">
        <v>2.7</v>
      </c>
      <c r="K104" s="5">
        <v>0</v>
      </c>
      <c r="L104" s="5">
        <v>4.4000000000000004</v>
      </c>
      <c r="M104" s="5">
        <v>675177.68</v>
      </c>
      <c r="N104" s="5">
        <v>105628.68</v>
      </c>
    </row>
    <row r="105" spans="1:14" ht="15" customHeight="1">
      <c r="A105" s="5" t="s">
        <v>47</v>
      </c>
      <c r="B105" s="5" t="s">
        <v>102</v>
      </c>
      <c r="C105" s="5" t="s">
        <v>15</v>
      </c>
      <c r="D105" s="5" t="s">
        <v>28</v>
      </c>
      <c r="E105" s="5">
        <v>53084.76</v>
      </c>
      <c r="F105" s="5">
        <v>3642</v>
      </c>
      <c r="G105" s="5">
        <v>0.15</v>
      </c>
      <c r="H105" s="5">
        <v>12</v>
      </c>
      <c r="I105" s="5">
        <v>91.4</v>
      </c>
      <c r="J105" s="5">
        <v>0.2</v>
      </c>
      <c r="K105" s="5">
        <v>0</v>
      </c>
      <c r="L105" s="5">
        <v>4.4000000000000004</v>
      </c>
      <c r="M105" s="5">
        <v>635181.35</v>
      </c>
      <c r="N105" s="5">
        <v>83341.25</v>
      </c>
    </row>
    <row r="106" spans="1:14" ht="15" customHeight="1">
      <c r="A106" s="5" t="s">
        <v>47</v>
      </c>
      <c r="B106" s="5" t="s">
        <v>103</v>
      </c>
      <c r="C106" s="5" t="s">
        <v>15</v>
      </c>
      <c r="D106" s="5" t="s">
        <v>28</v>
      </c>
      <c r="E106" s="5">
        <v>63101.59</v>
      </c>
      <c r="F106" s="5">
        <v>4373</v>
      </c>
      <c r="G106" s="5">
        <v>0.17299999999999999</v>
      </c>
      <c r="H106" s="5">
        <v>14</v>
      </c>
      <c r="I106" s="5">
        <v>90.4</v>
      </c>
      <c r="J106" s="5">
        <v>7.87</v>
      </c>
      <c r="K106" s="5">
        <v>0</v>
      </c>
      <c r="L106" s="5">
        <v>4.7</v>
      </c>
      <c r="M106" s="5">
        <v>586626.93999999994</v>
      </c>
      <c r="N106" s="5">
        <v>86498.55</v>
      </c>
    </row>
    <row r="107" spans="1:14" ht="15" customHeight="1">
      <c r="A107" s="5" t="s">
        <v>47</v>
      </c>
      <c r="B107" s="5" t="s">
        <v>104</v>
      </c>
      <c r="C107" s="5" t="s">
        <v>15</v>
      </c>
      <c r="D107" s="5" t="s">
        <v>28</v>
      </c>
      <c r="E107" s="5">
        <v>90084.4</v>
      </c>
      <c r="F107" s="5">
        <v>6832</v>
      </c>
      <c r="G107" s="5">
        <v>0.185</v>
      </c>
      <c r="H107" s="5">
        <v>14</v>
      </c>
      <c r="I107" s="5">
        <v>80.5</v>
      </c>
      <c r="J107" s="5">
        <v>0.77</v>
      </c>
      <c r="K107" s="5">
        <v>1</v>
      </c>
      <c r="L107" s="5">
        <v>4.4000000000000004</v>
      </c>
      <c r="M107" s="5">
        <v>740102.64</v>
      </c>
      <c r="N107" s="5">
        <v>114299.07</v>
      </c>
    </row>
    <row r="108" spans="1:14" ht="15" customHeight="1">
      <c r="A108" s="5" t="s">
        <v>47</v>
      </c>
      <c r="B108" s="5" t="s">
        <v>105</v>
      </c>
      <c r="C108" s="5" t="s">
        <v>15</v>
      </c>
      <c r="D108" s="5" t="s">
        <v>28</v>
      </c>
      <c r="E108" s="5">
        <v>32266.639999999999</v>
      </c>
      <c r="F108" s="5">
        <v>2414</v>
      </c>
      <c r="G108" s="5">
        <v>0.08</v>
      </c>
      <c r="H108" s="5">
        <v>7</v>
      </c>
      <c r="I108" s="5">
        <v>92.1</v>
      </c>
      <c r="J108" s="5">
        <v>1.48</v>
      </c>
      <c r="K108" s="5">
        <v>0</v>
      </c>
      <c r="L108" s="5">
        <v>5</v>
      </c>
      <c r="M108" s="5">
        <v>625514.04</v>
      </c>
      <c r="N108" s="5">
        <v>120685.08</v>
      </c>
    </row>
    <row r="109" spans="1:14" ht="15" customHeight="1">
      <c r="A109" s="5" t="s">
        <v>48</v>
      </c>
      <c r="B109" s="5" t="s">
        <v>102</v>
      </c>
      <c r="C109" s="5" t="s">
        <v>27</v>
      </c>
      <c r="D109" s="5" t="s">
        <v>18</v>
      </c>
      <c r="E109" s="5">
        <v>57919.07</v>
      </c>
      <c r="F109" s="5">
        <v>7374</v>
      </c>
      <c r="G109" s="5">
        <v>0.10299999999999999</v>
      </c>
      <c r="H109" s="5">
        <v>21</v>
      </c>
      <c r="I109" s="5">
        <v>82.3</v>
      </c>
      <c r="J109" s="5">
        <v>2.87</v>
      </c>
      <c r="K109" s="5">
        <v>0</v>
      </c>
      <c r="L109" s="5">
        <v>2.9</v>
      </c>
      <c r="M109" s="5">
        <v>727227.2</v>
      </c>
      <c r="N109" s="5">
        <v>121292.01</v>
      </c>
    </row>
    <row r="110" spans="1:14" ht="15" customHeight="1">
      <c r="A110" s="5" t="s">
        <v>48</v>
      </c>
      <c r="B110" s="5" t="s">
        <v>103</v>
      </c>
      <c r="C110" s="5" t="s">
        <v>27</v>
      </c>
      <c r="D110" s="5" t="s">
        <v>18</v>
      </c>
      <c r="E110" s="5">
        <v>74679.350000000006</v>
      </c>
      <c r="F110" s="5">
        <v>8739</v>
      </c>
      <c r="G110" s="5">
        <v>5.6000000000000001E-2</v>
      </c>
      <c r="H110" s="5">
        <v>21</v>
      </c>
      <c r="I110" s="5">
        <v>91.8</v>
      </c>
      <c r="J110" s="5">
        <v>2.83</v>
      </c>
      <c r="K110" s="5">
        <v>0</v>
      </c>
      <c r="L110" s="5">
        <v>3</v>
      </c>
      <c r="M110" s="5">
        <v>783797.89</v>
      </c>
      <c r="N110" s="5">
        <v>157620.70000000001</v>
      </c>
    </row>
    <row r="111" spans="1:14" ht="15" customHeight="1">
      <c r="A111" s="5" t="s">
        <v>48</v>
      </c>
      <c r="B111" s="5" t="s">
        <v>104</v>
      </c>
      <c r="C111" s="5" t="s">
        <v>27</v>
      </c>
      <c r="D111" s="5" t="s">
        <v>18</v>
      </c>
      <c r="E111" s="5">
        <v>64294.23</v>
      </c>
      <c r="F111" s="5">
        <v>6992</v>
      </c>
      <c r="G111" s="5">
        <v>0.13300000000000001</v>
      </c>
      <c r="H111" s="5">
        <v>14</v>
      </c>
      <c r="I111" s="5">
        <v>94.1</v>
      </c>
      <c r="J111" s="5">
        <v>0.25</v>
      </c>
      <c r="K111" s="5">
        <v>0</v>
      </c>
      <c r="L111" s="5">
        <v>3</v>
      </c>
      <c r="M111" s="5">
        <v>795153.84</v>
      </c>
      <c r="N111" s="5">
        <v>143194.21</v>
      </c>
    </row>
    <row r="112" spans="1:14" ht="15" customHeight="1">
      <c r="A112" s="5" t="s">
        <v>48</v>
      </c>
      <c r="B112" s="5" t="s">
        <v>105</v>
      </c>
      <c r="C112" s="5" t="s">
        <v>27</v>
      </c>
      <c r="D112" s="5" t="s">
        <v>18</v>
      </c>
      <c r="E112" s="5">
        <v>31042.03</v>
      </c>
      <c r="F112" s="5">
        <v>7107</v>
      </c>
      <c r="G112" s="5">
        <v>5.0999999999999997E-2</v>
      </c>
      <c r="H112" s="5">
        <v>15</v>
      </c>
      <c r="I112" s="5">
        <v>87</v>
      </c>
      <c r="J112" s="5">
        <v>13.33</v>
      </c>
      <c r="K112" s="5">
        <v>0</v>
      </c>
      <c r="L112" s="5">
        <v>3.2</v>
      </c>
      <c r="M112" s="5">
        <v>665594.93999999994</v>
      </c>
      <c r="N112" s="5">
        <v>127597.34</v>
      </c>
    </row>
    <row r="113" spans="1:14" ht="15" customHeight="1">
      <c r="A113" s="5" t="s">
        <v>49</v>
      </c>
      <c r="B113" s="5" t="s">
        <v>102</v>
      </c>
      <c r="C113" s="5" t="s">
        <v>15</v>
      </c>
      <c r="D113" s="5" t="s">
        <v>28</v>
      </c>
      <c r="E113" s="5">
        <v>75265.02</v>
      </c>
      <c r="F113" s="5">
        <v>6975</v>
      </c>
      <c r="G113" s="5">
        <v>0.157</v>
      </c>
      <c r="H113" s="5">
        <v>20</v>
      </c>
      <c r="I113" s="5">
        <v>73.8</v>
      </c>
      <c r="J113" s="5">
        <v>6.35</v>
      </c>
      <c r="K113" s="5">
        <v>1</v>
      </c>
      <c r="L113" s="5">
        <v>3.8</v>
      </c>
      <c r="M113" s="5">
        <v>709478.39</v>
      </c>
      <c r="N113" s="5">
        <v>71294.27</v>
      </c>
    </row>
    <row r="114" spans="1:14" ht="15" customHeight="1">
      <c r="A114" s="5" t="s">
        <v>49</v>
      </c>
      <c r="B114" s="5" t="s">
        <v>103</v>
      </c>
      <c r="C114" s="5" t="s">
        <v>15</v>
      </c>
      <c r="D114" s="5" t="s">
        <v>28</v>
      </c>
      <c r="E114" s="5">
        <v>69411.7</v>
      </c>
      <c r="F114" s="5">
        <v>5493</v>
      </c>
      <c r="G114" s="5">
        <v>0.29199999999999998</v>
      </c>
      <c r="H114" s="5">
        <v>13</v>
      </c>
      <c r="I114" s="5">
        <v>86.5</v>
      </c>
      <c r="J114" s="5">
        <v>6.69</v>
      </c>
      <c r="K114" s="5">
        <v>0</v>
      </c>
      <c r="L114" s="5">
        <v>3.8</v>
      </c>
      <c r="M114" s="5">
        <v>664162.49</v>
      </c>
      <c r="N114" s="5">
        <v>98291.06</v>
      </c>
    </row>
    <row r="115" spans="1:14" ht="15" customHeight="1">
      <c r="A115" s="5" t="s">
        <v>49</v>
      </c>
      <c r="B115" s="5" t="s">
        <v>104</v>
      </c>
      <c r="C115" s="5" t="s">
        <v>15</v>
      </c>
      <c r="D115" s="5" t="s">
        <v>28</v>
      </c>
      <c r="E115" s="5">
        <v>51056.15</v>
      </c>
      <c r="F115" s="5">
        <v>5686</v>
      </c>
      <c r="G115" s="5">
        <v>8.8999999999999996E-2</v>
      </c>
      <c r="H115" s="5">
        <v>13</v>
      </c>
      <c r="I115" s="5">
        <v>89.9</v>
      </c>
      <c r="J115" s="5">
        <v>1.28</v>
      </c>
      <c r="K115" s="5">
        <v>0</v>
      </c>
      <c r="L115" s="5">
        <v>4.2</v>
      </c>
      <c r="M115" s="5">
        <v>633494.21</v>
      </c>
      <c r="N115" s="5">
        <v>105739.47</v>
      </c>
    </row>
    <row r="116" spans="1:14" ht="15" customHeight="1">
      <c r="A116" s="5" t="s">
        <v>49</v>
      </c>
      <c r="B116" s="5" t="s">
        <v>105</v>
      </c>
      <c r="C116" s="5" t="s">
        <v>15</v>
      </c>
      <c r="D116" s="5" t="s">
        <v>28</v>
      </c>
      <c r="E116" s="5">
        <v>52758.01</v>
      </c>
      <c r="F116" s="5">
        <v>4063</v>
      </c>
      <c r="G116" s="5">
        <v>5.7000000000000002E-2</v>
      </c>
      <c r="H116" s="5">
        <v>12</v>
      </c>
      <c r="I116" s="5">
        <v>91.7</v>
      </c>
      <c r="J116" s="5">
        <v>0.92</v>
      </c>
      <c r="K116" s="5">
        <v>0</v>
      </c>
      <c r="L116" s="5">
        <v>3.5</v>
      </c>
      <c r="M116" s="5">
        <v>713611.16</v>
      </c>
      <c r="N116" s="5">
        <v>129717.18</v>
      </c>
    </row>
    <row r="117" spans="1:14" ht="15" customHeight="1">
      <c r="A117" s="5" t="s">
        <v>50</v>
      </c>
      <c r="B117" s="5" t="s">
        <v>102</v>
      </c>
      <c r="C117" s="5" t="s">
        <v>27</v>
      </c>
      <c r="D117" s="5" t="s">
        <v>28</v>
      </c>
      <c r="E117" s="5">
        <v>61426.04</v>
      </c>
      <c r="F117" s="5">
        <v>8966</v>
      </c>
      <c r="G117" s="5">
        <v>0.17299999999999999</v>
      </c>
      <c r="H117" s="5">
        <v>22</v>
      </c>
      <c r="I117" s="5">
        <v>76.400000000000006</v>
      </c>
      <c r="J117" s="5">
        <v>1.05</v>
      </c>
      <c r="K117" s="5">
        <v>0</v>
      </c>
      <c r="L117" s="5">
        <v>3.1</v>
      </c>
      <c r="M117" s="5">
        <v>778397.97</v>
      </c>
      <c r="N117" s="5">
        <v>120044.41</v>
      </c>
    </row>
    <row r="118" spans="1:14" ht="15" customHeight="1">
      <c r="A118" s="5" t="s">
        <v>50</v>
      </c>
      <c r="B118" s="5" t="s">
        <v>103</v>
      </c>
      <c r="C118" s="5" t="s">
        <v>27</v>
      </c>
      <c r="D118" s="5" t="s">
        <v>28</v>
      </c>
      <c r="E118" s="5">
        <v>80176.34</v>
      </c>
      <c r="F118" s="5">
        <v>9489</v>
      </c>
      <c r="G118" s="5">
        <v>0.14199999999999999</v>
      </c>
      <c r="H118" s="5">
        <v>22</v>
      </c>
      <c r="I118" s="5">
        <v>94.3</v>
      </c>
      <c r="J118" s="5">
        <v>2.67</v>
      </c>
      <c r="K118" s="5">
        <v>0</v>
      </c>
      <c r="L118" s="5">
        <v>3.5</v>
      </c>
      <c r="M118" s="5">
        <v>873380.02</v>
      </c>
      <c r="N118" s="5">
        <v>149734.76</v>
      </c>
    </row>
    <row r="119" spans="1:14" ht="15" customHeight="1">
      <c r="A119" s="5" t="s">
        <v>50</v>
      </c>
      <c r="B119" s="5" t="s">
        <v>104</v>
      </c>
      <c r="C119" s="5" t="s">
        <v>27</v>
      </c>
      <c r="D119" s="5" t="s">
        <v>28</v>
      </c>
      <c r="E119" s="5">
        <v>33605.18</v>
      </c>
      <c r="F119" s="5">
        <v>9225</v>
      </c>
      <c r="G119" s="5">
        <v>0.159</v>
      </c>
      <c r="H119" s="5">
        <v>23</v>
      </c>
      <c r="I119" s="5">
        <v>88.4</v>
      </c>
      <c r="J119" s="5">
        <v>5.91</v>
      </c>
      <c r="K119" s="5">
        <v>0</v>
      </c>
      <c r="L119" s="5">
        <v>2.8</v>
      </c>
      <c r="M119" s="5">
        <v>697287.9</v>
      </c>
      <c r="N119" s="5">
        <v>128208.33</v>
      </c>
    </row>
    <row r="120" spans="1:14" ht="15" customHeight="1">
      <c r="A120" s="5" t="s">
        <v>50</v>
      </c>
      <c r="B120" s="5" t="s">
        <v>105</v>
      </c>
      <c r="C120" s="5" t="s">
        <v>27</v>
      </c>
      <c r="D120" s="5" t="s">
        <v>28</v>
      </c>
      <c r="E120" s="5">
        <v>25990.54</v>
      </c>
      <c r="F120" s="5">
        <v>9249</v>
      </c>
      <c r="G120" s="5">
        <v>0.13900000000000001</v>
      </c>
      <c r="H120" s="5">
        <v>23</v>
      </c>
      <c r="I120" s="5">
        <v>92.5</v>
      </c>
      <c r="J120" s="5">
        <v>6.37</v>
      </c>
      <c r="K120" s="5">
        <v>0</v>
      </c>
      <c r="L120" s="5">
        <v>3.3</v>
      </c>
      <c r="M120" s="5">
        <v>718074.79</v>
      </c>
      <c r="N120" s="5">
        <v>115819.87</v>
      </c>
    </row>
    <row r="121" spans="1:14" ht="15" customHeight="1">
      <c r="A121" s="5" t="s">
        <v>51</v>
      </c>
      <c r="B121" s="5" t="s">
        <v>102</v>
      </c>
      <c r="C121" s="5" t="s">
        <v>27</v>
      </c>
      <c r="D121" s="5" t="s">
        <v>16</v>
      </c>
      <c r="E121" s="5">
        <v>43685.14</v>
      </c>
      <c r="F121" s="5">
        <v>7821</v>
      </c>
      <c r="G121" s="5">
        <v>0.19</v>
      </c>
      <c r="H121" s="5">
        <v>17</v>
      </c>
      <c r="I121" s="5">
        <v>91</v>
      </c>
      <c r="J121" s="5">
        <v>2.4900000000000002</v>
      </c>
      <c r="K121" s="5">
        <v>1</v>
      </c>
      <c r="L121" s="5">
        <v>4.7</v>
      </c>
      <c r="M121" s="5">
        <v>714942.43</v>
      </c>
      <c r="N121" s="5">
        <v>94697.71</v>
      </c>
    </row>
    <row r="122" spans="1:14" ht="15" customHeight="1">
      <c r="A122" s="5" t="s">
        <v>51</v>
      </c>
      <c r="B122" s="5" t="s">
        <v>103</v>
      </c>
      <c r="C122" s="5" t="s">
        <v>27</v>
      </c>
      <c r="D122" s="5" t="s">
        <v>16</v>
      </c>
      <c r="E122" s="5">
        <v>57360.01</v>
      </c>
      <c r="F122" s="5">
        <v>8434</v>
      </c>
      <c r="G122" s="5">
        <v>0.151</v>
      </c>
      <c r="H122" s="5">
        <v>19</v>
      </c>
      <c r="I122" s="5">
        <v>84.1</v>
      </c>
      <c r="J122" s="5">
        <v>1.56</v>
      </c>
      <c r="K122" s="5">
        <v>0</v>
      </c>
      <c r="L122" s="5">
        <v>4.7</v>
      </c>
      <c r="M122" s="5">
        <v>820519.04</v>
      </c>
      <c r="N122" s="5">
        <v>99035.88</v>
      </c>
    </row>
    <row r="123" spans="1:14" ht="15" customHeight="1">
      <c r="A123" s="5" t="s">
        <v>51</v>
      </c>
      <c r="B123" s="5" t="s">
        <v>104</v>
      </c>
      <c r="C123" s="5" t="s">
        <v>27</v>
      </c>
      <c r="D123" s="5" t="s">
        <v>16</v>
      </c>
      <c r="E123" s="5">
        <v>42415.47</v>
      </c>
      <c r="F123" s="5">
        <v>8512</v>
      </c>
      <c r="G123" s="5">
        <v>0.13300000000000001</v>
      </c>
      <c r="H123" s="5">
        <v>18</v>
      </c>
      <c r="I123" s="5">
        <v>96.8</v>
      </c>
      <c r="J123" s="5">
        <v>14.95</v>
      </c>
      <c r="K123" s="5">
        <v>0</v>
      </c>
      <c r="L123" s="5">
        <v>4.5999999999999996</v>
      </c>
      <c r="M123" s="5">
        <v>684217.32</v>
      </c>
      <c r="N123" s="5">
        <v>136217.19</v>
      </c>
    </row>
    <row r="124" spans="1:14" ht="15" customHeight="1">
      <c r="A124" s="5" t="s">
        <v>51</v>
      </c>
      <c r="B124" s="5" t="s">
        <v>105</v>
      </c>
      <c r="C124" s="5" t="s">
        <v>27</v>
      </c>
      <c r="D124" s="5" t="s">
        <v>16</v>
      </c>
      <c r="E124" s="5">
        <v>54968.98</v>
      </c>
      <c r="F124" s="5">
        <v>7816</v>
      </c>
      <c r="G124" s="5">
        <v>0.23200000000000001</v>
      </c>
      <c r="H124" s="5">
        <v>19</v>
      </c>
      <c r="I124" s="5">
        <v>95.7</v>
      </c>
      <c r="J124" s="5">
        <v>7.85</v>
      </c>
      <c r="K124" s="5">
        <v>0</v>
      </c>
      <c r="L124" s="5">
        <v>4.7</v>
      </c>
      <c r="M124" s="5">
        <v>735480.19</v>
      </c>
      <c r="N124" s="5">
        <v>88342.11</v>
      </c>
    </row>
    <row r="125" spans="1:14" ht="15" customHeight="1">
      <c r="A125" s="5" t="s">
        <v>52</v>
      </c>
      <c r="B125" s="5" t="s">
        <v>102</v>
      </c>
      <c r="C125" s="5" t="s">
        <v>20</v>
      </c>
      <c r="D125" s="5" t="s">
        <v>18</v>
      </c>
      <c r="E125" s="5">
        <v>43896.13</v>
      </c>
      <c r="F125" s="5">
        <v>3853</v>
      </c>
      <c r="G125" s="5">
        <v>8.7999999999999995E-2</v>
      </c>
      <c r="H125" s="5">
        <v>13</v>
      </c>
      <c r="I125" s="5">
        <v>83</v>
      </c>
      <c r="J125" s="5">
        <v>6.8</v>
      </c>
      <c r="K125" s="5">
        <v>0</v>
      </c>
      <c r="L125" s="5">
        <v>4.4000000000000004</v>
      </c>
      <c r="M125" s="5">
        <v>509484.81</v>
      </c>
      <c r="N125" s="5">
        <v>85742.36</v>
      </c>
    </row>
    <row r="126" spans="1:14" ht="15" customHeight="1">
      <c r="A126" s="5" t="s">
        <v>52</v>
      </c>
      <c r="B126" s="5" t="s">
        <v>103</v>
      </c>
      <c r="C126" s="5" t="s">
        <v>20</v>
      </c>
      <c r="D126" s="5" t="s">
        <v>18</v>
      </c>
      <c r="E126" s="5">
        <v>83044.17</v>
      </c>
      <c r="F126" s="5">
        <v>3694</v>
      </c>
      <c r="G126" s="5">
        <v>0</v>
      </c>
      <c r="H126" s="5">
        <v>14</v>
      </c>
      <c r="I126" s="5">
        <v>89.4</v>
      </c>
      <c r="J126" s="5">
        <v>2.2000000000000002</v>
      </c>
      <c r="K126" s="5">
        <v>0</v>
      </c>
      <c r="L126" s="5">
        <v>3.7</v>
      </c>
      <c r="M126" s="5">
        <v>654317.09</v>
      </c>
      <c r="N126" s="5">
        <v>121446.89</v>
      </c>
    </row>
    <row r="127" spans="1:14" ht="15" customHeight="1">
      <c r="A127" s="5" t="s">
        <v>52</v>
      </c>
      <c r="B127" s="5" t="s">
        <v>104</v>
      </c>
      <c r="C127" s="5" t="s">
        <v>20</v>
      </c>
      <c r="D127" s="5" t="s">
        <v>18</v>
      </c>
      <c r="E127" s="5">
        <v>48396.13</v>
      </c>
      <c r="F127" s="5">
        <v>4423</v>
      </c>
      <c r="G127" s="5">
        <v>6.9000000000000006E-2</v>
      </c>
      <c r="H127" s="5">
        <v>15</v>
      </c>
      <c r="I127" s="5">
        <v>85.7</v>
      </c>
      <c r="J127" s="5">
        <v>1.88</v>
      </c>
      <c r="K127" s="5">
        <v>0</v>
      </c>
      <c r="L127" s="5">
        <v>3.9</v>
      </c>
      <c r="M127" s="5">
        <v>557487.26</v>
      </c>
      <c r="N127" s="5">
        <v>76432.19</v>
      </c>
    </row>
    <row r="128" spans="1:14" ht="15" customHeight="1">
      <c r="A128" s="5" t="s">
        <v>52</v>
      </c>
      <c r="B128" s="5" t="s">
        <v>105</v>
      </c>
      <c r="C128" s="5" t="s">
        <v>20</v>
      </c>
      <c r="D128" s="5" t="s">
        <v>18</v>
      </c>
      <c r="E128" s="5">
        <v>19063.48</v>
      </c>
      <c r="F128" s="5">
        <v>1906</v>
      </c>
      <c r="G128" s="5">
        <v>0.216</v>
      </c>
      <c r="H128" s="5">
        <v>10</v>
      </c>
      <c r="I128" s="5">
        <v>97.8</v>
      </c>
      <c r="J128" s="5">
        <v>15.79</v>
      </c>
      <c r="K128" s="5">
        <v>0</v>
      </c>
      <c r="L128" s="5">
        <v>4.4000000000000004</v>
      </c>
      <c r="M128" s="5">
        <v>441275.42</v>
      </c>
      <c r="N128" s="5">
        <v>58234.87</v>
      </c>
    </row>
    <row r="129" spans="1:14" ht="15" customHeight="1">
      <c r="A129" s="5" t="s">
        <v>53</v>
      </c>
      <c r="B129" s="5" t="s">
        <v>102</v>
      </c>
      <c r="C129" s="5" t="s">
        <v>24</v>
      </c>
      <c r="D129" s="5" t="s">
        <v>18</v>
      </c>
      <c r="E129" s="5">
        <v>61541.21</v>
      </c>
      <c r="F129" s="5">
        <v>10396</v>
      </c>
      <c r="G129" s="5">
        <v>0.123</v>
      </c>
      <c r="H129" s="5">
        <v>25</v>
      </c>
      <c r="I129" s="5">
        <v>88.1</v>
      </c>
      <c r="J129" s="5">
        <v>2.34</v>
      </c>
      <c r="K129" s="5">
        <v>1</v>
      </c>
      <c r="L129" s="5">
        <v>4.8</v>
      </c>
      <c r="M129" s="5">
        <v>914544.17</v>
      </c>
      <c r="N129" s="5">
        <v>79831.73</v>
      </c>
    </row>
    <row r="130" spans="1:14" ht="15" customHeight="1">
      <c r="A130" s="5" t="s">
        <v>53</v>
      </c>
      <c r="B130" s="5" t="s">
        <v>103</v>
      </c>
      <c r="C130" s="5" t="s">
        <v>24</v>
      </c>
      <c r="D130" s="5" t="s">
        <v>18</v>
      </c>
      <c r="E130" s="5">
        <v>44747</v>
      </c>
      <c r="F130" s="5">
        <v>11076</v>
      </c>
      <c r="G130" s="5">
        <v>0.17599999999999999</v>
      </c>
      <c r="H130" s="5">
        <v>27</v>
      </c>
      <c r="I130" s="5">
        <v>98.3</v>
      </c>
      <c r="J130" s="5">
        <v>0.54</v>
      </c>
      <c r="K130" s="5">
        <v>0</v>
      </c>
      <c r="L130" s="5">
        <v>4.4000000000000004</v>
      </c>
      <c r="M130" s="5">
        <v>842439.67</v>
      </c>
      <c r="N130" s="5">
        <v>169983.63</v>
      </c>
    </row>
    <row r="131" spans="1:14" ht="15" customHeight="1">
      <c r="A131" s="5" t="s">
        <v>53</v>
      </c>
      <c r="B131" s="5" t="s">
        <v>104</v>
      </c>
      <c r="C131" s="5" t="s">
        <v>24</v>
      </c>
      <c r="D131" s="5" t="s">
        <v>18</v>
      </c>
      <c r="E131" s="5">
        <v>56517.9</v>
      </c>
      <c r="F131" s="5">
        <v>9574</v>
      </c>
      <c r="G131" s="5">
        <v>0.20399999999999999</v>
      </c>
      <c r="H131" s="5">
        <v>20</v>
      </c>
      <c r="I131" s="5">
        <v>88.2</v>
      </c>
      <c r="J131" s="5">
        <v>5.37</v>
      </c>
      <c r="K131" s="5">
        <v>1</v>
      </c>
      <c r="L131" s="5">
        <v>4.9000000000000004</v>
      </c>
      <c r="M131" s="5">
        <v>842157.92</v>
      </c>
      <c r="N131" s="5">
        <v>107348.22</v>
      </c>
    </row>
    <row r="132" spans="1:14" ht="15" customHeight="1">
      <c r="A132" s="5" t="s">
        <v>53</v>
      </c>
      <c r="B132" s="5" t="s">
        <v>105</v>
      </c>
      <c r="C132" s="5" t="s">
        <v>24</v>
      </c>
      <c r="D132" s="5" t="s">
        <v>18</v>
      </c>
      <c r="E132" s="5">
        <v>37828.5</v>
      </c>
      <c r="F132" s="5">
        <v>8221</v>
      </c>
      <c r="G132" s="5">
        <v>9.6000000000000002E-2</v>
      </c>
      <c r="H132" s="5">
        <v>19</v>
      </c>
      <c r="I132" s="5">
        <v>81.5</v>
      </c>
      <c r="J132" s="5">
        <v>3.19</v>
      </c>
      <c r="K132" s="5">
        <v>0</v>
      </c>
      <c r="L132" s="5">
        <v>4.8</v>
      </c>
      <c r="M132" s="5">
        <v>697155.3</v>
      </c>
      <c r="N132" s="5">
        <v>136408.54</v>
      </c>
    </row>
    <row r="133" spans="1:14" ht="15" customHeight="1">
      <c r="A133" s="5" t="s">
        <v>54</v>
      </c>
      <c r="B133" s="5" t="s">
        <v>102</v>
      </c>
      <c r="C133" s="5" t="s">
        <v>15</v>
      </c>
      <c r="D133" s="5" t="s">
        <v>18</v>
      </c>
      <c r="E133" s="5">
        <v>66250.53</v>
      </c>
      <c r="F133" s="5">
        <v>10618</v>
      </c>
      <c r="G133" s="5">
        <v>0.14199999999999999</v>
      </c>
      <c r="H133" s="5">
        <v>27</v>
      </c>
      <c r="I133" s="5">
        <v>88.3</v>
      </c>
      <c r="J133" s="5">
        <v>1.1000000000000001</v>
      </c>
      <c r="K133" s="5">
        <v>1</v>
      </c>
      <c r="L133" s="5">
        <v>4.4000000000000004</v>
      </c>
      <c r="M133" s="5">
        <v>849018.3</v>
      </c>
      <c r="N133" s="5">
        <v>149035.13</v>
      </c>
    </row>
    <row r="134" spans="1:14" ht="15" customHeight="1">
      <c r="A134" s="5" t="s">
        <v>54</v>
      </c>
      <c r="B134" s="5" t="s">
        <v>103</v>
      </c>
      <c r="C134" s="5" t="s">
        <v>15</v>
      </c>
      <c r="D134" s="5" t="s">
        <v>18</v>
      </c>
      <c r="E134" s="5">
        <v>68410.929999999993</v>
      </c>
      <c r="F134" s="5">
        <v>10596</v>
      </c>
      <c r="G134" s="5">
        <v>0.20699999999999999</v>
      </c>
      <c r="H134" s="5">
        <v>25</v>
      </c>
      <c r="I134" s="5">
        <v>81.2</v>
      </c>
      <c r="J134" s="5">
        <v>0.21</v>
      </c>
      <c r="K134" s="5">
        <v>0</v>
      </c>
      <c r="L134" s="5">
        <v>4</v>
      </c>
      <c r="M134" s="5">
        <v>801830.35</v>
      </c>
      <c r="N134" s="5">
        <v>114875.32</v>
      </c>
    </row>
    <row r="135" spans="1:14" ht="15" customHeight="1">
      <c r="A135" s="5" t="s">
        <v>54</v>
      </c>
      <c r="B135" s="5" t="s">
        <v>104</v>
      </c>
      <c r="C135" s="5" t="s">
        <v>15</v>
      </c>
      <c r="D135" s="5" t="s">
        <v>18</v>
      </c>
      <c r="E135" s="5">
        <v>50735.63</v>
      </c>
      <c r="F135" s="5">
        <v>9619</v>
      </c>
      <c r="G135" s="5">
        <v>0.14399999999999999</v>
      </c>
      <c r="H135" s="5">
        <v>19</v>
      </c>
      <c r="I135" s="5">
        <v>93.8</v>
      </c>
      <c r="J135" s="5">
        <v>5.12</v>
      </c>
      <c r="K135" s="5">
        <v>1</v>
      </c>
      <c r="L135" s="5">
        <v>4.5</v>
      </c>
      <c r="M135" s="5">
        <v>725235.28</v>
      </c>
      <c r="N135" s="5">
        <v>121632.24</v>
      </c>
    </row>
    <row r="136" spans="1:14" ht="15" customHeight="1">
      <c r="A136" s="5" t="s">
        <v>54</v>
      </c>
      <c r="B136" s="5" t="s">
        <v>105</v>
      </c>
      <c r="C136" s="5" t="s">
        <v>15</v>
      </c>
      <c r="D136" s="5" t="s">
        <v>18</v>
      </c>
      <c r="E136" s="5">
        <v>66455.8</v>
      </c>
      <c r="F136" s="5">
        <v>10836</v>
      </c>
      <c r="G136" s="5">
        <v>8.8999999999999996E-2</v>
      </c>
      <c r="H136" s="5">
        <v>25</v>
      </c>
      <c r="I136" s="5">
        <v>85</v>
      </c>
      <c r="J136" s="5">
        <v>9.77</v>
      </c>
      <c r="K136" s="5">
        <v>0</v>
      </c>
      <c r="L136" s="5">
        <v>4.5</v>
      </c>
      <c r="M136" s="5">
        <v>811452.72</v>
      </c>
      <c r="N136" s="5">
        <v>131325.67000000001</v>
      </c>
    </row>
    <row r="137" spans="1:14" ht="15" customHeight="1">
      <c r="A137" s="5" t="s">
        <v>55</v>
      </c>
      <c r="B137" s="5" t="s">
        <v>102</v>
      </c>
      <c r="C137" s="5" t="s">
        <v>20</v>
      </c>
      <c r="D137" s="5" t="s">
        <v>18</v>
      </c>
      <c r="E137" s="5">
        <v>70276.28</v>
      </c>
      <c r="F137" s="5">
        <v>3043</v>
      </c>
      <c r="G137" s="5">
        <v>7.9000000000000001E-2</v>
      </c>
      <c r="H137" s="5">
        <v>9</v>
      </c>
      <c r="I137" s="5">
        <v>87.9</v>
      </c>
      <c r="J137" s="5">
        <v>3.77</v>
      </c>
      <c r="K137" s="5">
        <v>0</v>
      </c>
      <c r="L137" s="5">
        <v>4.4000000000000004</v>
      </c>
      <c r="M137" s="5">
        <v>527300.13</v>
      </c>
      <c r="N137" s="5">
        <v>84197.87</v>
      </c>
    </row>
    <row r="138" spans="1:14" ht="15" customHeight="1">
      <c r="A138" s="5" t="s">
        <v>55</v>
      </c>
      <c r="B138" s="5" t="s">
        <v>103</v>
      </c>
      <c r="C138" s="5" t="s">
        <v>20</v>
      </c>
      <c r="D138" s="5" t="s">
        <v>18</v>
      </c>
      <c r="E138" s="5">
        <v>22071.64</v>
      </c>
      <c r="F138" s="5">
        <v>1814</v>
      </c>
      <c r="G138" s="5">
        <v>0.19600000000000001</v>
      </c>
      <c r="H138" s="5">
        <v>8</v>
      </c>
      <c r="I138" s="5">
        <v>81.099999999999994</v>
      </c>
      <c r="J138" s="5">
        <v>0.78</v>
      </c>
      <c r="K138" s="5">
        <v>0</v>
      </c>
      <c r="L138" s="5">
        <v>3.9</v>
      </c>
      <c r="M138" s="5">
        <v>400831.65</v>
      </c>
      <c r="N138" s="5">
        <v>70979.31</v>
      </c>
    </row>
    <row r="139" spans="1:14" ht="15" customHeight="1">
      <c r="A139" s="5" t="s">
        <v>55</v>
      </c>
      <c r="B139" s="5" t="s">
        <v>104</v>
      </c>
      <c r="C139" s="5" t="s">
        <v>20</v>
      </c>
      <c r="D139" s="5" t="s">
        <v>18</v>
      </c>
      <c r="E139" s="5">
        <v>52285.45</v>
      </c>
      <c r="F139" s="5">
        <v>3618</v>
      </c>
      <c r="G139" s="5">
        <v>8.5999999999999993E-2</v>
      </c>
      <c r="H139" s="5">
        <v>11</v>
      </c>
      <c r="I139" s="5">
        <v>95.6</v>
      </c>
      <c r="J139" s="5">
        <v>5.17</v>
      </c>
      <c r="K139" s="5">
        <v>1</v>
      </c>
      <c r="L139" s="5">
        <v>4.4000000000000004</v>
      </c>
      <c r="M139" s="5">
        <v>593247.25</v>
      </c>
      <c r="N139" s="5">
        <v>81240.289999999994</v>
      </c>
    </row>
    <row r="140" spans="1:14" ht="15" customHeight="1">
      <c r="A140" s="5" t="s">
        <v>55</v>
      </c>
      <c r="B140" s="5" t="s">
        <v>105</v>
      </c>
      <c r="C140" s="5" t="s">
        <v>20</v>
      </c>
      <c r="D140" s="5" t="s">
        <v>18</v>
      </c>
      <c r="E140" s="5">
        <v>70366.759999999995</v>
      </c>
      <c r="F140" s="5">
        <v>1963</v>
      </c>
      <c r="G140" s="5">
        <v>0.182</v>
      </c>
      <c r="H140" s="5">
        <v>8</v>
      </c>
      <c r="I140" s="5">
        <v>89.8</v>
      </c>
      <c r="J140" s="5">
        <v>3.2</v>
      </c>
      <c r="K140" s="5">
        <v>0</v>
      </c>
      <c r="L140" s="5">
        <v>4.5999999999999996</v>
      </c>
      <c r="M140" s="5">
        <v>529075.94999999995</v>
      </c>
      <c r="N140" s="5">
        <v>95978.83</v>
      </c>
    </row>
    <row r="141" spans="1:14" ht="15" customHeight="1">
      <c r="A141" s="5" t="s">
        <v>56</v>
      </c>
      <c r="B141" s="5" t="s">
        <v>102</v>
      </c>
      <c r="C141" s="5" t="s">
        <v>24</v>
      </c>
      <c r="D141" s="5" t="s">
        <v>16</v>
      </c>
      <c r="E141" s="5">
        <v>71320.66</v>
      </c>
      <c r="F141" s="5">
        <v>7888</v>
      </c>
      <c r="G141" s="5">
        <v>4.8000000000000001E-2</v>
      </c>
      <c r="H141" s="5">
        <v>20</v>
      </c>
      <c r="I141" s="5">
        <v>78.099999999999994</v>
      </c>
      <c r="J141" s="5">
        <v>3.4</v>
      </c>
      <c r="K141" s="5">
        <v>0</v>
      </c>
      <c r="L141" s="5">
        <v>3.9</v>
      </c>
      <c r="M141" s="5">
        <v>633638.03</v>
      </c>
      <c r="N141" s="5">
        <v>99402.01</v>
      </c>
    </row>
    <row r="142" spans="1:14" ht="15" customHeight="1">
      <c r="A142" s="5" t="s">
        <v>56</v>
      </c>
      <c r="B142" s="5" t="s">
        <v>103</v>
      </c>
      <c r="C142" s="5" t="s">
        <v>24</v>
      </c>
      <c r="D142" s="5" t="s">
        <v>16</v>
      </c>
      <c r="E142" s="5">
        <v>75109.67</v>
      </c>
      <c r="F142" s="5">
        <v>6244</v>
      </c>
      <c r="G142" s="5">
        <v>7.9000000000000001E-2</v>
      </c>
      <c r="H142" s="5">
        <v>15</v>
      </c>
      <c r="I142" s="5">
        <v>96.3</v>
      </c>
      <c r="J142" s="5">
        <v>7.38</v>
      </c>
      <c r="K142" s="5">
        <v>0</v>
      </c>
      <c r="L142" s="5">
        <v>3.7</v>
      </c>
      <c r="M142" s="5">
        <v>743348.84</v>
      </c>
      <c r="N142" s="5">
        <v>104186.09</v>
      </c>
    </row>
    <row r="143" spans="1:14" ht="15" customHeight="1">
      <c r="A143" s="5" t="s">
        <v>56</v>
      </c>
      <c r="B143" s="5" t="s">
        <v>104</v>
      </c>
      <c r="C143" s="5" t="s">
        <v>24</v>
      </c>
      <c r="D143" s="5" t="s">
        <v>16</v>
      </c>
      <c r="E143" s="5">
        <v>69779</v>
      </c>
      <c r="F143" s="5">
        <v>6544</v>
      </c>
      <c r="G143" s="5">
        <v>0.152</v>
      </c>
      <c r="H143" s="5">
        <v>18</v>
      </c>
      <c r="I143" s="5">
        <v>90.2</v>
      </c>
      <c r="J143" s="5">
        <v>0.85</v>
      </c>
      <c r="K143" s="5">
        <v>1</v>
      </c>
      <c r="L143" s="5">
        <v>3.3</v>
      </c>
      <c r="M143" s="5">
        <v>758827.64</v>
      </c>
      <c r="N143" s="5">
        <v>161439.48000000001</v>
      </c>
    </row>
    <row r="144" spans="1:14" ht="15" customHeight="1">
      <c r="A144" s="5" t="s">
        <v>56</v>
      </c>
      <c r="B144" s="5" t="s">
        <v>105</v>
      </c>
      <c r="C144" s="5" t="s">
        <v>24</v>
      </c>
      <c r="D144" s="5" t="s">
        <v>16</v>
      </c>
      <c r="E144" s="5">
        <v>44211.95</v>
      </c>
      <c r="F144" s="5">
        <v>5465</v>
      </c>
      <c r="G144" s="5">
        <v>0.187</v>
      </c>
      <c r="H144" s="5">
        <v>12</v>
      </c>
      <c r="I144" s="5">
        <v>90</v>
      </c>
      <c r="J144" s="5">
        <v>2.89</v>
      </c>
      <c r="K144" s="5">
        <v>0</v>
      </c>
      <c r="L144" s="5">
        <v>3.6</v>
      </c>
      <c r="M144" s="5">
        <v>646559.71</v>
      </c>
      <c r="N144" s="5">
        <v>97981.75</v>
      </c>
    </row>
    <row r="145" spans="1:14" ht="15" customHeight="1">
      <c r="A145" s="5" t="s">
        <v>57</v>
      </c>
      <c r="B145" s="5" t="s">
        <v>102</v>
      </c>
      <c r="C145" s="5" t="s">
        <v>27</v>
      </c>
      <c r="D145" s="5" t="s">
        <v>18</v>
      </c>
      <c r="E145" s="5">
        <v>51430.31</v>
      </c>
      <c r="F145" s="5">
        <v>6427</v>
      </c>
      <c r="G145" s="5">
        <v>0.23400000000000001</v>
      </c>
      <c r="H145" s="5">
        <v>14</v>
      </c>
      <c r="I145" s="5">
        <v>88.8</v>
      </c>
      <c r="J145" s="5">
        <v>0.77</v>
      </c>
      <c r="K145" s="5">
        <v>0</v>
      </c>
      <c r="L145" s="5">
        <v>4.0999999999999996</v>
      </c>
      <c r="M145" s="5">
        <v>715890.53</v>
      </c>
      <c r="N145" s="5">
        <v>109032.15</v>
      </c>
    </row>
    <row r="146" spans="1:14" ht="15" customHeight="1">
      <c r="A146" s="5" t="s">
        <v>57</v>
      </c>
      <c r="B146" s="5" t="s">
        <v>103</v>
      </c>
      <c r="C146" s="5" t="s">
        <v>27</v>
      </c>
      <c r="D146" s="5" t="s">
        <v>18</v>
      </c>
      <c r="E146" s="5">
        <v>45706.49</v>
      </c>
      <c r="F146" s="5">
        <v>6704</v>
      </c>
      <c r="G146" s="5">
        <v>3.7999999999999999E-2</v>
      </c>
      <c r="H146" s="5">
        <v>15</v>
      </c>
      <c r="I146" s="5">
        <v>94.2</v>
      </c>
      <c r="J146" s="5">
        <v>2.92</v>
      </c>
      <c r="K146" s="5">
        <v>0</v>
      </c>
      <c r="L146" s="5">
        <v>4.2</v>
      </c>
      <c r="M146" s="5">
        <v>715097.57</v>
      </c>
      <c r="N146" s="5">
        <v>151875.85999999999</v>
      </c>
    </row>
    <row r="147" spans="1:14" ht="15" customHeight="1">
      <c r="A147" s="5" t="s">
        <v>57</v>
      </c>
      <c r="B147" s="5" t="s">
        <v>104</v>
      </c>
      <c r="C147" s="5" t="s">
        <v>27</v>
      </c>
      <c r="D147" s="5" t="s">
        <v>18</v>
      </c>
      <c r="E147" s="5">
        <v>44034.6</v>
      </c>
      <c r="F147" s="5">
        <v>5645</v>
      </c>
      <c r="G147" s="5">
        <v>6.9000000000000006E-2</v>
      </c>
      <c r="H147" s="5">
        <v>18</v>
      </c>
      <c r="I147" s="5">
        <v>88.5</v>
      </c>
      <c r="J147" s="5">
        <v>3.07</v>
      </c>
      <c r="K147" s="5">
        <v>0</v>
      </c>
      <c r="L147" s="5">
        <v>3.8</v>
      </c>
      <c r="M147" s="5">
        <v>682639.28</v>
      </c>
      <c r="N147" s="5">
        <v>77557.53</v>
      </c>
    </row>
    <row r="148" spans="1:14" ht="15" customHeight="1">
      <c r="A148" s="5" t="s">
        <v>57</v>
      </c>
      <c r="B148" s="5" t="s">
        <v>105</v>
      </c>
      <c r="C148" s="5" t="s">
        <v>27</v>
      </c>
      <c r="D148" s="5" t="s">
        <v>18</v>
      </c>
      <c r="E148" s="5">
        <v>50198.12</v>
      </c>
      <c r="F148" s="5">
        <v>6089</v>
      </c>
      <c r="G148" s="5">
        <v>0.182</v>
      </c>
      <c r="H148" s="5">
        <v>19</v>
      </c>
      <c r="I148" s="5">
        <v>94</v>
      </c>
      <c r="J148" s="5">
        <v>9.6999999999999993</v>
      </c>
      <c r="K148" s="5">
        <v>0</v>
      </c>
      <c r="L148" s="5">
        <v>3.9</v>
      </c>
      <c r="M148" s="5">
        <v>695098.51</v>
      </c>
      <c r="N148" s="5">
        <v>108192.75</v>
      </c>
    </row>
    <row r="149" spans="1:14" ht="15" customHeight="1">
      <c r="A149" s="5" t="s">
        <v>58</v>
      </c>
      <c r="B149" s="5" t="s">
        <v>102</v>
      </c>
      <c r="C149" s="5" t="s">
        <v>20</v>
      </c>
      <c r="D149" s="5" t="s">
        <v>16</v>
      </c>
      <c r="E149" s="5">
        <v>70488.2</v>
      </c>
      <c r="F149" s="5">
        <v>4312</v>
      </c>
      <c r="G149" s="5">
        <v>0.16900000000000001</v>
      </c>
      <c r="H149" s="5">
        <v>12</v>
      </c>
      <c r="I149" s="5">
        <v>90.2</v>
      </c>
      <c r="J149" s="5">
        <v>3.71</v>
      </c>
      <c r="K149" s="5">
        <v>0</v>
      </c>
      <c r="L149" s="5">
        <v>3.2</v>
      </c>
      <c r="M149" s="5">
        <v>577732.56999999995</v>
      </c>
      <c r="N149" s="5">
        <v>93804.27</v>
      </c>
    </row>
    <row r="150" spans="1:14" ht="15" customHeight="1">
      <c r="A150" s="5" t="s">
        <v>58</v>
      </c>
      <c r="B150" s="5" t="s">
        <v>103</v>
      </c>
      <c r="C150" s="5" t="s">
        <v>20</v>
      </c>
      <c r="D150" s="5" t="s">
        <v>16</v>
      </c>
      <c r="E150" s="5">
        <v>50909.27</v>
      </c>
      <c r="F150" s="5">
        <v>3152</v>
      </c>
      <c r="G150" s="5">
        <v>0.06</v>
      </c>
      <c r="H150" s="5">
        <v>13</v>
      </c>
      <c r="I150" s="5">
        <v>93.7</v>
      </c>
      <c r="J150" s="5">
        <v>10.79</v>
      </c>
      <c r="K150" s="5">
        <v>0</v>
      </c>
      <c r="L150" s="5">
        <v>3.5</v>
      </c>
      <c r="M150" s="5">
        <v>537058.32999999996</v>
      </c>
      <c r="N150" s="5">
        <v>93555.71</v>
      </c>
    </row>
    <row r="151" spans="1:14" ht="15" customHeight="1">
      <c r="A151" s="5" t="s">
        <v>58</v>
      </c>
      <c r="B151" s="5" t="s">
        <v>104</v>
      </c>
      <c r="C151" s="5" t="s">
        <v>20</v>
      </c>
      <c r="D151" s="5" t="s">
        <v>16</v>
      </c>
      <c r="E151" s="5">
        <v>53351.7</v>
      </c>
      <c r="F151" s="5">
        <v>4259</v>
      </c>
      <c r="G151" s="5">
        <v>0.156</v>
      </c>
      <c r="H151" s="5">
        <v>15</v>
      </c>
      <c r="I151" s="5">
        <v>93.7</v>
      </c>
      <c r="J151" s="5">
        <v>6.03</v>
      </c>
      <c r="K151" s="5">
        <v>0</v>
      </c>
      <c r="L151" s="5">
        <v>3.4</v>
      </c>
      <c r="M151" s="5">
        <v>601568.87</v>
      </c>
      <c r="N151" s="5">
        <v>91634.82</v>
      </c>
    </row>
    <row r="152" spans="1:14" ht="15" customHeight="1">
      <c r="A152" s="5" t="s">
        <v>58</v>
      </c>
      <c r="B152" s="5" t="s">
        <v>105</v>
      </c>
      <c r="C152" s="5" t="s">
        <v>20</v>
      </c>
      <c r="D152" s="5" t="s">
        <v>16</v>
      </c>
      <c r="E152" s="5">
        <v>60322.400000000001</v>
      </c>
      <c r="F152" s="5">
        <v>3350</v>
      </c>
      <c r="G152" s="5">
        <v>0.108</v>
      </c>
      <c r="H152" s="5">
        <v>12</v>
      </c>
      <c r="I152" s="5">
        <v>89.4</v>
      </c>
      <c r="J152" s="5">
        <v>4.92</v>
      </c>
      <c r="K152" s="5">
        <v>0</v>
      </c>
      <c r="L152" s="5">
        <v>3.4</v>
      </c>
      <c r="M152" s="5">
        <v>570964.84</v>
      </c>
      <c r="N152" s="5">
        <v>81331.070000000007</v>
      </c>
    </row>
    <row r="153" spans="1:14" ht="15" customHeight="1">
      <c r="A153" s="5" t="s">
        <v>59</v>
      </c>
      <c r="B153" s="5" t="s">
        <v>102</v>
      </c>
      <c r="C153" s="5" t="s">
        <v>24</v>
      </c>
      <c r="D153" s="5" t="s">
        <v>28</v>
      </c>
      <c r="E153" s="5">
        <v>51575.68</v>
      </c>
      <c r="F153" s="5">
        <v>5329</v>
      </c>
      <c r="G153" s="5">
        <v>4.7E-2</v>
      </c>
      <c r="H153" s="5">
        <v>17</v>
      </c>
      <c r="I153" s="5">
        <v>88.1</v>
      </c>
      <c r="J153" s="5">
        <v>19.78</v>
      </c>
      <c r="K153" s="5">
        <v>0</v>
      </c>
      <c r="L153" s="5">
        <v>3.8</v>
      </c>
      <c r="M153" s="5">
        <v>614024.91</v>
      </c>
      <c r="N153" s="5">
        <v>84828.93</v>
      </c>
    </row>
    <row r="154" spans="1:14" ht="15" customHeight="1">
      <c r="A154" s="5" t="s">
        <v>59</v>
      </c>
      <c r="B154" s="5" t="s">
        <v>103</v>
      </c>
      <c r="C154" s="5" t="s">
        <v>24</v>
      </c>
      <c r="D154" s="5" t="s">
        <v>28</v>
      </c>
      <c r="E154" s="5">
        <v>43319.94</v>
      </c>
      <c r="F154" s="5">
        <v>6551</v>
      </c>
      <c r="G154" s="5">
        <v>4.3999999999999997E-2</v>
      </c>
      <c r="H154" s="5">
        <v>13</v>
      </c>
      <c r="I154" s="5">
        <v>99</v>
      </c>
      <c r="J154" s="5">
        <v>5.45</v>
      </c>
      <c r="K154" s="5">
        <v>0</v>
      </c>
      <c r="L154" s="5">
        <v>4.0999999999999996</v>
      </c>
      <c r="M154" s="5">
        <v>712868.35</v>
      </c>
      <c r="N154" s="5">
        <v>133650.51</v>
      </c>
    </row>
    <row r="155" spans="1:14" ht="15" customHeight="1">
      <c r="A155" s="5" t="s">
        <v>59</v>
      </c>
      <c r="B155" s="5" t="s">
        <v>104</v>
      </c>
      <c r="C155" s="5" t="s">
        <v>24</v>
      </c>
      <c r="D155" s="5" t="s">
        <v>28</v>
      </c>
      <c r="E155" s="5">
        <v>47093.55</v>
      </c>
      <c r="F155" s="5">
        <v>5550</v>
      </c>
      <c r="G155" s="5">
        <v>0.1</v>
      </c>
      <c r="H155" s="5">
        <v>12</v>
      </c>
      <c r="I155" s="5">
        <v>95</v>
      </c>
      <c r="J155" s="5">
        <v>2.33</v>
      </c>
      <c r="K155" s="5">
        <v>1</v>
      </c>
      <c r="L155" s="5">
        <v>3.7</v>
      </c>
      <c r="M155" s="5">
        <v>696744.15</v>
      </c>
      <c r="N155" s="5">
        <v>152230.09</v>
      </c>
    </row>
    <row r="156" spans="1:14" ht="15" customHeight="1">
      <c r="A156" s="5" t="s">
        <v>59</v>
      </c>
      <c r="B156" s="5" t="s">
        <v>105</v>
      </c>
      <c r="C156" s="5" t="s">
        <v>24</v>
      </c>
      <c r="D156" s="5" t="s">
        <v>28</v>
      </c>
      <c r="E156" s="5">
        <v>71855.09</v>
      </c>
      <c r="F156" s="5">
        <v>5911</v>
      </c>
      <c r="G156" s="5">
        <v>0.19700000000000001</v>
      </c>
      <c r="H156" s="5">
        <v>15</v>
      </c>
      <c r="I156" s="5">
        <v>94.3</v>
      </c>
      <c r="J156" s="5">
        <v>3.55</v>
      </c>
      <c r="K156" s="5">
        <v>0</v>
      </c>
      <c r="L156" s="5">
        <v>4.0999999999999996</v>
      </c>
      <c r="M156" s="5">
        <v>725847.99</v>
      </c>
      <c r="N156" s="5">
        <v>122698.73</v>
      </c>
    </row>
    <row r="157" spans="1:14" ht="15" customHeight="1">
      <c r="A157" s="5" t="s">
        <v>60</v>
      </c>
      <c r="B157" s="5" t="s">
        <v>102</v>
      </c>
      <c r="C157" s="5" t="s">
        <v>15</v>
      </c>
      <c r="D157" s="5" t="s">
        <v>18</v>
      </c>
      <c r="E157" s="5">
        <v>75645.23</v>
      </c>
      <c r="F157" s="5">
        <v>9674</v>
      </c>
      <c r="G157" s="5">
        <v>0.23400000000000001</v>
      </c>
      <c r="H157" s="5">
        <v>21</v>
      </c>
      <c r="I157" s="5">
        <v>87.4</v>
      </c>
      <c r="J157" s="5">
        <v>0.2</v>
      </c>
      <c r="K157" s="5">
        <v>0</v>
      </c>
      <c r="L157" s="5">
        <v>4.5</v>
      </c>
      <c r="M157" s="5">
        <v>785028.25</v>
      </c>
      <c r="N157" s="5">
        <v>110726.44</v>
      </c>
    </row>
    <row r="158" spans="1:14" ht="15" customHeight="1">
      <c r="A158" s="5" t="s">
        <v>60</v>
      </c>
      <c r="B158" s="5" t="s">
        <v>103</v>
      </c>
      <c r="C158" s="5" t="s">
        <v>15</v>
      </c>
      <c r="D158" s="5" t="s">
        <v>18</v>
      </c>
      <c r="E158" s="5">
        <v>64374.75</v>
      </c>
      <c r="F158" s="5">
        <v>6740</v>
      </c>
      <c r="G158" s="5">
        <v>0.16900000000000001</v>
      </c>
      <c r="H158" s="5">
        <v>18</v>
      </c>
      <c r="I158" s="5">
        <v>87</v>
      </c>
      <c r="J158" s="5">
        <v>2.09</v>
      </c>
      <c r="K158" s="5">
        <v>0</v>
      </c>
      <c r="L158" s="5">
        <v>4.2</v>
      </c>
      <c r="M158" s="5">
        <v>698492.67</v>
      </c>
      <c r="N158" s="5">
        <v>117319.32</v>
      </c>
    </row>
    <row r="159" spans="1:14" ht="15" customHeight="1">
      <c r="A159" s="5" t="s">
        <v>60</v>
      </c>
      <c r="B159" s="5" t="s">
        <v>104</v>
      </c>
      <c r="C159" s="5" t="s">
        <v>15</v>
      </c>
      <c r="D159" s="5" t="s">
        <v>18</v>
      </c>
      <c r="E159" s="5">
        <v>61433.84</v>
      </c>
      <c r="F159" s="5">
        <v>7745</v>
      </c>
      <c r="G159" s="5">
        <v>0.18</v>
      </c>
      <c r="H159" s="5">
        <v>16</v>
      </c>
      <c r="I159" s="5">
        <v>90.5</v>
      </c>
      <c r="J159" s="5">
        <v>2.2599999999999998</v>
      </c>
      <c r="K159" s="5">
        <v>0</v>
      </c>
      <c r="L159" s="5">
        <v>4.2</v>
      </c>
      <c r="M159" s="5">
        <v>685830.24</v>
      </c>
      <c r="N159" s="5">
        <v>128736.18</v>
      </c>
    </row>
    <row r="160" spans="1:14" ht="15" customHeight="1">
      <c r="A160" s="5" t="s">
        <v>60</v>
      </c>
      <c r="B160" s="5" t="s">
        <v>105</v>
      </c>
      <c r="C160" s="5" t="s">
        <v>15</v>
      </c>
      <c r="D160" s="5" t="s">
        <v>18</v>
      </c>
      <c r="E160" s="5">
        <v>42698.14</v>
      </c>
      <c r="F160" s="5">
        <v>7693</v>
      </c>
      <c r="G160" s="5">
        <v>0.187</v>
      </c>
      <c r="H160" s="5">
        <v>19</v>
      </c>
      <c r="I160" s="5">
        <v>90.1</v>
      </c>
      <c r="J160" s="5">
        <v>0.44</v>
      </c>
      <c r="K160" s="5">
        <v>0</v>
      </c>
      <c r="L160" s="5">
        <v>4.4000000000000004</v>
      </c>
      <c r="M160" s="5">
        <v>702318.94</v>
      </c>
      <c r="N160" s="5">
        <v>112829.29</v>
      </c>
    </row>
    <row r="161" spans="1:14" ht="15" customHeight="1">
      <c r="A161" s="5" t="s">
        <v>61</v>
      </c>
      <c r="B161" s="5" t="s">
        <v>102</v>
      </c>
      <c r="C161" s="5" t="s">
        <v>20</v>
      </c>
      <c r="D161" s="5" t="s">
        <v>28</v>
      </c>
      <c r="E161" s="5">
        <v>86883.31</v>
      </c>
      <c r="F161" s="5">
        <v>6424</v>
      </c>
      <c r="G161" s="5">
        <v>5.7000000000000002E-2</v>
      </c>
      <c r="H161" s="5">
        <v>19</v>
      </c>
      <c r="I161" s="5">
        <v>85.2</v>
      </c>
      <c r="J161" s="5">
        <v>3.08</v>
      </c>
      <c r="K161" s="5">
        <v>0</v>
      </c>
      <c r="L161" s="5">
        <v>3.9</v>
      </c>
      <c r="M161" s="5">
        <v>700078.32</v>
      </c>
      <c r="N161" s="5">
        <v>123707.58</v>
      </c>
    </row>
    <row r="162" spans="1:14" ht="15" customHeight="1">
      <c r="A162" s="5" t="s">
        <v>61</v>
      </c>
      <c r="B162" s="5" t="s">
        <v>103</v>
      </c>
      <c r="C162" s="5" t="s">
        <v>20</v>
      </c>
      <c r="D162" s="5" t="s">
        <v>28</v>
      </c>
      <c r="E162" s="5">
        <v>41863.08</v>
      </c>
      <c r="F162" s="5">
        <v>5400</v>
      </c>
      <c r="G162" s="5">
        <v>0.114</v>
      </c>
      <c r="H162" s="5">
        <v>11</v>
      </c>
      <c r="I162" s="5">
        <v>91.6</v>
      </c>
      <c r="J162" s="5">
        <v>7.99</v>
      </c>
      <c r="K162" s="5">
        <v>0</v>
      </c>
      <c r="L162" s="5">
        <v>3</v>
      </c>
      <c r="M162" s="5">
        <v>602002.31999999995</v>
      </c>
      <c r="N162" s="5">
        <v>110453.28</v>
      </c>
    </row>
    <row r="163" spans="1:14" ht="15" customHeight="1">
      <c r="A163" s="5" t="s">
        <v>61</v>
      </c>
      <c r="B163" s="5" t="s">
        <v>104</v>
      </c>
      <c r="C163" s="5" t="s">
        <v>20</v>
      </c>
      <c r="D163" s="5" t="s">
        <v>28</v>
      </c>
      <c r="E163" s="5">
        <v>56918.16</v>
      </c>
      <c r="F163" s="5">
        <v>7015</v>
      </c>
      <c r="G163" s="5">
        <v>0.158</v>
      </c>
      <c r="H163" s="5">
        <v>18</v>
      </c>
      <c r="I163" s="5">
        <v>74.2</v>
      </c>
      <c r="J163" s="5">
        <v>0.2</v>
      </c>
      <c r="K163" s="5">
        <v>0</v>
      </c>
      <c r="L163" s="5">
        <v>3.4</v>
      </c>
      <c r="M163" s="5">
        <v>724216.07</v>
      </c>
      <c r="N163" s="5">
        <v>100627.56</v>
      </c>
    </row>
    <row r="164" spans="1:14" ht="15" customHeight="1">
      <c r="A164" s="5" t="s">
        <v>61</v>
      </c>
      <c r="B164" s="5" t="s">
        <v>105</v>
      </c>
      <c r="C164" s="5" t="s">
        <v>20</v>
      </c>
      <c r="D164" s="5" t="s">
        <v>28</v>
      </c>
      <c r="E164" s="5">
        <v>23254.57</v>
      </c>
      <c r="F164" s="5">
        <v>3847</v>
      </c>
      <c r="G164" s="5">
        <v>0.159</v>
      </c>
      <c r="H164" s="5">
        <v>12</v>
      </c>
      <c r="I164" s="5">
        <v>93</v>
      </c>
      <c r="J164" s="5">
        <v>5.46</v>
      </c>
      <c r="K164" s="5">
        <v>0</v>
      </c>
      <c r="L164" s="5">
        <v>3.3</v>
      </c>
      <c r="M164" s="5">
        <v>620973.03</v>
      </c>
      <c r="N164" s="5">
        <v>72303.850000000006</v>
      </c>
    </row>
    <row r="165" spans="1:14" ht="15" customHeight="1">
      <c r="A165" s="5" t="s">
        <v>62</v>
      </c>
      <c r="B165" s="5" t="s">
        <v>102</v>
      </c>
      <c r="C165" s="5" t="s">
        <v>24</v>
      </c>
      <c r="D165" s="5" t="s">
        <v>18</v>
      </c>
      <c r="E165" s="5">
        <v>41443.410000000003</v>
      </c>
      <c r="F165" s="5">
        <v>7455</v>
      </c>
      <c r="G165" s="5">
        <v>0.17499999999999999</v>
      </c>
      <c r="H165" s="5">
        <v>16</v>
      </c>
      <c r="I165" s="5">
        <v>90.1</v>
      </c>
      <c r="J165" s="5">
        <v>4.05</v>
      </c>
      <c r="K165" s="5">
        <v>0</v>
      </c>
      <c r="L165" s="5">
        <v>4</v>
      </c>
      <c r="M165" s="5">
        <v>650480.06000000006</v>
      </c>
      <c r="N165" s="5">
        <v>109012.07</v>
      </c>
    </row>
    <row r="166" spans="1:14" ht="15" customHeight="1">
      <c r="A166" s="5" t="s">
        <v>62</v>
      </c>
      <c r="B166" s="5" t="s">
        <v>103</v>
      </c>
      <c r="C166" s="5" t="s">
        <v>24</v>
      </c>
      <c r="D166" s="5" t="s">
        <v>18</v>
      </c>
      <c r="E166" s="5">
        <v>48438.85</v>
      </c>
      <c r="F166" s="5">
        <v>6992</v>
      </c>
      <c r="G166" s="5">
        <v>3.4000000000000002E-2</v>
      </c>
      <c r="H166" s="5">
        <v>20</v>
      </c>
      <c r="I166" s="5">
        <v>91</v>
      </c>
      <c r="J166" s="5">
        <v>4.3600000000000003</v>
      </c>
      <c r="K166" s="5">
        <v>0</v>
      </c>
      <c r="L166" s="5">
        <v>4.2</v>
      </c>
      <c r="M166" s="5">
        <v>778298.88</v>
      </c>
      <c r="N166" s="5">
        <v>130076.72</v>
      </c>
    </row>
    <row r="167" spans="1:14" ht="15" customHeight="1">
      <c r="A167" s="5" t="s">
        <v>62</v>
      </c>
      <c r="B167" s="5" t="s">
        <v>104</v>
      </c>
      <c r="C167" s="5" t="s">
        <v>24</v>
      </c>
      <c r="D167" s="5" t="s">
        <v>18</v>
      </c>
      <c r="E167" s="5">
        <v>57143.3</v>
      </c>
      <c r="F167" s="5">
        <v>8038</v>
      </c>
      <c r="G167" s="5">
        <v>0.193</v>
      </c>
      <c r="H167" s="5">
        <v>17</v>
      </c>
      <c r="I167" s="5">
        <v>72.599999999999994</v>
      </c>
      <c r="J167" s="5">
        <v>3.3650000000000002</v>
      </c>
      <c r="K167" s="5">
        <v>0</v>
      </c>
      <c r="L167" s="5">
        <v>4.2</v>
      </c>
      <c r="M167" s="5">
        <v>677096.71</v>
      </c>
      <c r="N167" s="5">
        <v>97174.11</v>
      </c>
    </row>
    <row r="168" spans="1:14" ht="15" customHeight="1">
      <c r="A168" s="5" t="s">
        <v>62</v>
      </c>
      <c r="B168" s="5" t="s">
        <v>105</v>
      </c>
      <c r="C168" s="5" t="s">
        <v>24</v>
      </c>
      <c r="D168" s="5" t="s">
        <v>18</v>
      </c>
      <c r="E168" s="5">
        <v>66870.62</v>
      </c>
      <c r="F168" s="5">
        <v>6055</v>
      </c>
      <c r="G168" s="5">
        <v>7.4999999999999997E-2</v>
      </c>
      <c r="H168" s="5">
        <v>19</v>
      </c>
      <c r="I168" s="5">
        <v>93.8</v>
      </c>
      <c r="J168" s="5">
        <v>0.54</v>
      </c>
      <c r="K168" s="5">
        <v>0</v>
      </c>
      <c r="L168" s="5">
        <v>4.3</v>
      </c>
      <c r="M168" s="5">
        <v>692008.64</v>
      </c>
      <c r="N168" s="5">
        <v>116337.87</v>
      </c>
    </row>
    <row r="169" spans="1:14" ht="15" customHeight="1">
      <c r="A169" s="5" t="s">
        <v>63</v>
      </c>
      <c r="B169" s="5" t="s">
        <v>102</v>
      </c>
      <c r="C169" s="5" t="s">
        <v>20</v>
      </c>
      <c r="D169" s="5" t="s">
        <v>28</v>
      </c>
      <c r="E169" s="5">
        <v>72150.53</v>
      </c>
      <c r="F169" s="5">
        <v>9323</v>
      </c>
      <c r="G169" s="5">
        <v>0.157</v>
      </c>
      <c r="H169" s="5">
        <v>22</v>
      </c>
      <c r="I169" s="5">
        <v>82.9</v>
      </c>
      <c r="J169" s="5">
        <v>11.37</v>
      </c>
      <c r="K169" s="5">
        <v>1</v>
      </c>
      <c r="L169" s="5">
        <v>4.3</v>
      </c>
      <c r="M169" s="5">
        <v>825797.91</v>
      </c>
      <c r="N169" s="5">
        <v>130945.24</v>
      </c>
    </row>
    <row r="170" spans="1:14" ht="15" customHeight="1">
      <c r="A170" s="5" t="s">
        <v>63</v>
      </c>
      <c r="B170" s="5" t="s">
        <v>103</v>
      </c>
      <c r="C170" s="5" t="s">
        <v>20</v>
      </c>
      <c r="D170" s="5" t="s">
        <v>28</v>
      </c>
      <c r="E170" s="5">
        <v>35303.300000000003</v>
      </c>
      <c r="F170" s="5">
        <v>8789</v>
      </c>
      <c r="G170" s="5">
        <v>0.123</v>
      </c>
      <c r="H170" s="5">
        <v>22</v>
      </c>
      <c r="I170" s="5">
        <v>86.1</v>
      </c>
      <c r="J170" s="5">
        <v>9.43</v>
      </c>
      <c r="K170" s="5">
        <v>0</v>
      </c>
      <c r="L170" s="5">
        <v>4.2</v>
      </c>
      <c r="M170" s="5">
        <v>706285.52</v>
      </c>
      <c r="N170" s="5">
        <v>138014.72</v>
      </c>
    </row>
    <row r="171" spans="1:14" ht="15" customHeight="1">
      <c r="A171" s="5" t="s">
        <v>63</v>
      </c>
      <c r="B171" s="5" t="s">
        <v>104</v>
      </c>
      <c r="C171" s="5" t="s">
        <v>20</v>
      </c>
      <c r="D171" s="5" t="s">
        <v>28</v>
      </c>
      <c r="E171" s="5">
        <v>30301.86</v>
      </c>
      <c r="F171" s="5">
        <v>6939</v>
      </c>
      <c r="G171" s="5">
        <v>0.09</v>
      </c>
      <c r="H171" s="5">
        <v>16</v>
      </c>
      <c r="I171" s="5">
        <v>90.3</v>
      </c>
      <c r="J171" s="5">
        <v>3.49</v>
      </c>
      <c r="K171" s="5">
        <v>0</v>
      </c>
      <c r="L171" s="5">
        <v>4</v>
      </c>
      <c r="M171" s="5">
        <v>665534.69999999995</v>
      </c>
      <c r="N171" s="5">
        <v>113167.73</v>
      </c>
    </row>
    <row r="172" spans="1:14" ht="15" customHeight="1">
      <c r="A172" s="5" t="s">
        <v>63</v>
      </c>
      <c r="B172" s="5" t="s">
        <v>105</v>
      </c>
      <c r="C172" s="5" t="s">
        <v>20</v>
      </c>
      <c r="D172" s="5" t="s">
        <v>28</v>
      </c>
      <c r="E172" s="5">
        <v>78432.14</v>
      </c>
      <c r="F172" s="5">
        <v>9440</v>
      </c>
      <c r="G172" s="5">
        <v>0.126</v>
      </c>
      <c r="H172" s="5">
        <v>23</v>
      </c>
      <c r="I172" s="5">
        <v>89.2</v>
      </c>
      <c r="J172" s="5">
        <v>7.86</v>
      </c>
      <c r="K172" s="5">
        <v>0</v>
      </c>
      <c r="L172" s="5">
        <v>4.0999999999999996</v>
      </c>
      <c r="M172" s="5">
        <v>820729.29</v>
      </c>
      <c r="N172" s="5">
        <v>159325.47</v>
      </c>
    </row>
    <row r="173" spans="1:14" ht="15" customHeight="1">
      <c r="A173" s="5" t="s">
        <v>64</v>
      </c>
      <c r="B173" s="5" t="s">
        <v>102</v>
      </c>
      <c r="C173" s="5" t="s">
        <v>15</v>
      </c>
      <c r="D173" s="5" t="s">
        <v>16</v>
      </c>
      <c r="E173" s="5">
        <v>62059.18</v>
      </c>
      <c r="F173" s="5">
        <v>9374</v>
      </c>
      <c r="G173" s="5">
        <v>0.13600000000000001</v>
      </c>
      <c r="H173" s="5">
        <v>25</v>
      </c>
      <c r="I173" s="5">
        <v>87.1</v>
      </c>
      <c r="J173" s="5">
        <v>12.55</v>
      </c>
      <c r="K173" s="5">
        <v>0</v>
      </c>
      <c r="L173" s="5">
        <v>4.9000000000000004</v>
      </c>
      <c r="M173" s="5">
        <v>739831.73</v>
      </c>
      <c r="N173" s="5">
        <v>119490.21</v>
      </c>
    </row>
    <row r="174" spans="1:14" ht="15" customHeight="1">
      <c r="A174" s="5" t="s">
        <v>64</v>
      </c>
      <c r="B174" s="5" t="s">
        <v>103</v>
      </c>
      <c r="C174" s="5" t="s">
        <v>15</v>
      </c>
      <c r="D174" s="5" t="s">
        <v>16</v>
      </c>
      <c r="E174" s="5">
        <v>32834.480000000003</v>
      </c>
      <c r="F174" s="5">
        <v>7576</v>
      </c>
      <c r="G174" s="5">
        <v>9.9000000000000005E-2</v>
      </c>
      <c r="H174" s="5">
        <v>15</v>
      </c>
      <c r="I174" s="5">
        <v>84.1</v>
      </c>
      <c r="J174" s="5">
        <v>3.48</v>
      </c>
      <c r="K174" s="5">
        <v>0</v>
      </c>
      <c r="L174" s="5">
        <v>5</v>
      </c>
      <c r="M174" s="5">
        <v>593637.14</v>
      </c>
      <c r="N174" s="5">
        <v>106648.14</v>
      </c>
    </row>
    <row r="175" spans="1:14" ht="15" customHeight="1">
      <c r="A175" s="5" t="s">
        <v>64</v>
      </c>
      <c r="B175" s="5" t="s">
        <v>104</v>
      </c>
      <c r="C175" s="5" t="s">
        <v>15</v>
      </c>
      <c r="D175" s="5" t="s">
        <v>16</v>
      </c>
      <c r="E175" s="5">
        <v>50825.08</v>
      </c>
      <c r="F175" s="5">
        <v>8949</v>
      </c>
      <c r="G175" s="5">
        <v>0.157</v>
      </c>
      <c r="H175" s="5">
        <v>21</v>
      </c>
      <c r="I175" s="5">
        <v>84.7</v>
      </c>
      <c r="J175" s="5">
        <v>7.73</v>
      </c>
      <c r="K175" s="5">
        <v>0</v>
      </c>
      <c r="L175" s="5">
        <v>4.9000000000000004</v>
      </c>
      <c r="M175" s="5">
        <v>769702.76</v>
      </c>
      <c r="N175" s="5">
        <v>158697</v>
      </c>
    </row>
    <row r="176" spans="1:14" ht="15" customHeight="1">
      <c r="A176" s="5" t="s">
        <v>64</v>
      </c>
      <c r="B176" s="5" t="s">
        <v>105</v>
      </c>
      <c r="C176" s="5" t="s">
        <v>15</v>
      </c>
      <c r="D176" s="5" t="s">
        <v>16</v>
      </c>
      <c r="E176" s="5">
        <v>36606.51</v>
      </c>
      <c r="F176" s="5">
        <v>7671</v>
      </c>
      <c r="G176" s="5">
        <v>0.11799999999999999</v>
      </c>
      <c r="H176" s="5">
        <v>18</v>
      </c>
      <c r="I176" s="5">
        <v>89.8</v>
      </c>
      <c r="J176" s="5">
        <v>0.25</v>
      </c>
      <c r="K176" s="5">
        <v>0</v>
      </c>
      <c r="L176" s="5">
        <v>4.4000000000000004</v>
      </c>
      <c r="M176" s="5">
        <v>679731.57</v>
      </c>
      <c r="N176" s="5">
        <v>121546.42</v>
      </c>
    </row>
    <row r="177" spans="1:14" ht="15" customHeight="1">
      <c r="A177" s="5" t="s">
        <v>65</v>
      </c>
      <c r="B177" s="5" t="s">
        <v>102</v>
      </c>
      <c r="C177" s="5" t="s">
        <v>15</v>
      </c>
      <c r="D177" s="5" t="s">
        <v>16</v>
      </c>
      <c r="E177" s="5">
        <v>65237.79</v>
      </c>
      <c r="F177" s="5">
        <v>8741</v>
      </c>
      <c r="G177" s="5">
        <v>0.157</v>
      </c>
      <c r="H177" s="5">
        <v>20</v>
      </c>
      <c r="I177" s="5">
        <v>94.4</v>
      </c>
      <c r="J177" s="5">
        <v>6.43</v>
      </c>
      <c r="K177" s="5">
        <v>0</v>
      </c>
      <c r="L177" s="5">
        <v>3.3</v>
      </c>
      <c r="M177" s="5">
        <v>780344.18</v>
      </c>
      <c r="N177" s="5">
        <v>118239.09</v>
      </c>
    </row>
    <row r="178" spans="1:14" ht="15" customHeight="1">
      <c r="A178" s="5" t="s">
        <v>65</v>
      </c>
      <c r="B178" s="5" t="s">
        <v>103</v>
      </c>
      <c r="C178" s="5" t="s">
        <v>15</v>
      </c>
      <c r="D178" s="5" t="s">
        <v>16</v>
      </c>
      <c r="E178" s="5">
        <v>43645.98</v>
      </c>
      <c r="F178" s="5">
        <v>9480</v>
      </c>
      <c r="G178" s="5">
        <v>0.109</v>
      </c>
      <c r="H178" s="5">
        <v>22</v>
      </c>
      <c r="I178" s="5">
        <v>89</v>
      </c>
      <c r="J178" s="5">
        <v>2.11</v>
      </c>
      <c r="K178" s="5">
        <v>0</v>
      </c>
      <c r="L178" s="5">
        <v>3.1</v>
      </c>
      <c r="M178" s="5">
        <v>721364.11</v>
      </c>
      <c r="N178" s="5">
        <v>147272.81</v>
      </c>
    </row>
    <row r="179" spans="1:14" ht="15" customHeight="1">
      <c r="A179" s="5" t="s">
        <v>65</v>
      </c>
      <c r="B179" s="5" t="s">
        <v>104</v>
      </c>
      <c r="C179" s="5" t="s">
        <v>15</v>
      </c>
      <c r="D179" s="5" t="s">
        <v>16</v>
      </c>
      <c r="E179" s="5">
        <v>68040.149999999994</v>
      </c>
      <c r="F179" s="5">
        <v>9826</v>
      </c>
      <c r="G179" s="5">
        <v>0.125</v>
      </c>
      <c r="H179" s="5">
        <v>20</v>
      </c>
      <c r="I179" s="5">
        <v>83.9</v>
      </c>
      <c r="J179" s="5">
        <v>9.1199999999999992</v>
      </c>
      <c r="K179" s="5">
        <v>0</v>
      </c>
      <c r="L179" s="5">
        <v>3.6</v>
      </c>
      <c r="M179" s="5">
        <v>758138.29</v>
      </c>
      <c r="N179" s="5">
        <v>132975.26</v>
      </c>
    </row>
    <row r="180" spans="1:14" ht="15" customHeight="1">
      <c r="A180" s="5" t="s">
        <v>65</v>
      </c>
      <c r="B180" s="5" t="s">
        <v>105</v>
      </c>
      <c r="C180" s="5" t="s">
        <v>15</v>
      </c>
      <c r="D180" s="5" t="s">
        <v>16</v>
      </c>
      <c r="E180" s="5">
        <v>63043.94</v>
      </c>
      <c r="F180" s="5">
        <v>10402</v>
      </c>
      <c r="G180" s="5">
        <v>0.159</v>
      </c>
      <c r="H180" s="5">
        <v>23</v>
      </c>
      <c r="I180" s="5">
        <v>93.9</v>
      </c>
      <c r="J180" s="5">
        <v>2.71</v>
      </c>
      <c r="K180" s="5">
        <v>0</v>
      </c>
      <c r="L180" s="5">
        <v>3.1</v>
      </c>
      <c r="M180" s="5">
        <v>804264</v>
      </c>
      <c r="N180" s="5">
        <v>167117.91</v>
      </c>
    </row>
    <row r="181" spans="1:14" ht="15" customHeight="1">
      <c r="A181" s="5" t="s">
        <v>66</v>
      </c>
      <c r="B181" s="5" t="s">
        <v>102</v>
      </c>
      <c r="C181" s="5" t="s">
        <v>27</v>
      </c>
      <c r="D181" s="5" t="s">
        <v>21</v>
      </c>
      <c r="E181" s="5">
        <v>67494.09</v>
      </c>
      <c r="F181" s="5">
        <v>12361</v>
      </c>
      <c r="G181" s="5">
        <v>4.5999999999999999E-2</v>
      </c>
      <c r="H181" s="5">
        <v>24</v>
      </c>
      <c r="I181" s="5">
        <v>76.599999999999994</v>
      </c>
      <c r="J181" s="5">
        <v>3.65</v>
      </c>
      <c r="K181" s="5">
        <v>1</v>
      </c>
      <c r="L181" s="5">
        <v>3.7</v>
      </c>
      <c r="M181" s="5">
        <v>887537.75</v>
      </c>
      <c r="N181" s="5">
        <v>160362.92000000001</v>
      </c>
    </row>
    <row r="182" spans="1:14" ht="15" customHeight="1">
      <c r="A182" s="5" t="s">
        <v>66</v>
      </c>
      <c r="B182" s="5" t="s">
        <v>103</v>
      </c>
      <c r="C182" s="5" t="s">
        <v>27</v>
      </c>
      <c r="D182" s="5" t="s">
        <v>21</v>
      </c>
      <c r="E182" s="5">
        <v>29389.32</v>
      </c>
      <c r="F182" s="5">
        <v>7925</v>
      </c>
      <c r="G182" s="5">
        <v>0.17699999999999999</v>
      </c>
      <c r="H182" s="5">
        <v>21</v>
      </c>
      <c r="I182" s="5">
        <v>90.9</v>
      </c>
      <c r="J182" s="5">
        <v>7.86</v>
      </c>
      <c r="K182" s="5">
        <v>0</v>
      </c>
      <c r="L182" s="5">
        <v>4</v>
      </c>
      <c r="M182" s="5">
        <v>783582</v>
      </c>
      <c r="N182" s="5">
        <v>130670.93</v>
      </c>
    </row>
    <row r="183" spans="1:14" ht="15" customHeight="1">
      <c r="A183" s="5" t="s">
        <v>66</v>
      </c>
      <c r="B183" s="5" t="s">
        <v>104</v>
      </c>
      <c r="C183" s="5" t="s">
        <v>27</v>
      </c>
      <c r="D183" s="5" t="s">
        <v>21</v>
      </c>
      <c r="E183" s="5">
        <v>40535.089999999997</v>
      </c>
      <c r="F183" s="5">
        <v>8870</v>
      </c>
      <c r="G183" s="5">
        <v>4.1000000000000002E-2</v>
      </c>
      <c r="H183" s="5">
        <v>21</v>
      </c>
      <c r="I183" s="5">
        <v>86.6</v>
      </c>
      <c r="J183" s="5">
        <v>0.3</v>
      </c>
      <c r="K183" s="5">
        <v>0</v>
      </c>
      <c r="L183" s="5">
        <v>4.0999999999999996</v>
      </c>
      <c r="M183" s="5">
        <v>781955.52</v>
      </c>
      <c r="N183" s="5">
        <v>152578.71</v>
      </c>
    </row>
    <row r="184" spans="1:14" ht="15" customHeight="1">
      <c r="A184" s="5" t="s">
        <v>66</v>
      </c>
      <c r="B184" s="5" t="s">
        <v>105</v>
      </c>
      <c r="C184" s="5" t="s">
        <v>27</v>
      </c>
      <c r="D184" s="5" t="s">
        <v>21</v>
      </c>
      <c r="E184" s="5">
        <v>74881.56</v>
      </c>
      <c r="F184" s="5">
        <v>9999</v>
      </c>
      <c r="G184" s="5">
        <v>1.2999999999999999E-2</v>
      </c>
      <c r="H184" s="5">
        <v>20</v>
      </c>
      <c r="I184" s="5">
        <v>89.6</v>
      </c>
      <c r="J184" s="5">
        <v>8.44</v>
      </c>
      <c r="K184" s="5">
        <v>0</v>
      </c>
      <c r="L184" s="5">
        <v>4.0999999999999996</v>
      </c>
      <c r="M184" s="5">
        <v>898031.04</v>
      </c>
      <c r="N184" s="5">
        <v>138666.5</v>
      </c>
    </row>
    <row r="185" spans="1:14" ht="15" customHeight="1">
      <c r="A185" s="5" t="s">
        <v>67</v>
      </c>
      <c r="B185" s="5" t="s">
        <v>102</v>
      </c>
      <c r="C185" s="5" t="s">
        <v>27</v>
      </c>
      <c r="D185" s="5" t="s">
        <v>16</v>
      </c>
      <c r="E185" s="5">
        <v>68491.11</v>
      </c>
      <c r="F185" s="5">
        <v>11154</v>
      </c>
      <c r="G185" s="5">
        <v>1E-3</v>
      </c>
      <c r="H185" s="5">
        <v>24</v>
      </c>
      <c r="I185" s="5">
        <v>89.4</v>
      </c>
      <c r="J185" s="5">
        <v>5.27</v>
      </c>
      <c r="K185" s="5">
        <v>1</v>
      </c>
      <c r="L185" s="5">
        <v>3.9</v>
      </c>
      <c r="M185" s="5">
        <v>855341.28</v>
      </c>
      <c r="N185" s="5">
        <v>175823.8</v>
      </c>
    </row>
    <row r="186" spans="1:14" ht="15" customHeight="1">
      <c r="A186" s="5" t="s">
        <v>67</v>
      </c>
      <c r="B186" s="5" t="s">
        <v>103</v>
      </c>
      <c r="C186" s="5" t="s">
        <v>27</v>
      </c>
      <c r="D186" s="5" t="s">
        <v>16</v>
      </c>
      <c r="E186" s="5">
        <v>45209.25</v>
      </c>
      <c r="F186" s="5">
        <v>9287</v>
      </c>
      <c r="G186" s="5">
        <v>0.14099999999999999</v>
      </c>
      <c r="H186" s="5">
        <v>22</v>
      </c>
      <c r="I186" s="5">
        <v>86.4</v>
      </c>
      <c r="J186" s="5">
        <v>13.22</v>
      </c>
      <c r="K186" s="5">
        <v>0</v>
      </c>
      <c r="L186" s="5">
        <v>3.6</v>
      </c>
      <c r="M186" s="5">
        <v>751393.88</v>
      </c>
      <c r="N186" s="5">
        <v>91480.320000000007</v>
      </c>
    </row>
    <row r="187" spans="1:14" ht="15" customHeight="1">
      <c r="A187" s="5" t="s">
        <v>67</v>
      </c>
      <c r="B187" s="5" t="s">
        <v>104</v>
      </c>
      <c r="C187" s="5" t="s">
        <v>27</v>
      </c>
      <c r="D187" s="5" t="s">
        <v>16</v>
      </c>
      <c r="E187" s="5">
        <v>63010.23</v>
      </c>
      <c r="F187" s="5">
        <v>9812</v>
      </c>
      <c r="G187" s="5">
        <v>0.113</v>
      </c>
      <c r="H187" s="5">
        <v>24</v>
      </c>
      <c r="I187" s="5">
        <v>76.8</v>
      </c>
      <c r="J187" s="5">
        <v>1.02</v>
      </c>
      <c r="K187" s="5">
        <v>1</v>
      </c>
      <c r="L187" s="5">
        <v>3.8</v>
      </c>
      <c r="M187" s="5">
        <v>761077.08</v>
      </c>
      <c r="N187" s="5">
        <v>113605.93</v>
      </c>
    </row>
    <row r="188" spans="1:14" ht="15" customHeight="1">
      <c r="A188" s="5" t="s">
        <v>67</v>
      </c>
      <c r="B188" s="5" t="s">
        <v>105</v>
      </c>
      <c r="C188" s="5" t="s">
        <v>27</v>
      </c>
      <c r="D188" s="5" t="s">
        <v>16</v>
      </c>
      <c r="E188" s="5">
        <v>57948.88</v>
      </c>
      <c r="F188" s="5">
        <v>10741</v>
      </c>
      <c r="G188" s="5">
        <v>7.0000000000000007E-2</v>
      </c>
      <c r="H188" s="5">
        <v>25</v>
      </c>
      <c r="I188" s="5">
        <v>90.1</v>
      </c>
      <c r="J188" s="5">
        <v>4.03</v>
      </c>
      <c r="K188" s="5">
        <v>0</v>
      </c>
      <c r="L188" s="5">
        <v>3.1</v>
      </c>
      <c r="M188" s="5">
        <v>819660.59</v>
      </c>
      <c r="N188" s="5">
        <v>172699.95</v>
      </c>
    </row>
    <row r="189" spans="1:14" ht="15" customHeight="1">
      <c r="A189" s="5" t="s">
        <v>68</v>
      </c>
      <c r="B189" s="5" t="s">
        <v>102</v>
      </c>
      <c r="C189" s="5" t="s">
        <v>20</v>
      </c>
      <c r="D189" s="5" t="s">
        <v>18</v>
      </c>
      <c r="E189" s="5">
        <v>71941.62</v>
      </c>
      <c r="F189" s="5">
        <v>6084</v>
      </c>
      <c r="G189" s="5">
        <v>7.1999999999999995E-2</v>
      </c>
      <c r="H189" s="5">
        <v>13</v>
      </c>
      <c r="I189" s="5">
        <v>93.7</v>
      </c>
      <c r="J189" s="5">
        <v>2.34</v>
      </c>
      <c r="K189" s="5">
        <v>0</v>
      </c>
      <c r="L189" s="5">
        <v>4.4000000000000004</v>
      </c>
      <c r="M189" s="5">
        <v>681855.56</v>
      </c>
      <c r="N189" s="5">
        <v>117645.61</v>
      </c>
    </row>
    <row r="190" spans="1:14" ht="15" customHeight="1">
      <c r="A190" s="5" t="s">
        <v>68</v>
      </c>
      <c r="B190" s="5" t="s">
        <v>103</v>
      </c>
      <c r="C190" s="5" t="s">
        <v>20</v>
      </c>
      <c r="D190" s="5" t="s">
        <v>18</v>
      </c>
      <c r="E190" s="5">
        <v>57147.88</v>
      </c>
      <c r="F190" s="5">
        <v>5252</v>
      </c>
      <c r="G190" s="5">
        <v>0.161</v>
      </c>
      <c r="H190" s="5">
        <v>15</v>
      </c>
      <c r="I190" s="5">
        <v>95.5</v>
      </c>
      <c r="J190" s="5">
        <v>8.51</v>
      </c>
      <c r="K190" s="5">
        <v>0</v>
      </c>
      <c r="L190" s="5">
        <v>4.4000000000000004</v>
      </c>
      <c r="M190" s="5">
        <v>678311.17</v>
      </c>
      <c r="N190" s="5">
        <v>132029.76000000001</v>
      </c>
    </row>
    <row r="191" spans="1:14" ht="15" customHeight="1">
      <c r="A191" s="5" t="s">
        <v>68</v>
      </c>
      <c r="B191" s="5" t="s">
        <v>104</v>
      </c>
      <c r="C191" s="5" t="s">
        <v>20</v>
      </c>
      <c r="D191" s="5" t="s">
        <v>18</v>
      </c>
      <c r="E191" s="5">
        <v>48031.74</v>
      </c>
      <c r="F191" s="5">
        <v>6516</v>
      </c>
      <c r="G191" s="5">
        <v>6.7000000000000004E-2</v>
      </c>
      <c r="H191" s="5">
        <v>14</v>
      </c>
      <c r="I191" s="5">
        <v>99</v>
      </c>
      <c r="J191" s="5">
        <v>0.48</v>
      </c>
      <c r="K191" s="5">
        <v>1</v>
      </c>
      <c r="L191" s="5">
        <v>4.3</v>
      </c>
      <c r="M191" s="5">
        <v>765906.95</v>
      </c>
      <c r="N191" s="5">
        <v>114005.9</v>
      </c>
    </row>
    <row r="192" spans="1:14" ht="15" customHeight="1">
      <c r="A192" s="5" t="s">
        <v>68</v>
      </c>
      <c r="B192" s="5" t="s">
        <v>105</v>
      </c>
      <c r="C192" s="5" t="s">
        <v>20</v>
      </c>
      <c r="D192" s="5" t="s">
        <v>18</v>
      </c>
      <c r="E192" s="5">
        <v>72784.800000000003</v>
      </c>
      <c r="F192" s="5">
        <v>7932</v>
      </c>
      <c r="G192" s="5">
        <v>9.4E-2</v>
      </c>
      <c r="H192" s="5">
        <v>20</v>
      </c>
      <c r="I192" s="5">
        <v>74.900000000000006</v>
      </c>
      <c r="J192" s="5">
        <v>13.62</v>
      </c>
      <c r="K192" s="5">
        <v>0</v>
      </c>
      <c r="L192" s="5">
        <v>4.2</v>
      </c>
      <c r="M192" s="5">
        <v>712546.38</v>
      </c>
      <c r="N192" s="5">
        <v>101480.04</v>
      </c>
    </row>
    <row r="193" spans="1:14" ht="15" customHeight="1">
      <c r="A193" s="5" t="s">
        <v>69</v>
      </c>
      <c r="B193" s="5" t="s">
        <v>102</v>
      </c>
      <c r="C193" s="5" t="s">
        <v>15</v>
      </c>
      <c r="D193" s="5" t="s">
        <v>18</v>
      </c>
      <c r="E193" s="5">
        <v>71641.899999999994</v>
      </c>
      <c r="F193" s="5">
        <v>3506</v>
      </c>
      <c r="G193" s="5">
        <v>0</v>
      </c>
      <c r="H193" s="5">
        <v>11</v>
      </c>
      <c r="I193" s="5">
        <v>86.4</v>
      </c>
      <c r="J193" s="5">
        <v>7.77</v>
      </c>
      <c r="K193" s="5">
        <v>0</v>
      </c>
      <c r="L193" s="5">
        <v>4.0999999999999996</v>
      </c>
      <c r="M193" s="5">
        <v>625993.82999999996</v>
      </c>
      <c r="N193" s="5">
        <v>98960.320000000007</v>
      </c>
    </row>
    <row r="194" spans="1:14" ht="15" customHeight="1">
      <c r="A194" s="5" t="s">
        <v>69</v>
      </c>
      <c r="B194" s="5" t="s">
        <v>103</v>
      </c>
      <c r="C194" s="5" t="s">
        <v>15</v>
      </c>
      <c r="D194" s="5" t="s">
        <v>18</v>
      </c>
      <c r="E194" s="5">
        <v>55788.61</v>
      </c>
      <c r="F194" s="5">
        <v>2312</v>
      </c>
      <c r="G194" s="5">
        <v>5.8000000000000003E-2</v>
      </c>
      <c r="H194" s="5">
        <v>10</v>
      </c>
      <c r="I194" s="5">
        <v>91.3</v>
      </c>
      <c r="J194" s="5">
        <v>1.99</v>
      </c>
      <c r="K194" s="5">
        <v>0</v>
      </c>
      <c r="L194" s="5">
        <v>3.8</v>
      </c>
      <c r="M194" s="5">
        <v>550962.93000000005</v>
      </c>
      <c r="N194" s="5">
        <v>97144.58</v>
      </c>
    </row>
    <row r="195" spans="1:14" ht="15" customHeight="1">
      <c r="A195" s="5" t="s">
        <v>69</v>
      </c>
      <c r="B195" s="5" t="s">
        <v>104</v>
      </c>
      <c r="C195" s="5" t="s">
        <v>15</v>
      </c>
      <c r="D195" s="5" t="s">
        <v>18</v>
      </c>
      <c r="E195" s="5">
        <v>37705.879999999997</v>
      </c>
      <c r="F195" s="5">
        <v>1268</v>
      </c>
      <c r="G195" s="5">
        <v>0.25900000000000001</v>
      </c>
      <c r="H195" s="5">
        <v>9</v>
      </c>
      <c r="I195" s="5">
        <v>84.1</v>
      </c>
      <c r="J195" s="5">
        <v>4.7699999999999996</v>
      </c>
      <c r="K195" s="5">
        <v>0</v>
      </c>
      <c r="L195" s="5">
        <v>3.8</v>
      </c>
      <c r="M195" s="5">
        <v>443275.59</v>
      </c>
      <c r="N195" s="5">
        <v>53544.36</v>
      </c>
    </row>
    <row r="196" spans="1:14" ht="15" customHeight="1">
      <c r="A196" s="5" t="s">
        <v>69</v>
      </c>
      <c r="B196" s="5" t="s">
        <v>105</v>
      </c>
      <c r="C196" s="5" t="s">
        <v>15</v>
      </c>
      <c r="D196" s="5" t="s">
        <v>18</v>
      </c>
      <c r="E196" s="5">
        <v>54966.18</v>
      </c>
      <c r="F196" s="5">
        <v>4423</v>
      </c>
      <c r="G196" s="5">
        <v>0.186</v>
      </c>
      <c r="H196" s="5">
        <v>13</v>
      </c>
      <c r="I196" s="5">
        <v>88.7</v>
      </c>
      <c r="J196" s="5">
        <v>0.2</v>
      </c>
      <c r="K196" s="5">
        <v>0</v>
      </c>
      <c r="L196" s="5">
        <v>4.4000000000000004</v>
      </c>
      <c r="M196" s="5">
        <v>554012.06999999995</v>
      </c>
      <c r="N196" s="5">
        <v>81101.62</v>
      </c>
    </row>
    <row r="197" spans="1:14" ht="15" customHeight="1">
      <c r="A197" s="5" t="s">
        <v>70</v>
      </c>
      <c r="B197" s="5" t="s">
        <v>102</v>
      </c>
      <c r="C197" s="5" t="s">
        <v>27</v>
      </c>
      <c r="D197" s="5" t="s">
        <v>16</v>
      </c>
      <c r="E197" s="5">
        <v>81796.740000000005</v>
      </c>
      <c r="F197" s="5">
        <v>6177</v>
      </c>
      <c r="G197" s="5">
        <v>0.16400000000000001</v>
      </c>
      <c r="H197" s="5">
        <v>14</v>
      </c>
      <c r="I197" s="5">
        <v>87.9</v>
      </c>
      <c r="J197" s="5">
        <v>0.53</v>
      </c>
      <c r="K197" s="5">
        <v>0</v>
      </c>
      <c r="L197" s="5">
        <v>3.2</v>
      </c>
      <c r="M197" s="5">
        <v>643428.85</v>
      </c>
      <c r="N197" s="5">
        <v>94477.63</v>
      </c>
    </row>
    <row r="198" spans="1:14" ht="15" customHeight="1">
      <c r="A198" s="5" t="s">
        <v>70</v>
      </c>
      <c r="B198" s="5" t="s">
        <v>103</v>
      </c>
      <c r="C198" s="5" t="s">
        <v>27</v>
      </c>
      <c r="D198" s="5" t="s">
        <v>16</v>
      </c>
      <c r="E198" s="5">
        <v>51133.43</v>
      </c>
      <c r="F198" s="5">
        <v>5150</v>
      </c>
      <c r="G198" s="5">
        <v>0.15</v>
      </c>
      <c r="H198" s="5">
        <v>12</v>
      </c>
      <c r="I198" s="5">
        <v>88.5</v>
      </c>
      <c r="J198" s="5">
        <v>1.54</v>
      </c>
      <c r="K198" s="5">
        <v>0</v>
      </c>
      <c r="L198" s="5">
        <v>3.2</v>
      </c>
      <c r="M198" s="5">
        <v>611924.27</v>
      </c>
      <c r="N198" s="5">
        <v>115488.75</v>
      </c>
    </row>
    <row r="199" spans="1:14" ht="15" customHeight="1">
      <c r="A199" s="5" t="s">
        <v>70</v>
      </c>
      <c r="B199" s="5" t="s">
        <v>104</v>
      </c>
      <c r="C199" s="5" t="s">
        <v>27</v>
      </c>
      <c r="D199" s="5" t="s">
        <v>16</v>
      </c>
      <c r="E199" s="5">
        <v>40220.18</v>
      </c>
      <c r="F199" s="5">
        <v>3783</v>
      </c>
      <c r="G199" s="5">
        <v>8.8999999999999996E-2</v>
      </c>
      <c r="H199" s="5">
        <v>14</v>
      </c>
      <c r="I199" s="5">
        <v>86.6</v>
      </c>
      <c r="J199" s="5">
        <v>3.63</v>
      </c>
      <c r="K199" s="5">
        <v>0</v>
      </c>
      <c r="L199" s="5">
        <v>3.7</v>
      </c>
      <c r="M199" s="5">
        <v>559422.02</v>
      </c>
      <c r="N199" s="5">
        <v>73528.740000000005</v>
      </c>
    </row>
    <row r="200" spans="1:14" ht="15" customHeight="1">
      <c r="A200" s="5" t="s">
        <v>70</v>
      </c>
      <c r="B200" s="5" t="s">
        <v>105</v>
      </c>
      <c r="C200" s="5" t="s">
        <v>27</v>
      </c>
      <c r="D200" s="5" t="s">
        <v>16</v>
      </c>
      <c r="E200" s="5">
        <v>41657.64</v>
      </c>
      <c r="F200" s="5">
        <v>3135</v>
      </c>
      <c r="G200" s="5">
        <v>0.22900000000000001</v>
      </c>
      <c r="H200" s="5">
        <v>7</v>
      </c>
      <c r="I200" s="5">
        <v>85.4</v>
      </c>
      <c r="J200" s="5">
        <v>13.48</v>
      </c>
      <c r="K200" s="5">
        <v>0</v>
      </c>
      <c r="L200" s="5">
        <v>3.9</v>
      </c>
      <c r="M200" s="5">
        <v>449465.06</v>
      </c>
      <c r="N200" s="5">
        <v>65694.78</v>
      </c>
    </row>
    <row r="201" spans="1:14" ht="15" customHeight="1">
      <c r="A201" s="5" t="s">
        <v>71</v>
      </c>
      <c r="B201" s="5" t="s">
        <v>102</v>
      </c>
      <c r="C201" s="5" t="s">
        <v>20</v>
      </c>
      <c r="D201" s="5" t="s">
        <v>16</v>
      </c>
      <c r="E201" s="5">
        <v>71851.45</v>
      </c>
      <c r="F201" s="5">
        <v>4970</v>
      </c>
      <c r="G201" s="5">
        <v>9.8000000000000004E-2</v>
      </c>
      <c r="H201" s="5">
        <v>11</v>
      </c>
      <c r="I201" s="5">
        <v>89.6</v>
      </c>
      <c r="J201" s="5">
        <v>0.2</v>
      </c>
      <c r="K201" s="5">
        <v>0</v>
      </c>
      <c r="L201" s="5">
        <v>4.2</v>
      </c>
      <c r="M201" s="5">
        <v>691447.43</v>
      </c>
      <c r="N201" s="5">
        <v>114077.69</v>
      </c>
    </row>
    <row r="202" spans="1:14" ht="15" customHeight="1">
      <c r="A202" s="5" t="s">
        <v>71</v>
      </c>
      <c r="B202" s="5" t="s">
        <v>103</v>
      </c>
      <c r="C202" s="5" t="s">
        <v>20</v>
      </c>
      <c r="D202" s="5" t="s">
        <v>16</v>
      </c>
      <c r="E202" s="5">
        <v>54002.83</v>
      </c>
      <c r="F202" s="5">
        <v>4366</v>
      </c>
      <c r="G202" s="5">
        <v>2.7E-2</v>
      </c>
      <c r="H202" s="5">
        <v>15</v>
      </c>
      <c r="I202" s="5">
        <v>90.6</v>
      </c>
      <c r="J202" s="5">
        <v>12.82</v>
      </c>
      <c r="K202" s="5">
        <v>0</v>
      </c>
      <c r="L202" s="5">
        <v>4.5999999999999996</v>
      </c>
      <c r="M202" s="5">
        <v>574066.61</v>
      </c>
      <c r="N202" s="5">
        <v>124674.67</v>
      </c>
    </row>
    <row r="203" spans="1:14" ht="15" customHeight="1">
      <c r="A203" s="5" t="s">
        <v>71</v>
      </c>
      <c r="B203" s="5" t="s">
        <v>104</v>
      </c>
      <c r="C203" s="5" t="s">
        <v>20</v>
      </c>
      <c r="D203" s="5" t="s">
        <v>16</v>
      </c>
      <c r="E203" s="5">
        <v>54479.33</v>
      </c>
      <c r="F203" s="5">
        <v>5012</v>
      </c>
      <c r="G203" s="5">
        <v>0.28399999999999997</v>
      </c>
      <c r="H203" s="5">
        <v>13</v>
      </c>
      <c r="I203" s="5">
        <v>86</v>
      </c>
      <c r="J203" s="5">
        <v>2.2400000000000002</v>
      </c>
      <c r="K203" s="5">
        <v>1</v>
      </c>
      <c r="L203" s="5">
        <v>4.3</v>
      </c>
      <c r="M203" s="5">
        <v>578949.84</v>
      </c>
      <c r="N203" s="5">
        <v>80253.649999999994</v>
      </c>
    </row>
    <row r="204" spans="1:14" ht="15" customHeight="1">
      <c r="A204" s="5" t="s">
        <v>71</v>
      </c>
      <c r="B204" s="5" t="s">
        <v>105</v>
      </c>
      <c r="C204" s="5" t="s">
        <v>20</v>
      </c>
      <c r="D204" s="5" t="s">
        <v>16</v>
      </c>
      <c r="E204" s="5">
        <v>61391.8</v>
      </c>
      <c r="F204" s="5">
        <v>5575</v>
      </c>
      <c r="G204" s="5">
        <v>0.189</v>
      </c>
      <c r="H204" s="5">
        <v>18</v>
      </c>
      <c r="I204" s="5">
        <v>90</v>
      </c>
      <c r="J204" s="5">
        <v>1.8</v>
      </c>
      <c r="K204" s="5">
        <v>0</v>
      </c>
      <c r="L204" s="5">
        <v>4.8</v>
      </c>
      <c r="M204" s="5">
        <v>735786.64</v>
      </c>
      <c r="N204" s="5">
        <v>126540.66</v>
      </c>
    </row>
    <row r="205" spans="1:14" ht="15" customHeight="1">
      <c r="A205" s="5" t="s">
        <v>72</v>
      </c>
      <c r="B205" s="5" t="s">
        <v>102</v>
      </c>
      <c r="C205" s="5" t="s">
        <v>15</v>
      </c>
      <c r="D205" s="5" t="s">
        <v>21</v>
      </c>
      <c r="E205" s="5">
        <v>22312.93</v>
      </c>
      <c r="F205" s="5">
        <v>5955</v>
      </c>
      <c r="G205" s="5">
        <v>0.123</v>
      </c>
      <c r="H205" s="5">
        <v>13</v>
      </c>
      <c r="I205" s="5">
        <v>84.2</v>
      </c>
      <c r="J205" s="5">
        <v>0.41</v>
      </c>
      <c r="K205" s="5">
        <v>1</v>
      </c>
      <c r="L205" s="5">
        <v>4.5999999999999996</v>
      </c>
      <c r="M205" s="5">
        <v>598904.9</v>
      </c>
      <c r="N205" s="5">
        <v>72861</v>
      </c>
    </row>
    <row r="206" spans="1:14" ht="15" customHeight="1">
      <c r="A206" s="5" t="s">
        <v>72</v>
      </c>
      <c r="B206" s="5" t="s">
        <v>103</v>
      </c>
      <c r="C206" s="5" t="s">
        <v>15</v>
      </c>
      <c r="D206" s="5" t="s">
        <v>21</v>
      </c>
      <c r="E206" s="5">
        <v>78111.97</v>
      </c>
      <c r="F206" s="5">
        <v>6389</v>
      </c>
      <c r="G206" s="5">
        <v>0.15</v>
      </c>
      <c r="H206" s="5">
        <v>13</v>
      </c>
      <c r="I206" s="5">
        <v>83.9</v>
      </c>
      <c r="J206" s="5">
        <v>3.05</v>
      </c>
      <c r="K206" s="5">
        <v>0</v>
      </c>
      <c r="L206" s="5">
        <v>4.8</v>
      </c>
      <c r="M206" s="5">
        <v>787715.51</v>
      </c>
      <c r="N206" s="5">
        <v>128969.62</v>
      </c>
    </row>
    <row r="207" spans="1:14" ht="15" customHeight="1">
      <c r="A207" s="5" t="s">
        <v>72</v>
      </c>
      <c r="B207" s="5" t="s">
        <v>104</v>
      </c>
      <c r="C207" s="5" t="s">
        <v>15</v>
      </c>
      <c r="D207" s="5" t="s">
        <v>21</v>
      </c>
      <c r="E207" s="5">
        <v>35203.230000000003</v>
      </c>
      <c r="F207" s="5">
        <v>6896</v>
      </c>
      <c r="G207" s="5">
        <v>3.2000000000000001E-2</v>
      </c>
      <c r="H207" s="5">
        <v>14</v>
      </c>
      <c r="I207" s="5">
        <v>80.8</v>
      </c>
      <c r="J207" s="5">
        <v>8.44</v>
      </c>
      <c r="K207" s="5">
        <v>1</v>
      </c>
      <c r="L207" s="5">
        <v>5</v>
      </c>
      <c r="M207" s="5">
        <v>607084.92000000004</v>
      </c>
      <c r="N207" s="5">
        <v>98558.49</v>
      </c>
    </row>
    <row r="208" spans="1:14" ht="15" customHeight="1">
      <c r="A208" s="5" t="s">
        <v>72</v>
      </c>
      <c r="B208" s="5" t="s">
        <v>105</v>
      </c>
      <c r="C208" s="5" t="s">
        <v>15</v>
      </c>
      <c r="D208" s="5" t="s">
        <v>21</v>
      </c>
      <c r="E208" s="5">
        <v>64104.28</v>
      </c>
      <c r="F208" s="5">
        <v>6015</v>
      </c>
      <c r="G208" s="5">
        <v>0.127</v>
      </c>
      <c r="H208" s="5">
        <v>15</v>
      </c>
      <c r="I208" s="5">
        <v>88.7</v>
      </c>
      <c r="J208" s="5">
        <v>0.78</v>
      </c>
      <c r="K208" s="5">
        <v>0</v>
      </c>
      <c r="L208" s="5">
        <v>4</v>
      </c>
      <c r="M208" s="5">
        <v>650795.49</v>
      </c>
      <c r="N208" s="5">
        <v>103035.89</v>
      </c>
    </row>
    <row r="209" spans="1:14" ht="15" customHeight="1">
      <c r="A209" s="5" t="s">
        <v>73</v>
      </c>
      <c r="B209" s="5" t="s">
        <v>102</v>
      </c>
      <c r="C209" s="5" t="s">
        <v>15</v>
      </c>
      <c r="D209" s="5" t="s">
        <v>28</v>
      </c>
      <c r="E209" s="5">
        <v>92090.14</v>
      </c>
      <c r="F209" s="5">
        <v>9476</v>
      </c>
      <c r="G209" s="5">
        <v>7.0000000000000007E-2</v>
      </c>
      <c r="H209" s="5">
        <v>24</v>
      </c>
      <c r="I209" s="5">
        <v>94.3</v>
      </c>
      <c r="J209" s="5">
        <v>0.87</v>
      </c>
      <c r="K209" s="5">
        <v>0</v>
      </c>
      <c r="L209" s="5">
        <v>3.7</v>
      </c>
      <c r="M209" s="5">
        <v>825060.52</v>
      </c>
      <c r="N209" s="5">
        <v>143613.15</v>
      </c>
    </row>
    <row r="210" spans="1:14" ht="15" customHeight="1">
      <c r="A210" s="5" t="s">
        <v>73</v>
      </c>
      <c r="B210" s="5" t="s">
        <v>103</v>
      </c>
      <c r="C210" s="5" t="s">
        <v>15</v>
      </c>
      <c r="D210" s="5" t="s">
        <v>28</v>
      </c>
      <c r="E210" s="5">
        <v>54300.87</v>
      </c>
      <c r="F210" s="5">
        <v>7875</v>
      </c>
      <c r="G210" s="5">
        <v>0.107</v>
      </c>
      <c r="H210" s="5">
        <v>19</v>
      </c>
      <c r="I210" s="5">
        <v>94.1</v>
      </c>
      <c r="J210" s="5">
        <v>0.95</v>
      </c>
      <c r="K210" s="5">
        <v>0</v>
      </c>
      <c r="L210" s="5">
        <v>3.7</v>
      </c>
      <c r="M210" s="5">
        <v>795464.47</v>
      </c>
      <c r="N210" s="5">
        <v>161150.51999999999</v>
      </c>
    </row>
    <row r="211" spans="1:14" ht="15" customHeight="1">
      <c r="A211" s="5" t="s">
        <v>73</v>
      </c>
      <c r="B211" s="5" t="s">
        <v>104</v>
      </c>
      <c r="C211" s="5" t="s">
        <v>15</v>
      </c>
      <c r="D211" s="5" t="s">
        <v>28</v>
      </c>
      <c r="E211" s="5">
        <v>37983.35</v>
      </c>
      <c r="F211" s="5">
        <v>9283</v>
      </c>
      <c r="G211" s="5">
        <v>0.14899999999999999</v>
      </c>
      <c r="H211" s="5">
        <v>19</v>
      </c>
      <c r="I211" s="5">
        <v>83.2</v>
      </c>
      <c r="J211" s="5">
        <v>3.82</v>
      </c>
      <c r="K211" s="5">
        <v>0</v>
      </c>
      <c r="L211" s="5">
        <v>3.7</v>
      </c>
      <c r="M211" s="5">
        <v>671868.59</v>
      </c>
      <c r="N211" s="5">
        <v>71003.28</v>
      </c>
    </row>
    <row r="212" spans="1:14" ht="15" customHeight="1">
      <c r="A212" s="5" t="s">
        <v>73</v>
      </c>
      <c r="B212" s="5" t="s">
        <v>105</v>
      </c>
      <c r="C212" s="5" t="s">
        <v>15</v>
      </c>
      <c r="D212" s="5" t="s">
        <v>28</v>
      </c>
      <c r="E212" s="5">
        <v>56413.83</v>
      </c>
      <c r="F212" s="5">
        <v>8303</v>
      </c>
      <c r="G212" s="5">
        <v>0.11600000000000001</v>
      </c>
      <c r="H212" s="5">
        <v>18</v>
      </c>
      <c r="I212" s="5">
        <v>93.6</v>
      </c>
      <c r="J212" s="5">
        <v>2.7</v>
      </c>
      <c r="K212" s="5">
        <v>0</v>
      </c>
      <c r="L212" s="5">
        <v>3.7</v>
      </c>
      <c r="M212" s="5">
        <v>675917.63</v>
      </c>
      <c r="N212" s="5">
        <v>112564.75</v>
      </c>
    </row>
    <row r="213" spans="1:14" ht="15" customHeight="1">
      <c r="A213" s="5" t="s">
        <v>74</v>
      </c>
      <c r="B213" s="5" t="s">
        <v>102</v>
      </c>
      <c r="C213" s="5" t="s">
        <v>15</v>
      </c>
      <c r="D213" s="5" t="s">
        <v>18</v>
      </c>
      <c r="E213" s="5">
        <v>63457.19</v>
      </c>
      <c r="F213" s="5">
        <v>10125</v>
      </c>
      <c r="G213" s="5">
        <v>9.7000000000000003E-2</v>
      </c>
      <c r="H213" s="5">
        <v>24</v>
      </c>
      <c r="I213" s="5">
        <v>87</v>
      </c>
      <c r="J213" s="5">
        <v>3.84</v>
      </c>
      <c r="K213" s="5">
        <v>1</v>
      </c>
      <c r="L213" s="5">
        <v>3.7</v>
      </c>
      <c r="M213" s="5">
        <v>810446.53</v>
      </c>
      <c r="N213" s="5">
        <v>200575.34</v>
      </c>
    </row>
    <row r="214" spans="1:14" ht="15" customHeight="1">
      <c r="A214" s="5" t="s">
        <v>74</v>
      </c>
      <c r="B214" s="5" t="s">
        <v>103</v>
      </c>
      <c r="C214" s="5" t="s">
        <v>15</v>
      </c>
      <c r="D214" s="5" t="s">
        <v>18</v>
      </c>
      <c r="E214" s="5">
        <v>62949.7</v>
      </c>
      <c r="F214" s="5">
        <v>9458</v>
      </c>
      <c r="G214" s="5">
        <v>0.17100000000000001</v>
      </c>
      <c r="H214" s="5">
        <v>19</v>
      </c>
      <c r="I214" s="5">
        <v>84.9</v>
      </c>
      <c r="J214" s="5">
        <v>5.09</v>
      </c>
      <c r="K214" s="5">
        <v>0</v>
      </c>
      <c r="L214" s="5">
        <v>3.3</v>
      </c>
      <c r="M214" s="5">
        <v>691288.19</v>
      </c>
      <c r="N214" s="5">
        <v>159074.14000000001</v>
      </c>
    </row>
    <row r="215" spans="1:14" ht="15" customHeight="1">
      <c r="A215" s="5" t="s">
        <v>74</v>
      </c>
      <c r="B215" s="5" t="s">
        <v>104</v>
      </c>
      <c r="C215" s="5" t="s">
        <v>15</v>
      </c>
      <c r="D215" s="5" t="s">
        <v>18</v>
      </c>
      <c r="E215" s="5">
        <v>107970.19</v>
      </c>
      <c r="F215" s="5">
        <v>12870</v>
      </c>
      <c r="G215" s="5">
        <v>2.9000000000000001E-2</v>
      </c>
      <c r="H215" s="5">
        <v>31</v>
      </c>
      <c r="I215" s="5">
        <v>91.7</v>
      </c>
      <c r="J215" s="5">
        <v>3.82</v>
      </c>
      <c r="K215" s="5">
        <v>1</v>
      </c>
      <c r="L215" s="5">
        <v>3.7</v>
      </c>
      <c r="M215" s="5">
        <v>946833.54</v>
      </c>
      <c r="N215" s="5">
        <v>184540.31</v>
      </c>
    </row>
    <row r="216" spans="1:14" ht="15" customHeight="1">
      <c r="A216" s="5" t="s">
        <v>74</v>
      </c>
      <c r="B216" s="5" t="s">
        <v>105</v>
      </c>
      <c r="C216" s="5" t="s">
        <v>15</v>
      </c>
      <c r="D216" s="5" t="s">
        <v>18</v>
      </c>
      <c r="E216" s="5">
        <v>49405.75</v>
      </c>
      <c r="F216" s="5">
        <v>9752</v>
      </c>
      <c r="G216" s="5">
        <v>9.2999999999999999E-2</v>
      </c>
      <c r="H216" s="5">
        <v>21</v>
      </c>
      <c r="I216" s="5">
        <v>87</v>
      </c>
      <c r="J216" s="5">
        <v>12.28</v>
      </c>
      <c r="K216" s="5">
        <v>0</v>
      </c>
      <c r="L216" s="5">
        <v>4.0999999999999996</v>
      </c>
      <c r="M216" s="5">
        <v>761963.23</v>
      </c>
      <c r="N216" s="5">
        <v>150113.60999999999</v>
      </c>
    </row>
    <row r="217" spans="1:14" ht="15" customHeight="1">
      <c r="A217" s="5" t="s">
        <v>75</v>
      </c>
      <c r="B217" s="5" t="s">
        <v>102</v>
      </c>
      <c r="C217" s="5" t="s">
        <v>27</v>
      </c>
      <c r="D217" s="5" t="s">
        <v>16</v>
      </c>
      <c r="E217" s="5">
        <v>50887.46</v>
      </c>
      <c r="F217" s="5">
        <v>9505</v>
      </c>
      <c r="G217" s="5">
        <v>9.0999999999999998E-2</v>
      </c>
      <c r="H217" s="5">
        <v>25</v>
      </c>
      <c r="I217" s="5">
        <v>89.7</v>
      </c>
      <c r="J217" s="5">
        <v>2.8</v>
      </c>
      <c r="K217" s="5">
        <v>0</v>
      </c>
      <c r="L217" s="5">
        <v>4.3</v>
      </c>
      <c r="M217" s="5">
        <v>812152.6</v>
      </c>
      <c r="N217" s="5">
        <v>138419.43</v>
      </c>
    </row>
    <row r="218" spans="1:14" ht="15" customHeight="1">
      <c r="A218" s="5" t="s">
        <v>75</v>
      </c>
      <c r="B218" s="5" t="s">
        <v>103</v>
      </c>
      <c r="C218" s="5" t="s">
        <v>27</v>
      </c>
      <c r="D218" s="5" t="s">
        <v>16</v>
      </c>
      <c r="E218" s="5">
        <v>41819.449999999997</v>
      </c>
      <c r="F218" s="5">
        <v>9412</v>
      </c>
      <c r="G218" s="5">
        <v>0.15</v>
      </c>
      <c r="H218" s="5">
        <v>22</v>
      </c>
      <c r="I218" s="5">
        <v>91</v>
      </c>
      <c r="J218" s="5">
        <v>3.67</v>
      </c>
      <c r="K218" s="5">
        <v>0</v>
      </c>
      <c r="L218" s="5">
        <v>4.2</v>
      </c>
      <c r="M218" s="5">
        <v>804975.5</v>
      </c>
      <c r="N218" s="5">
        <v>140054.5</v>
      </c>
    </row>
    <row r="219" spans="1:14" ht="15" customHeight="1">
      <c r="A219" s="5" t="s">
        <v>75</v>
      </c>
      <c r="B219" s="5" t="s">
        <v>104</v>
      </c>
      <c r="C219" s="5" t="s">
        <v>27</v>
      </c>
      <c r="D219" s="5" t="s">
        <v>16</v>
      </c>
      <c r="E219" s="5">
        <v>35296.54</v>
      </c>
      <c r="F219" s="5">
        <v>9644</v>
      </c>
      <c r="G219" s="5">
        <v>0</v>
      </c>
      <c r="H219" s="5">
        <v>22</v>
      </c>
      <c r="I219" s="5">
        <v>88</v>
      </c>
      <c r="J219" s="5">
        <v>2.81</v>
      </c>
      <c r="K219" s="5">
        <v>0</v>
      </c>
      <c r="L219" s="5">
        <v>4.7</v>
      </c>
      <c r="M219" s="5">
        <v>752321.72</v>
      </c>
      <c r="N219" s="5">
        <v>137788.51</v>
      </c>
    </row>
    <row r="220" spans="1:14" ht="15" customHeight="1">
      <c r="A220" s="5" t="s">
        <v>75</v>
      </c>
      <c r="B220" s="5" t="s">
        <v>105</v>
      </c>
      <c r="C220" s="5" t="s">
        <v>27</v>
      </c>
      <c r="D220" s="5" t="s">
        <v>16</v>
      </c>
      <c r="E220" s="5">
        <v>47391.09</v>
      </c>
      <c r="F220" s="5">
        <v>11224</v>
      </c>
      <c r="G220" s="5">
        <v>0.14699999999999999</v>
      </c>
      <c r="H220" s="5">
        <v>25</v>
      </c>
      <c r="I220" s="5">
        <v>88.4</v>
      </c>
      <c r="J220" s="5">
        <v>2.44</v>
      </c>
      <c r="K220" s="5">
        <v>0</v>
      </c>
      <c r="L220" s="5">
        <v>4.9000000000000004</v>
      </c>
      <c r="M220" s="5">
        <v>836908.24</v>
      </c>
      <c r="N220" s="5">
        <v>141090.26</v>
      </c>
    </row>
    <row r="221" spans="1:14" ht="15" customHeight="1">
      <c r="A221" s="5" t="s">
        <v>76</v>
      </c>
      <c r="B221" s="5" t="s">
        <v>102</v>
      </c>
      <c r="C221" s="5" t="s">
        <v>20</v>
      </c>
      <c r="D221" s="5" t="s">
        <v>21</v>
      </c>
      <c r="E221" s="5">
        <v>69180.539999999994</v>
      </c>
      <c r="F221" s="5">
        <v>5394</v>
      </c>
      <c r="G221" s="5">
        <v>0.126</v>
      </c>
      <c r="H221" s="5">
        <v>12</v>
      </c>
      <c r="I221" s="5">
        <v>82.9</v>
      </c>
      <c r="J221" s="5">
        <v>3.27</v>
      </c>
      <c r="K221" s="5">
        <v>0</v>
      </c>
      <c r="L221" s="5">
        <v>3.3</v>
      </c>
      <c r="M221" s="5">
        <v>674289.1</v>
      </c>
      <c r="N221" s="5">
        <v>117773.79</v>
      </c>
    </row>
    <row r="222" spans="1:14" ht="15" customHeight="1">
      <c r="A222" s="5" t="s">
        <v>76</v>
      </c>
      <c r="B222" s="5" t="s">
        <v>103</v>
      </c>
      <c r="C222" s="5" t="s">
        <v>20</v>
      </c>
      <c r="D222" s="5" t="s">
        <v>21</v>
      </c>
      <c r="E222" s="5">
        <v>33987.33</v>
      </c>
      <c r="F222" s="5">
        <v>5014</v>
      </c>
      <c r="G222" s="5">
        <v>0.246</v>
      </c>
      <c r="H222" s="5">
        <v>17</v>
      </c>
      <c r="I222" s="5">
        <v>94.3</v>
      </c>
      <c r="J222" s="5">
        <v>10.34</v>
      </c>
      <c r="K222" s="5">
        <v>0</v>
      </c>
      <c r="L222" s="5">
        <v>3.9</v>
      </c>
      <c r="M222" s="5">
        <v>622892.42000000004</v>
      </c>
      <c r="N222" s="5">
        <v>101032.52</v>
      </c>
    </row>
    <row r="223" spans="1:14" ht="15" customHeight="1">
      <c r="A223" s="5" t="s">
        <v>76</v>
      </c>
      <c r="B223" s="5" t="s">
        <v>104</v>
      </c>
      <c r="C223" s="5" t="s">
        <v>20</v>
      </c>
      <c r="D223" s="5" t="s">
        <v>21</v>
      </c>
      <c r="E223" s="5">
        <v>58785.33</v>
      </c>
      <c r="F223" s="5">
        <v>4467</v>
      </c>
      <c r="G223" s="5">
        <v>0.22900000000000001</v>
      </c>
      <c r="H223" s="5">
        <v>14</v>
      </c>
      <c r="I223" s="5">
        <v>90.7</v>
      </c>
      <c r="J223" s="5">
        <v>1.92</v>
      </c>
      <c r="K223" s="5">
        <v>0</v>
      </c>
      <c r="L223" s="5">
        <v>3.7</v>
      </c>
      <c r="M223" s="5">
        <v>673348.56</v>
      </c>
      <c r="N223" s="5">
        <v>69464.59</v>
      </c>
    </row>
    <row r="224" spans="1:14" ht="15" customHeight="1">
      <c r="A224" s="5" t="s">
        <v>76</v>
      </c>
      <c r="B224" s="5" t="s">
        <v>105</v>
      </c>
      <c r="C224" s="5" t="s">
        <v>20</v>
      </c>
      <c r="D224" s="5" t="s">
        <v>21</v>
      </c>
      <c r="E224" s="5">
        <v>16451.849999999999</v>
      </c>
      <c r="F224" s="5">
        <v>4678</v>
      </c>
      <c r="G224" s="5">
        <v>0.13300000000000001</v>
      </c>
      <c r="H224" s="5">
        <v>11</v>
      </c>
      <c r="I224" s="5">
        <v>95.9</v>
      </c>
      <c r="J224" s="5">
        <v>3.1</v>
      </c>
      <c r="K224" s="5">
        <v>0</v>
      </c>
      <c r="L224" s="5">
        <v>3.9</v>
      </c>
      <c r="M224" s="5">
        <v>606278.30000000005</v>
      </c>
      <c r="N224" s="5">
        <v>102213.26</v>
      </c>
    </row>
    <row r="225" spans="1:14" ht="15" customHeight="1">
      <c r="A225" s="5" t="s">
        <v>77</v>
      </c>
      <c r="B225" s="5" t="s">
        <v>102</v>
      </c>
      <c r="C225" s="5" t="s">
        <v>15</v>
      </c>
      <c r="D225" s="5" t="s">
        <v>18</v>
      </c>
      <c r="E225" s="5">
        <v>53367.73</v>
      </c>
      <c r="F225" s="5">
        <v>7291</v>
      </c>
      <c r="G225" s="5">
        <v>0.14599999999999999</v>
      </c>
      <c r="H225" s="5">
        <v>18</v>
      </c>
      <c r="I225" s="5">
        <v>90.6</v>
      </c>
      <c r="J225" s="5">
        <v>6.34</v>
      </c>
      <c r="K225" s="5">
        <v>1</v>
      </c>
      <c r="L225" s="5">
        <v>3.8</v>
      </c>
      <c r="M225" s="5">
        <v>712219.81</v>
      </c>
      <c r="N225" s="5">
        <v>85906.54</v>
      </c>
    </row>
    <row r="226" spans="1:14" ht="15" customHeight="1">
      <c r="A226" s="5" t="s">
        <v>77</v>
      </c>
      <c r="B226" s="5" t="s">
        <v>103</v>
      </c>
      <c r="C226" s="5" t="s">
        <v>15</v>
      </c>
      <c r="D226" s="5" t="s">
        <v>18</v>
      </c>
      <c r="E226" s="5">
        <v>27194.639999999999</v>
      </c>
      <c r="F226" s="5">
        <v>7404</v>
      </c>
      <c r="G226" s="5">
        <v>8.7999999999999995E-2</v>
      </c>
      <c r="H226" s="5">
        <v>18</v>
      </c>
      <c r="I226" s="5">
        <v>90.2</v>
      </c>
      <c r="J226" s="5">
        <v>1.2</v>
      </c>
      <c r="K226" s="5">
        <v>0</v>
      </c>
      <c r="L226" s="5">
        <v>3.4</v>
      </c>
      <c r="M226" s="5">
        <v>672670.54</v>
      </c>
      <c r="N226" s="5">
        <v>132684.18</v>
      </c>
    </row>
    <row r="227" spans="1:14" ht="15" customHeight="1">
      <c r="A227" s="5" t="s">
        <v>77</v>
      </c>
      <c r="B227" s="5" t="s">
        <v>104</v>
      </c>
      <c r="C227" s="5" t="s">
        <v>15</v>
      </c>
      <c r="D227" s="5" t="s">
        <v>18</v>
      </c>
      <c r="E227" s="5">
        <v>66962.740000000005</v>
      </c>
      <c r="F227" s="5">
        <v>7880</v>
      </c>
      <c r="G227" s="5">
        <v>0.11600000000000001</v>
      </c>
      <c r="H227" s="5">
        <v>19</v>
      </c>
      <c r="I227" s="5">
        <v>90.4</v>
      </c>
      <c r="J227" s="5">
        <v>4.5</v>
      </c>
      <c r="K227" s="5">
        <v>0</v>
      </c>
      <c r="L227" s="5">
        <v>3.3</v>
      </c>
      <c r="M227" s="5">
        <v>732667.92</v>
      </c>
      <c r="N227" s="5">
        <v>128654.46</v>
      </c>
    </row>
    <row r="228" spans="1:14" ht="15" customHeight="1">
      <c r="A228" s="5" t="s">
        <v>77</v>
      </c>
      <c r="B228" s="5" t="s">
        <v>105</v>
      </c>
      <c r="C228" s="5" t="s">
        <v>15</v>
      </c>
      <c r="D228" s="5" t="s">
        <v>18</v>
      </c>
      <c r="E228" s="5">
        <v>73540.990000000005</v>
      </c>
      <c r="F228" s="5">
        <v>8773</v>
      </c>
      <c r="G228" s="5">
        <v>3.5000000000000003E-2</v>
      </c>
      <c r="H228" s="5">
        <v>21</v>
      </c>
      <c r="I228" s="5">
        <v>84.4</v>
      </c>
      <c r="J228" s="5">
        <v>6.68</v>
      </c>
      <c r="K228" s="5">
        <v>0</v>
      </c>
      <c r="L228" s="5">
        <v>3.6</v>
      </c>
      <c r="M228" s="5">
        <v>723531.4</v>
      </c>
      <c r="N228" s="5">
        <v>108794.85</v>
      </c>
    </row>
    <row r="229" spans="1:14" ht="15" customHeight="1">
      <c r="A229" s="5" t="s">
        <v>78</v>
      </c>
      <c r="B229" s="5" t="s">
        <v>102</v>
      </c>
      <c r="C229" s="5" t="s">
        <v>15</v>
      </c>
      <c r="D229" s="5" t="s">
        <v>28</v>
      </c>
      <c r="E229" s="5">
        <v>68212.289999999994</v>
      </c>
      <c r="F229" s="5">
        <v>4713</v>
      </c>
      <c r="G229" s="5">
        <v>0.19800000000000001</v>
      </c>
      <c r="H229" s="5">
        <v>15</v>
      </c>
      <c r="I229" s="5">
        <v>82.6</v>
      </c>
      <c r="J229" s="5">
        <v>4.07</v>
      </c>
      <c r="K229" s="5">
        <v>1</v>
      </c>
      <c r="L229" s="5">
        <v>3</v>
      </c>
      <c r="M229" s="5">
        <v>641564.6</v>
      </c>
      <c r="N229" s="5">
        <v>90468.96</v>
      </c>
    </row>
    <row r="230" spans="1:14" ht="15" customHeight="1">
      <c r="A230" s="5" t="s">
        <v>78</v>
      </c>
      <c r="B230" s="5" t="s">
        <v>103</v>
      </c>
      <c r="C230" s="5" t="s">
        <v>15</v>
      </c>
      <c r="D230" s="5" t="s">
        <v>28</v>
      </c>
      <c r="E230" s="5">
        <v>57225.98</v>
      </c>
      <c r="F230" s="5">
        <v>2842</v>
      </c>
      <c r="G230" s="5">
        <v>0.112</v>
      </c>
      <c r="H230" s="5">
        <v>10</v>
      </c>
      <c r="I230" s="5">
        <v>79.5</v>
      </c>
      <c r="J230" s="5">
        <v>5.45</v>
      </c>
      <c r="K230" s="5">
        <v>0</v>
      </c>
      <c r="L230" s="5">
        <v>3.4</v>
      </c>
      <c r="M230" s="5">
        <v>536545.49</v>
      </c>
      <c r="N230" s="5">
        <v>97917.45</v>
      </c>
    </row>
    <row r="231" spans="1:14" ht="15" customHeight="1">
      <c r="A231" s="5" t="s">
        <v>78</v>
      </c>
      <c r="B231" s="5" t="s">
        <v>104</v>
      </c>
      <c r="C231" s="5" t="s">
        <v>15</v>
      </c>
      <c r="D231" s="5" t="s">
        <v>28</v>
      </c>
      <c r="E231" s="5">
        <v>42932.02</v>
      </c>
      <c r="F231" s="5">
        <v>3872</v>
      </c>
      <c r="G231" s="5">
        <v>0.17100000000000001</v>
      </c>
      <c r="H231" s="5">
        <v>12</v>
      </c>
      <c r="I231" s="5">
        <v>83.2</v>
      </c>
      <c r="J231" s="5">
        <v>15.58</v>
      </c>
      <c r="K231" s="5">
        <v>0</v>
      </c>
      <c r="L231" s="5">
        <v>3.3</v>
      </c>
      <c r="M231" s="5">
        <v>527681.56000000006</v>
      </c>
      <c r="N231" s="5">
        <v>63153.05</v>
      </c>
    </row>
    <row r="232" spans="1:14" ht="15" customHeight="1">
      <c r="A232" s="5" t="s">
        <v>78</v>
      </c>
      <c r="B232" s="5" t="s">
        <v>105</v>
      </c>
      <c r="C232" s="5" t="s">
        <v>15</v>
      </c>
      <c r="D232" s="5" t="s">
        <v>28</v>
      </c>
      <c r="E232" s="5">
        <v>39341.449999999997</v>
      </c>
      <c r="F232" s="5">
        <v>1375</v>
      </c>
      <c r="G232" s="5">
        <v>9.2999999999999999E-2</v>
      </c>
      <c r="H232" s="5">
        <v>5</v>
      </c>
      <c r="I232" s="5">
        <v>95</v>
      </c>
      <c r="J232" s="5">
        <v>5.32</v>
      </c>
      <c r="K232" s="5">
        <v>0</v>
      </c>
      <c r="L232" s="5">
        <v>3.9</v>
      </c>
      <c r="M232" s="5">
        <v>529598.93999999994</v>
      </c>
      <c r="N232" s="5">
        <v>84334.33</v>
      </c>
    </row>
    <row r="233" spans="1:14" ht="15" customHeight="1">
      <c r="A233" s="5" t="s">
        <v>79</v>
      </c>
      <c r="B233" s="5" t="s">
        <v>102</v>
      </c>
      <c r="C233" s="5" t="s">
        <v>15</v>
      </c>
      <c r="D233" s="5" t="s">
        <v>18</v>
      </c>
      <c r="E233" s="5">
        <v>37324.230000000003</v>
      </c>
      <c r="F233" s="5">
        <v>5957</v>
      </c>
      <c r="G233" s="5">
        <v>7.0999999999999994E-2</v>
      </c>
      <c r="H233" s="5">
        <v>12</v>
      </c>
      <c r="I233" s="5">
        <v>85.9</v>
      </c>
      <c r="J233" s="5">
        <v>0.37</v>
      </c>
      <c r="K233" s="5">
        <v>0</v>
      </c>
      <c r="L233" s="5">
        <v>3.8</v>
      </c>
      <c r="M233" s="5">
        <v>570963.31000000006</v>
      </c>
      <c r="N233" s="5">
        <v>87342.25</v>
      </c>
    </row>
    <row r="234" spans="1:14" ht="15" customHeight="1">
      <c r="A234" s="5" t="s">
        <v>79</v>
      </c>
      <c r="B234" s="5" t="s">
        <v>103</v>
      </c>
      <c r="C234" s="5" t="s">
        <v>15</v>
      </c>
      <c r="D234" s="5" t="s">
        <v>18</v>
      </c>
      <c r="E234" s="5">
        <v>113736</v>
      </c>
      <c r="F234" s="5">
        <v>8961</v>
      </c>
      <c r="G234" s="5">
        <v>0.20200000000000001</v>
      </c>
      <c r="H234" s="5">
        <v>24</v>
      </c>
      <c r="I234" s="5">
        <v>86.2</v>
      </c>
      <c r="J234" s="5">
        <v>21.63</v>
      </c>
      <c r="K234" s="5">
        <v>0</v>
      </c>
      <c r="L234" s="5">
        <v>4</v>
      </c>
      <c r="M234" s="5">
        <v>870937.4</v>
      </c>
      <c r="N234" s="5">
        <v>175282.74</v>
      </c>
    </row>
    <row r="235" spans="1:14" ht="15" customHeight="1">
      <c r="A235" s="5" t="s">
        <v>79</v>
      </c>
      <c r="B235" s="5" t="s">
        <v>104</v>
      </c>
      <c r="C235" s="5" t="s">
        <v>15</v>
      </c>
      <c r="D235" s="5" t="s">
        <v>18</v>
      </c>
      <c r="E235" s="5">
        <v>33173.949999999997</v>
      </c>
      <c r="F235" s="5">
        <v>6545</v>
      </c>
      <c r="G235" s="5">
        <v>0.16900000000000001</v>
      </c>
      <c r="H235" s="5">
        <v>15</v>
      </c>
      <c r="I235" s="5">
        <v>84.4</v>
      </c>
      <c r="J235" s="5">
        <v>2.48</v>
      </c>
      <c r="K235" s="5">
        <v>0</v>
      </c>
      <c r="L235" s="5">
        <v>3.9</v>
      </c>
      <c r="M235" s="5">
        <v>596969.27</v>
      </c>
      <c r="N235" s="5">
        <v>105669.51</v>
      </c>
    </row>
    <row r="236" spans="1:14" ht="15" customHeight="1">
      <c r="A236" s="5" t="s">
        <v>79</v>
      </c>
      <c r="B236" s="5" t="s">
        <v>105</v>
      </c>
      <c r="C236" s="5" t="s">
        <v>15</v>
      </c>
      <c r="D236" s="5" t="s">
        <v>18</v>
      </c>
      <c r="E236" s="5">
        <v>25818.080000000002</v>
      </c>
      <c r="F236" s="5">
        <v>5457</v>
      </c>
      <c r="G236" s="5">
        <v>0</v>
      </c>
      <c r="H236" s="5">
        <v>11</v>
      </c>
      <c r="I236" s="5">
        <v>95.4</v>
      </c>
      <c r="J236" s="5">
        <v>3.3650000000000002</v>
      </c>
      <c r="K236" s="5">
        <v>0</v>
      </c>
      <c r="L236" s="5">
        <v>3.7</v>
      </c>
      <c r="M236" s="5">
        <v>647512.85</v>
      </c>
      <c r="N236" s="5">
        <v>153835.57</v>
      </c>
    </row>
    <row r="237" spans="1:14" ht="15" customHeight="1">
      <c r="A237" s="5" t="s">
        <v>80</v>
      </c>
      <c r="B237" s="5" t="s">
        <v>102</v>
      </c>
      <c r="C237" s="5" t="s">
        <v>27</v>
      </c>
      <c r="D237" s="5" t="s">
        <v>16</v>
      </c>
      <c r="E237" s="5">
        <v>47241.919999999998</v>
      </c>
      <c r="F237" s="5">
        <v>4264</v>
      </c>
      <c r="G237" s="5">
        <v>6.9000000000000006E-2</v>
      </c>
      <c r="H237" s="5">
        <v>13</v>
      </c>
      <c r="I237" s="5">
        <v>95.3</v>
      </c>
      <c r="J237" s="5">
        <v>0.85</v>
      </c>
      <c r="K237" s="5">
        <v>0</v>
      </c>
      <c r="L237" s="5">
        <v>4.3</v>
      </c>
      <c r="M237" s="5">
        <v>658072.14</v>
      </c>
      <c r="N237" s="5">
        <v>110595.89</v>
      </c>
    </row>
    <row r="238" spans="1:14" ht="15" customHeight="1">
      <c r="A238" s="5" t="s">
        <v>80</v>
      </c>
      <c r="B238" s="5" t="s">
        <v>103</v>
      </c>
      <c r="C238" s="5" t="s">
        <v>27</v>
      </c>
      <c r="D238" s="5" t="s">
        <v>16</v>
      </c>
      <c r="E238" s="5">
        <v>61650.79</v>
      </c>
      <c r="F238" s="5">
        <v>5321</v>
      </c>
      <c r="G238" s="5">
        <v>0.126</v>
      </c>
      <c r="H238" s="5">
        <v>17</v>
      </c>
      <c r="I238" s="5">
        <v>89.2</v>
      </c>
      <c r="J238" s="5">
        <v>2.13</v>
      </c>
      <c r="K238" s="5">
        <v>0</v>
      </c>
      <c r="L238" s="5">
        <v>4</v>
      </c>
      <c r="M238" s="5">
        <v>723305.11</v>
      </c>
      <c r="N238" s="5">
        <v>128468.7</v>
      </c>
    </row>
    <row r="239" spans="1:14" ht="15" customHeight="1">
      <c r="A239" s="5" t="s">
        <v>80</v>
      </c>
      <c r="B239" s="5" t="s">
        <v>104</v>
      </c>
      <c r="C239" s="5" t="s">
        <v>27</v>
      </c>
      <c r="D239" s="5" t="s">
        <v>16</v>
      </c>
      <c r="E239" s="5">
        <v>62582.71</v>
      </c>
      <c r="F239" s="5">
        <v>5479</v>
      </c>
      <c r="G239" s="5">
        <v>4.8000000000000001E-2</v>
      </c>
      <c r="H239" s="5">
        <v>16</v>
      </c>
      <c r="I239" s="5">
        <v>81.2</v>
      </c>
      <c r="J239" s="5">
        <v>1.46</v>
      </c>
      <c r="K239" s="5">
        <v>0</v>
      </c>
      <c r="L239" s="5">
        <v>4.5</v>
      </c>
      <c r="M239" s="5">
        <v>640666.53</v>
      </c>
      <c r="N239" s="5">
        <v>134919.16</v>
      </c>
    </row>
    <row r="240" spans="1:14" ht="15" customHeight="1">
      <c r="A240" s="5" t="s">
        <v>80</v>
      </c>
      <c r="B240" s="5" t="s">
        <v>105</v>
      </c>
      <c r="C240" s="5" t="s">
        <v>27</v>
      </c>
      <c r="D240" s="5" t="s">
        <v>16</v>
      </c>
      <c r="E240" s="5">
        <v>47944.14</v>
      </c>
      <c r="F240" s="5">
        <v>6169</v>
      </c>
      <c r="G240" s="5">
        <v>0.11899999999999999</v>
      </c>
      <c r="H240" s="5">
        <v>17</v>
      </c>
      <c r="I240" s="5">
        <v>92.2</v>
      </c>
      <c r="J240" s="5">
        <v>3.02</v>
      </c>
      <c r="K240" s="5">
        <v>0</v>
      </c>
      <c r="L240" s="5">
        <v>4.0999999999999996</v>
      </c>
      <c r="M240" s="5">
        <v>670629.48</v>
      </c>
      <c r="N240" s="5">
        <v>100140.8</v>
      </c>
    </row>
    <row r="241" spans="1:14" ht="15" customHeight="1">
      <c r="A241" s="5" t="s">
        <v>81</v>
      </c>
      <c r="B241" s="5" t="s">
        <v>102</v>
      </c>
      <c r="C241" s="5" t="s">
        <v>27</v>
      </c>
      <c r="D241" s="5" t="s">
        <v>28</v>
      </c>
      <c r="E241" s="5">
        <v>46495.4</v>
      </c>
      <c r="F241" s="5">
        <v>9908</v>
      </c>
      <c r="G241" s="5">
        <v>0.121</v>
      </c>
      <c r="H241" s="5">
        <v>22</v>
      </c>
      <c r="I241" s="5">
        <v>89.4</v>
      </c>
      <c r="J241" s="5">
        <v>3.22</v>
      </c>
      <c r="K241" s="5">
        <v>0</v>
      </c>
      <c r="L241" s="5">
        <v>3.7</v>
      </c>
      <c r="M241" s="5">
        <v>721079.35</v>
      </c>
      <c r="N241" s="5">
        <v>115295.05</v>
      </c>
    </row>
    <row r="242" spans="1:14" ht="15" customHeight="1">
      <c r="A242" s="5" t="s">
        <v>81</v>
      </c>
      <c r="B242" s="5" t="s">
        <v>103</v>
      </c>
      <c r="C242" s="5" t="s">
        <v>27</v>
      </c>
      <c r="D242" s="5" t="s">
        <v>28</v>
      </c>
      <c r="E242" s="5">
        <v>72961.95</v>
      </c>
      <c r="F242" s="5">
        <v>9996</v>
      </c>
      <c r="G242" s="5">
        <v>0.106</v>
      </c>
      <c r="H242" s="5">
        <v>22</v>
      </c>
      <c r="I242" s="5">
        <v>89.1</v>
      </c>
      <c r="J242" s="5">
        <v>15.66</v>
      </c>
      <c r="K242" s="5">
        <v>0</v>
      </c>
      <c r="L242" s="5">
        <v>3.4</v>
      </c>
      <c r="M242" s="5">
        <v>810355.02</v>
      </c>
      <c r="N242" s="5">
        <v>131510</v>
      </c>
    </row>
    <row r="243" spans="1:14" ht="15" customHeight="1">
      <c r="A243" s="5" t="s">
        <v>81</v>
      </c>
      <c r="B243" s="5" t="s">
        <v>104</v>
      </c>
      <c r="C243" s="5" t="s">
        <v>27</v>
      </c>
      <c r="D243" s="5" t="s">
        <v>28</v>
      </c>
      <c r="E243" s="5">
        <v>59060.05</v>
      </c>
      <c r="F243" s="5">
        <v>9702</v>
      </c>
      <c r="G243" s="5">
        <v>0.20100000000000001</v>
      </c>
      <c r="H243" s="5">
        <v>23</v>
      </c>
      <c r="I243" s="5">
        <v>80.900000000000006</v>
      </c>
      <c r="J243" s="5">
        <v>6.96</v>
      </c>
      <c r="K243" s="5">
        <v>0</v>
      </c>
      <c r="L243" s="5">
        <v>3.2</v>
      </c>
      <c r="M243" s="5">
        <v>761919.25</v>
      </c>
      <c r="N243" s="5">
        <v>111893.06</v>
      </c>
    </row>
    <row r="244" spans="1:14" ht="15" customHeight="1">
      <c r="A244" s="5" t="s">
        <v>81</v>
      </c>
      <c r="B244" s="5" t="s">
        <v>105</v>
      </c>
      <c r="C244" s="5" t="s">
        <v>27</v>
      </c>
      <c r="D244" s="5" t="s">
        <v>28</v>
      </c>
      <c r="E244" s="5">
        <v>26248.1</v>
      </c>
      <c r="F244" s="5">
        <v>9314</v>
      </c>
      <c r="G244" s="5">
        <v>0.186</v>
      </c>
      <c r="H244" s="5">
        <v>21</v>
      </c>
      <c r="I244" s="5">
        <v>83.7</v>
      </c>
      <c r="J244" s="5">
        <v>4.62</v>
      </c>
      <c r="K244" s="5">
        <v>0</v>
      </c>
      <c r="L244" s="5">
        <v>3.3</v>
      </c>
      <c r="M244" s="5">
        <v>737070.18</v>
      </c>
      <c r="N244" s="5">
        <v>117593.97</v>
      </c>
    </row>
    <row r="245" spans="1:14" ht="15" customHeight="1">
      <c r="A245" s="5" t="s">
        <v>82</v>
      </c>
      <c r="B245" s="5" t="s">
        <v>102</v>
      </c>
      <c r="C245" s="5" t="s">
        <v>24</v>
      </c>
      <c r="D245" s="5" t="s">
        <v>21</v>
      </c>
      <c r="E245" s="5">
        <v>69900.12</v>
      </c>
      <c r="F245" s="5">
        <v>8055</v>
      </c>
      <c r="G245" s="5">
        <v>0.28100000000000003</v>
      </c>
      <c r="H245" s="5">
        <v>22</v>
      </c>
      <c r="I245" s="5">
        <v>85.6</v>
      </c>
      <c r="J245" s="5">
        <v>10.68</v>
      </c>
      <c r="K245" s="5">
        <v>1</v>
      </c>
      <c r="L245" s="5">
        <v>2.9</v>
      </c>
      <c r="M245" s="5">
        <v>776992.93</v>
      </c>
      <c r="N245" s="5">
        <v>101598.32</v>
      </c>
    </row>
    <row r="246" spans="1:14" ht="15" customHeight="1">
      <c r="A246" s="5" t="s">
        <v>82</v>
      </c>
      <c r="B246" s="5" t="s">
        <v>103</v>
      </c>
      <c r="C246" s="5" t="s">
        <v>24</v>
      </c>
      <c r="D246" s="5" t="s">
        <v>21</v>
      </c>
      <c r="E246" s="5">
        <v>51781.599999999999</v>
      </c>
      <c r="F246" s="5">
        <v>5648</v>
      </c>
      <c r="G246" s="5">
        <v>5.8999999999999997E-2</v>
      </c>
      <c r="H246" s="5">
        <v>13</v>
      </c>
      <c r="I246" s="5">
        <v>85.5</v>
      </c>
      <c r="J246" s="5">
        <v>4.04</v>
      </c>
      <c r="K246" s="5">
        <v>0</v>
      </c>
      <c r="L246" s="5">
        <v>3.7</v>
      </c>
      <c r="M246" s="5">
        <v>676337.41</v>
      </c>
      <c r="N246" s="5">
        <v>104355.77</v>
      </c>
    </row>
    <row r="247" spans="1:14" ht="15" customHeight="1">
      <c r="A247" s="5" t="s">
        <v>82</v>
      </c>
      <c r="B247" s="5" t="s">
        <v>104</v>
      </c>
      <c r="C247" s="5" t="s">
        <v>24</v>
      </c>
      <c r="D247" s="5" t="s">
        <v>21</v>
      </c>
      <c r="E247" s="5">
        <v>70799.64</v>
      </c>
      <c r="F247" s="5">
        <v>10076</v>
      </c>
      <c r="G247" s="5">
        <v>0.152</v>
      </c>
      <c r="H247" s="5">
        <v>24</v>
      </c>
      <c r="I247" s="5">
        <v>84.8</v>
      </c>
      <c r="J247" s="5">
        <v>1.87</v>
      </c>
      <c r="K247" s="5">
        <v>0</v>
      </c>
      <c r="L247" s="5">
        <v>3.5</v>
      </c>
      <c r="M247" s="5">
        <v>828219.67</v>
      </c>
      <c r="N247" s="5">
        <v>179806.87</v>
      </c>
    </row>
    <row r="248" spans="1:14" ht="15" customHeight="1">
      <c r="A248" s="5" t="s">
        <v>82</v>
      </c>
      <c r="B248" s="5" t="s">
        <v>105</v>
      </c>
      <c r="C248" s="5" t="s">
        <v>24</v>
      </c>
      <c r="D248" s="5" t="s">
        <v>21</v>
      </c>
      <c r="E248" s="5">
        <v>53546.34</v>
      </c>
      <c r="F248" s="5">
        <v>8004</v>
      </c>
      <c r="G248" s="5">
        <v>0</v>
      </c>
      <c r="H248" s="5">
        <v>21</v>
      </c>
      <c r="I248" s="5">
        <v>95.2</v>
      </c>
      <c r="J248" s="5">
        <v>2.83</v>
      </c>
      <c r="K248" s="5">
        <v>0</v>
      </c>
      <c r="L248" s="5">
        <v>3</v>
      </c>
      <c r="M248" s="5">
        <v>763159.92</v>
      </c>
      <c r="N248" s="5">
        <v>177104.87</v>
      </c>
    </row>
    <row r="249" spans="1:14" ht="15" customHeight="1">
      <c r="A249" s="5" t="s">
        <v>83</v>
      </c>
      <c r="B249" s="5" t="s">
        <v>102</v>
      </c>
      <c r="C249" s="5" t="s">
        <v>15</v>
      </c>
      <c r="D249" s="5" t="s">
        <v>18</v>
      </c>
      <c r="E249" s="5">
        <v>76942.2</v>
      </c>
      <c r="F249" s="5">
        <v>8934</v>
      </c>
      <c r="G249" s="5">
        <v>8.4000000000000005E-2</v>
      </c>
      <c r="H249" s="5">
        <v>20</v>
      </c>
      <c r="I249" s="5">
        <v>91</v>
      </c>
      <c r="J249" s="5">
        <v>0.95</v>
      </c>
      <c r="K249" s="5">
        <v>0</v>
      </c>
      <c r="L249" s="5">
        <v>3.2</v>
      </c>
      <c r="M249" s="5">
        <v>802001.68</v>
      </c>
      <c r="N249" s="5">
        <v>159715.82</v>
      </c>
    </row>
    <row r="250" spans="1:14" ht="15" customHeight="1">
      <c r="A250" s="5" t="s">
        <v>83</v>
      </c>
      <c r="B250" s="5" t="s">
        <v>103</v>
      </c>
      <c r="C250" s="5" t="s">
        <v>15</v>
      </c>
      <c r="D250" s="5" t="s">
        <v>18</v>
      </c>
      <c r="E250" s="5">
        <v>48060.78</v>
      </c>
      <c r="F250" s="5">
        <v>8733</v>
      </c>
      <c r="G250" s="5">
        <v>0</v>
      </c>
      <c r="H250" s="5">
        <v>20</v>
      </c>
      <c r="I250" s="5">
        <v>89.9</v>
      </c>
      <c r="J250" s="5">
        <v>0.8</v>
      </c>
      <c r="K250" s="5">
        <v>0</v>
      </c>
      <c r="L250" s="5">
        <v>3.4</v>
      </c>
      <c r="M250" s="5">
        <v>750471.34</v>
      </c>
      <c r="N250" s="5">
        <v>133788.04</v>
      </c>
    </row>
    <row r="251" spans="1:14" ht="15" customHeight="1">
      <c r="A251" s="5" t="s">
        <v>83</v>
      </c>
      <c r="B251" s="5" t="s">
        <v>104</v>
      </c>
      <c r="C251" s="5" t="s">
        <v>15</v>
      </c>
      <c r="D251" s="5" t="s">
        <v>18</v>
      </c>
      <c r="E251" s="5">
        <v>57390.04</v>
      </c>
      <c r="F251" s="5">
        <v>7374</v>
      </c>
      <c r="G251" s="5">
        <v>0.21</v>
      </c>
      <c r="H251" s="5">
        <v>21</v>
      </c>
      <c r="I251" s="5">
        <v>91.8</v>
      </c>
      <c r="J251" s="5">
        <v>0.2</v>
      </c>
      <c r="K251" s="5">
        <v>0</v>
      </c>
      <c r="L251" s="5">
        <v>3.1</v>
      </c>
      <c r="M251" s="5">
        <v>679230.86</v>
      </c>
      <c r="N251" s="5">
        <v>106927.58</v>
      </c>
    </row>
    <row r="252" spans="1:14" ht="15" customHeight="1">
      <c r="A252" s="5" t="s">
        <v>83</v>
      </c>
      <c r="B252" s="5" t="s">
        <v>105</v>
      </c>
      <c r="C252" s="5" t="s">
        <v>15</v>
      </c>
      <c r="D252" s="5" t="s">
        <v>18</v>
      </c>
      <c r="E252" s="5">
        <v>21536.18</v>
      </c>
      <c r="F252" s="5">
        <v>8119</v>
      </c>
      <c r="G252" s="5">
        <v>0.22700000000000001</v>
      </c>
      <c r="H252" s="5">
        <v>20</v>
      </c>
      <c r="I252" s="5">
        <v>90.4</v>
      </c>
      <c r="J252" s="5">
        <v>1.7</v>
      </c>
      <c r="K252" s="5">
        <v>0</v>
      </c>
      <c r="L252" s="5">
        <v>3.3</v>
      </c>
      <c r="M252" s="5">
        <v>679888.74</v>
      </c>
      <c r="N252" s="5">
        <v>83406.89</v>
      </c>
    </row>
    <row r="253" spans="1:14" ht="15" customHeight="1">
      <c r="A253" s="5" t="s">
        <v>84</v>
      </c>
      <c r="B253" s="5" t="s">
        <v>102</v>
      </c>
      <c r="C253" s="5" t="s">
        <v>20</v>
      </c>
      <c r="D253" s="5" t="s">
        <v>18</v>
      </c>
      <c r="E253" s="5">
        <v>40923.67</v>
      </c>
      <c r="F253" s="5">
        <v>3875</v>
      </c>
      <c r="G253" s="5">
        <v>0.15</v>
      </c>
      <c r="H253" s="5">
        <v>10</v>
      </c>
      <c r="I253" s="5">
        <v>96.1</v>
      </c>
      <c r="J253" s="5">
        <v>3.3650000000000002</v>
      </c>
      <c r="K253" s="5">
        <v>0</v>
      </c>
      <c r="L253" s="5">
        <v>3.8</v>
      </c>
      <c r="M253" s="5">
        <v>606783.67000000004</v>
      </c>
      <c r="N253" s="5">
        <v>74515.87</v>
      </c>
    </row>
    <row r="254" spans="1:14" ht="15" customHeight="1">
      <c r="A254" s="5" t="s">
        <v>84</v>
      </c>
      <c r="B254" s="5" t="s">
        <v>103</v>
      </c>
      <c r="C254" s="5" t="s">
        <v>20</v>
      </c>
      <c r="D254" s="5" t="s">
        <v>18</v>
      </c>
      <c r="E254" s="5">
        <v>72932.55</v>
      </c>
      <c r="F254" s="5">
        <v>5765</v>
      </c>
      <c r="G254" s="5">
        <v>2.5999999999999999E-2</v>
      </c>
      <c r="H254" s="5">
        <v>17</v>
      </c>
      <c r="I254" s="5">
        <v>81.8</v>
      </c>
      <c r="J254" s="5">
        <v>5.0999999999999996</v>
      </c>
      <c r="K254" s="5">
        <v>0</v>
      </c>
      <c r="L254" s="5">
        <v>3.6</v>
      </c>
      <c r="M254" s="5">
        <v>642751.42000000004</v>
      </c>
      <c r="N254" s="5">
        <v>131942.15</v>
      </c>
    </row>
    <row r="255" spans="1:14" ht="15" customHeight="1">
      <c r="A255" s="5" t="s">
        <v>84</v>
      </c>
      <c r="B255" s="5" t="s">
        <v>104</v>
      </c>
      <c r="C255" s="5" t="s">
        <v>20</v>
      </c>
      <c r="D255" s="5" t="s">
        <v>18</v>
      </c>
      <c r="E255" s="5">
        <v>38361.93</v>
      </c>
      <c r="F255" s="5">
        <v>6322</v>
      </c>
      <c r="G255" s="5">
        <v>0.27300000000000002</v>
      </c>
      <c r="H255" s="5">
        <v>15</v>
      </c>
      <c r="I255" s="5">
        <v>88.4</v>
      </c>
      <c r="J255" s="5">
        <v>0.83</v>
      </c>
      <c r="K255" s="5">
        <v>0</v>
      </c>
      <c r="L255" s="5">
        <v>4</v>
      </c>
      <c r="M255" s="5">
        <v>647953.78</v>
      </c>
      <c r="N255" s="5">
        <v>118497.43</v>
      </c>
    </row>
    <row r="256" spans="1:14" ht="15" customHeight="1">
      <c r="A256" s="5" t="s">
        <v>84</v>
      </c>
      <c r="B256" s="5" t="s">
        <v>105</v>
      </c>
      <c r="C256" s="5" t="s">
        <v>20</v>
      </c>
      <c r="D256" s="5" t="s">
        <v>18</v>
      </c>
      <c r="E256" s="5">
        <v>97480.94</v>
      </c>
      <c r="F256" s="5">
        <v>6840</v>
      </c>
      <c r="G256" s="5">
        <v>8.6999999999999994E-2</v>
      </c>
      <c r="H256" s="5">
        <v>14</v>
      </c>
      <c r="I256" s="5">
        <v>79.2</v>
      </c>
      <c r="J256" s="5">
        <v>1.1399999999999999</v>
      </c>
      <c r="K256" s="5">
        <v>0</v>
      </c>
      <c r="L256" s="5">
        <v>4</v>
      </c>
      <c r="M256" s="5">
        <v>729440.45</v>
      </c>
      <c r="N256" s="5">
        <v>87614.29</v>
      </c>
    </row>
    <row r="257" spans="1:14" ht="15" customHeight="1">
      <c r="A257" s="5" t="s">
        <v>85</v>
      </c>
      <c r="B257" s="5" t="s">
        <v>102</v>
      </c>
      <c r="C257" s="5" t="s">
        <v>24</v>
      </c>
      <c r="D257" s="5" t="s">
        <v>21</v>
      </c>
      <c r="E257" s="5">
        <v>81801.8</v>
      </c>
      <c r="F257" s="5">
        <v>6782</v>
      </c>
      <c r="G257" s="5">
        <v>0.05</v>
      </c>
      <c r="H257" s="5">
        <v>16</v>
      </c>
      <c r="I257" s="5">
        <v>99</v>
      </c>
      <c r="J257" s="5">
        <v>9.5399999999999991</v>
      </c>
      <c r="K257" s="5">
        <v>0</v>
      </c>
      <c r="L257" s="5">
        <v>3.7</v>
      </c>
      <c r="M257" s="5">
        <v>764949</v>
      </c>
      <c r="N257" s="5">
        <v>148322.43</v>
      </c>
    </row>
    <row r="258" spans="1:14" ht="15" customHeight="1">
      <c r="A258" s="5" t="s">
        <v>85</v>
      </c>
      <c r="B258" s="5" t="s">
        <v>103</v>
      </c>
      <c r="C258" s="5" t="s">
        <v>24</v>
      </c>
      <c r="D258" s="5" t="s">
        <v>21</v>
      </c>
      <c r="E258" s="5">
        <v>63582.11</v>
      </c>
      <c r="F258" s="5">
        <v>6856</v>
      </c>
      <c r="G258" s="5">
        <v>7.3999999999999996E-2</v>
      </c>
      <c r="H258" s="5">
        <v>17</v>
      </c>
      <c r="I258" s="5">
        <v>89.5</v>
      </c>
      <c r="J258" s="5">
        <v>5.48</v>
      </c>
      <c r="K258" s="5">
        <v>0</v>
      </c>
      <c r="L258" s="5">
        <v>3.2</v>
      </c>
      <c r="M258" s="5">
        <v>799046.94</v>
      </c>
      <c r="N258" s="5">
        <v>144553.64000000001</v>
      </c>
    </row>
    <row r="259" spans="1:14" ht="15" customHeight="1">
      <c r="A259" s="5" t="s">
        <v>85</v>
      </c>
      <c r="B259" s="5" t="s">
        <v>104</v>
      </c>
      <c r="C259" s="5" t="s">
        <v>24</v>
      </c>
      <c r="D259" s="5" t="s">
        <v>21</v>
      </c>
      <c r="E259" s="5">
        <v>75412.740000000005</v>
      </c>
      <c r="F259" s="5">
        <v>5641</v>
      </c>
      <c r="G259" s="5">
        <v>5.8999999999999997E-2</v>
      </c>
      <c r="H259" s="5">
        <v>13</v>
      </c>
      <c r="I259" s="5">
        <v>87.9</v>
      </c>
      <c r="J259" s="5">
        <v>0.84</v>
      </c>
      <c r="K259" s="5">
        <v>0</v>
      </c>
      <c r="L259" s="5">
        <v>3.6</v>
      </c>
      <c r="M259" s="5">
        <v>720079.54</v>
      </c>
      <c r="N259" s="5">
        <v>119499.47</v>
      </c>
    </row>
    <row r="260" spans="1:14" ht="15" customHeight="1">
      <c r="A260" s="5" t="s">
        <v>85</v>
      </c>
      <c r="B260" s="5" t="s">
        <v>105</v>
      </c>
      <c r="C260" s="5" t="s">
        <v>24</v>
      </c>
      <c r="D260" s="5" t="s">
        <v>21</v>
      </c>
      <c r="E260" s="5">
        <v>36290.080000000002</v>
      </c>
      <c r="F260" s="5">
        <v>5787</v>
      </c>
      <c r="G260" s="5">
        <v>0</v>
      </c>
      <c r="H260" s="5">
        <v>17</v>
      </c>
      <c r="I260" s="5">
        <v>88.3</v>
      </c>
      <c r="J260" s="5">
        <v>4.1900000000000004</v>
      </c>
      <c r="K260" s="5">
        <v>0</v>
      </c>
      <c r="L260" s="5">
        <v>4.0999999999999996</v>
      </c>
      <c r="M260" s="5">
        <v>612390.14</v>
      </c>
      <c r="N260" s="5">
        <v>108985.74</v>
      </c>
    </row>
    <row r="261" spans="1:14" ht="15" customHeight="1">
      <c r="A261" s="5" t="s">
        <v>86</v>
      </c>
      <c r="B261" s="5" t="s">
        <v>102</v>
      </c>
      <c r="C261" s="5" t="s">
        <v>24</v>
      </c>
      <c r="D261" s="5" t="s">
        <v>28</v>
      </c>
      <c r="E261" s="5">
        <v>65272.58</v>
      </c>
      <c r="F261" s="5">
        <v>8165</v>
      </c>
      <c r="G261" s="5">
        <v>5.0999999999999997E-2</v>
      </c>
      <c r="H261" s="5">
        <v>19</v>
      </c>
      <c r="I261" s="5">
        <v>87.8</v>
      </c>
      <c r="J261" s="5">
        <v>1.26</v>
      </c>
      <c r="K261" s="5">
        <v>1</v>
      </c>
      <c r="L261" s="5">
        <v>4.3</v>
      </c>
      <c r="M261" s="5">
        <v>840108.12</v>
      </c>
      <c r="N261" s="5">
        <v>126587.01</v>
      </c>
    </row>
    <row r="262" spans="1:14" ht="15" customHeight="1">
      <c r="A262" s="5" t="s">
        <v>86</v>
      </c>
      <c r="B262" s="5" t="s">
        <v>103</v>
      </c>
      <c r="C262" s="5" t="s">
        <v>24</v>
      </c>
      <c r="D262" s="5" t="s">
        <v>28</v>
      </c>
      <c r="E262" s="5">
        <v>28670.43</v>
      </c>
      <c r="F262" s="5">
        <v>7574</v>
      </c>
      <c r="G262" s="5">
        <v>0.114</v>
      </c>
      <c r="H262" s="5">
        <v>19</v>
      </c>
      <c r="I262" s="5">
        <v>82.7</v>
      </c>
      <c r="J262" s="5">
        <v>2.74</v>
      </c>
      <c r="K262" s="5">
        <v>0</v>
      </c>
      <c r="L262" s="5">
        <v>4.5999999999999996</v>
      </c>
      <c r="M262" s="5">
        <v>697888.09</v>
      </c>
      <c r="N262" s="5">
        <v>116249.87</v>
      </c>
    </row>
    <row r="263" spans="1:14" ht="15" customHeight="1">
      <c r="A263" s="5" t="s">
        <v>86</v>
      </c>
      <c r="B263" s="5" t="s">
        <v>104</v>
      </c>
      <c r="C263" s="5" t="s">
        <v>24</v>
      </c>
      <c r="D263" s="5" t="s">
        <v>28</v>
      </c>
      <c r="E263" s="5">
        <v>44189.34</v>
      </c>
      <c r="F263" s="5">
        <v>8634</v>
      </c>
      <c r="G263" s="5">
        <v>0.14299999999999999</v>
      </c>
      <c r="H263" s="5">
        <v>19</v>
      </c>
      <c r="I263" s="5">
        <v>87.5</v>
      </c>
      <c r="J263" s="5">
        <v>3.69</v>
      </c>
      <c r="K263" s="5">
        <v>0</v>
      </c>
      <c r="L263" s="5">
        <v>4.4000000000000004</v>
      </c>
      <c r="M263" s="5">
        <v>746115.59</v>
      </c>
      <c r="N263" s="5">
        <v>94662.96</v>
      </c>
    </row>
    <row r="264" spans="1:14" ht="15" customHeight="1">
      <c r="A264" s="5" t="s">
        <v>86</v>
      </c>
      <c r="B264" s="5" t="s">
        <v>105</v>
      </c>
      <c r="C264" s="5" t="s">
        <v>24</v>
      </c>
      <c r="D264" s="5" t="s">
        <v>28</v>
      </c>
      <c r="E264" s="5">
        <v>38397.82</v>
      </c>
      <c r="F264" s="5">
        <v>7836</v>
      </c>
      <c r="G264" s="5">
        <v>7.0000000000000001E-3</v>
      </c>
      <c r="H264" s="5">
        <v>21</v>
      </c>
      <c r="I264" s="5">
        <v>92.2</v>
      </c>
      <c r="J264" s="5">
        <v>1.82</v>
      </c>
      <c r="K264" s="5">
        <v>0</v>
      </c>
      <c r="L264" s="5">
        <v>3.6</v>
      </c>
      <c r="M264" s="5">
        <v>776110.32</v>
      </c>
      <c r="N264" s="5">
        <v>139676.21</v>
      </c>
    </row>
    <row r="265" spans="1:14" ht="15" customHeight="1">
      <c r="A265" s="5" t="s">
        <v>87</v>
      </c>
      <c r="B265" s="5" t="s">
        <v>102</v>
      </c>
      <c r="C265" s="5" t="s">
        <v>27</v>
      </c>
      <c r="D265" s="5" t="s">
        <v>18</v>
      </c>
      <c r="E265" s="5">
        <v>14519.37</v>
      </c>
      <c r="F265" s="5">
        <v>3047</v>
      </c>
      <c r="G265" s="5">
        <v>0.13500000000000001</v>
      </c>
      <c r="H265" s="5">
        <v>10</v>
      </c>
      <c r="I265" s="5">
        <v>90.3</v>
      </c>
      <c r="J265" s="5">
        <v>6.62</v>
      </c>
      <c r="K265" s="5">
        <v>0</v>
      </c>
      <c r="L265" s="5">
        <v>4.2</v>
      </c>
      <c r="M265" s="5">
        <v>528852.62</v>
      </c>
      <c r="N265" s="5">
        <v>68426.210000000006</v>
      </c>
    </row>
    <row r="266" spans="1:14" ht="15" customHeight="1">
      <c r="A266" s="5" t="s">
        <v>87</v>
      </c>
      <c r="B266" s="5" t="s">
        <v>103</v>
      </c>
      <c r="C266" s="5" t="s">
        <v>27</v>
      </c>
      <c r="D266" s="5" t="s">
        <v>18</v>
      </c>
      <c r="E266" s="5">
        <v>43288.2</v>
      </c>
      <c r="F266" s="5">
        <v>4783</v>
      </c>
      <c r="G266" s="5">
        <v>0.16900000000000001</v>
      </c>
      <c r="H266" s="5">
        <v>13</v>
      </c>
      <c r="I266" s="5">
        <v>87.3</v>
      </c>
      <c r="J266" s="5">
        <v>3.3650000000000002</v>
      </c>
      <c r="K266" s="5">
        <v>0</v>
      </c>
      <c r="L266" s="5">
        <v>4.2</v>
      </c>
      <c r="M266" s="5">
        <v>605751.32999999996</v>
      </c>
      <c r="N266" s="5">
        <v>60685.53</v>
      </c>
    </row>
    <row r="267" spans="1:14" ht="15" customHeight="1">
      <c r="A267" s="5" t="s">
        <v>87</v>
      </c>
      <c r="B267" s="5" t="s">
        <v>104</v>
      </c>
      <c r="C267" s="5" t="s">
        <v>27</v>
      </c>
      <c r="D267" s="5" t="s">
        <v>18</v>
      </c>
      <c r="E267" s="5">
        <v>51450.55</v>
      </c>
      <c r="F267" s="5">
        <v>4902</v>
      </c>
      <c r="G267" s="5">
        <v>8.5999999999999993E-2</v>
      </c>
      <c r="H267" s="5">
        <v>11</v>
      </c>
      <c r="I267" s="5">
        <v>83.7</v>
      </c>
      <c r="J267" s="5">
        <v>6.92</v>
      </c>
      <c r="K267" s="5">
        <v>1</v>
      </c>
      <c r="L267" s="5">
        <v>4.2</v>
      </c>
      <c r="M267" s="5">
        <v>677640.65</v>
      </c>
      <c r="N267" s="5">
        <v>111610.89</v>
      </c>
    </row>
    <row r="268" spans="1:14" ht="15" customHeight="1">
      <c r="A268" s="5" t="s">
        <v>87</v>
      </c>
      <c r="B268" s="5" t="s">
        <v>105</v>
      </c>
      <c r="C268" s="5" t="s">
        <v>27</v>
      </c>
      <c r="D268" s="5" t="s">
        <v>18</v>
      </c>
      <c r="E268" s="5">
        <v>58688.26</v>
      </c>
      <c r="F268" s="5">
        <v>4022</v>
      </c>
      <c r="G268" s="5">
        <v>0.217</v>
      </c>
      <c r="H268" s="5">
        <v>12</v>
      </c>
      <c r="I268" s="5">
        <v>93.8</v>
      </c>
      <c r="J268" s="5">
        <v>11.78</v>
      </c>
      <c r="K268" s="5">
        <v>0</v>
      </c>
      <c r="L268" s="5">
        <v>3.7</v>
      </c>
      <c r="M268" s="5">
        <v>636613.23</v>
      </c>
      <c r="N268" s="5">
        <v>78908.350000000006</v>
      </c>
    </row>
    <row r="269" spans="1:14" ht="15" customHeight="1">
      <c r="A269" s="5" t="s">
        <v>88</v>
      </c>
      <c r="B269" s="5" t="s">
        <v>102</v>
      </c>
      <c r="C269" s="5" t="s">
        <v>15</v>
      </c>
      <c r="D269" s="5" t="s">
        <v>18</v>
      </c>
      <c r="E269" s="5">
        <v>58981.91</v>
      </c>
      <c r="F269" s="5">
        <v>7324</v>
      </c>
      <c r="G269" s="5">
        <v>9.4E-2</v>
      </c>
      <c r="H269" s="5">
        <v>15</v>
      </c>
      <c r="I269" s="5">
        <v>95.8</v>
      </c>
      <c r="J269" s="5">
        <v>0.5</v>
      </c>
      <c r="K269" s="5">
        <v>0</v>
      </c>
      <c r="L269" s="5">
        <v>3.5</v>
      </c>
      <c r="M269" s="5">
        <v>708985.19</v>
      </c>
      <c r="N269" s="5">
        <v>125368.16</v>
      </c>
    </row>
    <row r="270" spans="1:14" ht="15" customHeight="1">
      <c r="A270" s="5" t="s">
        <v>88</v>
      </c>
      <c r="B270" s="5" t="s">
        <v>103</v>
      </c>
      <c r="C270" s="5" t="s">
        <v>15</v>
      </c>
      <c r="D270" s="5" t="s">
        <v>18</v>
      </c>
      <c r="E270" s="5">
        <v>73454.539999999994</v>
      </c>
      <c r="F270" s="5">
        <v>8129</v>
      </c>
      <c r="G270" s="5">
        <v>0.21099999999999999</v>
      </c>
      <c r="H270" s="5">
        <v>20</v>
      </c>
      <c r="I270" s="5">
        <v>85.2</v>
      </c>
      <c r="J270" s="5">
        <v>0.88</v>
      </c>
      <c r="K270" s="5">
        <v>0</v>
      </c>
      <c r="L270" s="5">
        <v>3.7</v>
      </c>
      <c r="M270" s="5">
        <v>767792.94</v>
      </c>
      <c r="N270" s="5">
        <v>96235.77</v>
      </c>
    </row>
    <row r="271" spans="1:14" ht="15" customHeight="1">
      <c r="A271" s="5" t="s">
        <v>88</v>
      </c>
      <c r="B271" s="5" t="s">
        <v>104</v>
      </c>
      <c r="C271" s="5" t="s">
        <v>15</v>
      </c>
      <c r="D271" s="5" t="s">
        <v>18</v>
      </c>
      <c r="E271" s="5">
        <v>56602.39</v>
      </c>
      <c r="F271" s="5">
        <v>7969</v>
      </c>
      <c r="G271" s="5">
        <v>0.17</v>
      </c>
      <c r="H271" s="5">
        <v>21</v>
      </c>
      <c r="I271" s="5">
        <v>88.3</v>
      </c>
      <c r="J271" s="5">
        <v>2.25</v>
      </c>
      <c r="K271" s="5">
        <v>0</v>
      </c>
      <c r="L271" s="5">
        <v>3.7</v>
      </c>
      <c r="M271" s="5">
        <v>745580.51</v>
      </c>
      <c r="N271" s="5">
        <v>116273.68</v>
      </c>
    </row>
    <row r="272" spans="1:14" ht="15" customHeight="1">
      <c r="A272" s="5" t="s">
        <v>88</v>
      </c>
      <c r="B272" s="5" t="s">
        <v>105</v>
      </c>
      <c r="C272" s="5" t="s">
        <v>15</v>
      </c>
      <c r="D272" s="5" t="s">
        <v>18</v>
      </c>
      <c r="E272" s="5">
        <v>67722.289999999994</v>
      </c>
      <c r="F272" s="5">
        <v>7240</v>
      </c>
      <c r="G272" s="5">
        <v>2.5999999999999999E-2</v>
      </c>
      <c r="H272" s="5">
        <v>15</v>
      </c>
      <c r="I272" s="5">
        <v>92.9</v>
      </c>
      <c r="J272" s="5">
        <v>0.28999999999999998</v>
      </c>
      <c r="K272" s="5">
        <v>0</v>
      </c>
      <c r="L272" s="5">
        <v>3.5</v>
      </c>
      <c r="M272" s="5">
        <v>762328.31</v>
      </c>
      <c r="N272" s="5">
        <v>159158.19</v>
      </c>
    </row>
    <row r="273" spans="1:14" ht="15" customHeight="1">
      <c r="A273" s="5" t="s">
        <v>89</v>
      </c>
      <c r="B273" s="5" t="s">
        <v>102</v>
      </c>
      <c r="C273" s="5" t="s">
        <v>15</v>
      </c>
      <c r="D273" s="5" t="s">
        <v>28</v>
      </c>
      <c r="E273" s="5">
        <v>48752.92</v>
      </c>
      <c r="F273" s="5">
        <v>8052</v>
      </c>
      <c r="G273" s="5">
        <v>0.106</v>
      </c>
      <c r="H273" s="5">
        <v>16</v>
      </c>
      <c r="I273" s="5">
        <v>94.9</v>
      </c>
      <c r="J273" s="5">
        <v>0.65</v>
      </c>
      <c r="K273" s="5">
        <v>0</v>
      </c>
      <c r="L273" s="5">
        <v>3.6</v>
      </c>
      <c r="M273" s="5">
        <v>660633.99</v>
      </c>
      <c r="N273" s="5">
        <v>118768.66</v>
      </c>
    </row>
    <row r="274" spans="1:14" ht="15" customHeight="1">
      <c r="A274" s="5" t="s">
        <v>89</v>
      </c>
      <c r="B274" s="5" t="s">
        <v>103</v>
      </c>
      <c r="C274" s="5" t="s">
        <v>15</v>
      </c>
      <c r="D274" s="5" t="s">
        <v>28</v>
      </c>
      <c r="E274" s="5">
        <v>23914.97</v>
      </c>
      <c r="F274" s="5">
        <v>8018</v>
      </c>
      <c r="G274" s="5">
        <v>0.13900000000000001</v>
      </c>
      <c r="H274" s="5">
        <v>20</v>
      </c>
      <c r="I274" s="5">
        <v>89</v>
      </c>
      <c r="J274" s="5">
        <v>0.2</v>
      </c>
      <c r="K274" s="5">
        <v>0</v>
      </c>
      <c r="L274" s="5">
        <v>3.5</v>
      </c>
      <c r="M274" s="5">
        <v>739374.56</v>
      </c>
      <c r="N274" s="5">
        <v>121032.29</v>
      </c>
    </row>
    <row r="275" spans="1:14" ht="15" customHeight="1">
      <c r="A275" s="5" t="s">
        <v>89</v>
      </c>
      <c r="B275" s="5" t="s">
        <v>104</v>
      </c>
      <c r="C275" s="5" t="s">
        <v>15</v>
      </c>
      <c r="D275" s="5" t="s">
        <v>28</v>
      </c>
      <c r="E275" s="5">
        <v>61995.3</v>
      </c>
      <c r="F275" s="5">
        <v>10192</v>
      </c>
      <c r="G275" s="5">
        <v>0.19800000000000001</v>
      </c>
      <c r="H275" s="5">
        <v>21</v>
      </c>
      <c r="I275" s="5">
        <v>87.6</v>
      </c>
      <c r="J275" s="5">
        <v>3.63</v>
      </c>
      <c r="K275" s="5">
        <v>1</v>
      </c>
      <c r="L275" s="5">
        <v>3.8</v>
      </c>
      <c r="M275" s="5">
        <v>799756.46</v>
      </c>
      <c r="N275" s="5">
        <v>105052.93</v>
      </c>
    </row>
    <row r="276" spans="1:14" ht="15" customHeight="1">
      <c r="A276" s="5" t="s">
        <v>89</v>
      </c>
      <c r="B276" s="5" t="s">
        <v>105</v>
      </c>
      <c r="C276" s="5" t="s">
        <v>15</v>
      </c>
      <c r="D276" s="5" t="s">
        <v>28</v>
      </c>
      <c r="E276" s="5">
        <v>29344.93</v>
      </c>
      <c r="F276" s="5">
        <v>7446</v>
      </c>
      <c r="G276" s="5">
        <v>0.111</v>
      </c>
      <c r="H276" s="5">
        <v>15</v>
      </c>
      <c r="I276" s="5">
        <v>86.2</v>
      </c>
      <c r="J276" s="5">
        <v>0.2</v>
      </c>
      <c r="K276" s="5">
        <v>0</v>
      </c>
      <c r="L276" s="5">
        <v>3.2</v>
      </c>
      <c r="M276" s="5">
        <v>593343</v>
      </c>
      <c r="N276" s="5">
        <v>82832.240000000005</v>
      </c>
    </row>
    <row r="277" spans="1:14" ht="15" customHeight="1">
      <c r="A277" s="5" t="s">
        <v>90</v>
      </c>
      <c r="B277" s="5" t="s">
        <v>102</v>
      </c>
      <c r="C277" s="5" t="s">
        <v>27</v>
      </c>
      <c r="D277" s="5" t="s">
        <v>18</v>
      </c>
      <c r="E277" s="5">
        <v>50532.17</v>
      </c>
      <c r="F277" s="5">
        <v>5689</v>
      </c>
      <c r="G277" s="5">
        <v>5.1999999999999998E-2</v>
      </c>
      <c r="H277" s="5">
        <v>17</v>
      </c>
      <c r="I277" s="5">
        <v>85.6</v>
      </c>
      <c r="J277" s="5">
        <v>6.23</v>
      </c>
      <c r="K277" s="5">
        <v>0</v>
      </c>
      <c r="L277" s="5">
        <v>3.3</v>
      </c>
      <c r="M277" s="5">
        <v>645039.97</v>
      </c>
      <c r="N277" s="5">
        <v>83093.33</v>
      </c>
    </row>
    <row r="278" spans="1:14" ht="15" customHeight="1">
      <c r="A278" s="5" t="s">
        <v>90</v>
      </c>
      <c r="B278" s="5" t="s">
        <v>103</v>
      </c>
      <c r="C278" s="5" t="s">
        <v>27</v>
      </c>
      <c r="D278" s="5" t="s">
        <v>18</v>
      </c>
      <c r="E278" s="5">
        <v>17562.57</v>
      </c>
      <c r="F278" s="5">
        <v>3326</v>
      </c>
      <c r="G278" s="5">
        <v>0.153</v>
      </c>
      <c r="H278" s="5">
        <v>14</v>
      </c>
      <c r="I278" s="5">
        <v>88.1</v>
      </c>
      <c r="J278" s="5">
        <v>1.04</v>
      </c>
      <c r="K278" s="5">
        <v>0</v>
      </c>
      <c r="L278" s="5">
        <v>3.1</v>
      </c>
      <c r="M278" s="5">
        <v>561597.32999999996</v>
      </c>
      <c r="N278" s="5">
        <v>75072.75</v>
      </c>
    </row>
    <row r="279" spans="1:14" ht="15" customHeight="1">
      <c r="A279" s="5" t="s">
        <v>90</v>
      </c>
      <c r="B279" s="5" t="s">
        <v>104</v>
      </c>
      <c r="C279" s="5" t="s">
        <v>27</v>
      </c>
      <c r="D279" s="5" t="s">
        <v>18</v>
      </c>
      <c r="E279" s="5">
        <v>47648.71</v>
      </c>
      <c r="F279" s="5">
        <v>5767</v>
      </c>
      <c r="G279" s="5">
        <v>0.14099999999999999</v>
      </c>
      <c r="H279" s="5">
        <v>17</v>
      </c>
      <c r="I279" s="5">
        <v>89.8</v>
      </c>
      <c r="J279" s="5">
        <v>1.76</v>
      </c>
      <c r="K279" s="5">
        <v>0</v>
      </c>
      <c r="L279" s="5">
        <v>3.1</v>
      </c>
      <c r="M279" s="5">
        <v>635837.74</v>
      </c>
      <c r="N279" s="5">
        <v>114740.64</v>
      </c>
    </row>
    <row r="280" spans="1:14" ht="15" customHeight="1">
      <c r="A280" s="5" t="s">
        <v>90</v>
      </c>
      <c r="B280" s="5" t="s">
        <v>105</v>
      </c>
      <c r="C280" s="5" t="s">
        <v>27</v>
      </c>
      <c r="D280" s="5" t="s">
        <v>18</v>
      </c>
      <c r="E280" s="5">
        <v>38297.58</v>
      </c>
      <c r="F280" s="5">
        <v>5893</v>
      </c>
      <c r="G280" s="5">
        <v>0.247</v>
      </c>
      <c r="H280" s="5">
        <v>18</v>
      </c>
      <c r="I280" s="5">
        <v>77.599999999999994</v>
      </c>
      <c r="J280" s="5">
        <v>2.86</v>
      </c>
      <c r="K280" s="5">
        <v>0</v>
      </c>
      <c r="L280" s="5">
        <v>3</v>
      </c>
      <c r="M280" s="5">
        <v>686737.87</v>
      </c>
      <c r="N280" s="5">
        <v>83839.67</v>
      </c>
    </row>
    <row r="281" spans="1:14" ht="15" customHeight="1">
      <c r="A281" s="5" t="s">
        <v>91</v>
      </c>
      <c r="B281" s="5" t="s">
        <v>102</v>
      </c>
      <c r="C281" s="5" t="s">
        <v>24</v>
      </c>
      <c r="D281" s="5" t="s">
        <v>16</v>
      </c>
      <c r="E281" s="5">
        <v>61784.11</v>
      </c>
      <c r="F281" s="5">
        <v>8564</v>
      </c>
      <c r="G281" s="5">
        <v>0.13</v>
      </c>
      <c r="H281" s="5">
        <v>17</v>
      </c>
      <c r="I281" s="5">
        <v>87.4</v>
      </c>
      <c r="J281" s="5">
        <v>18.14</v>
      </c>
      <c r="K281" s="5">
        <v>1</v>
      </c>
      <c r="L281" s="5">
        <v>3.4</v>
      </c>
      <c r="M281" s="5">
        <v>673076.34</v>
      </c>
      <c r="N281" s="5">
        <v>93899.76</v>
      </c>
    </row>
    <row r="282" spans="1:14" ht="15" customHeight="1">
      <c r="A282" s="5" t="s">
        <v>91</v>
      </c>
      <c r="B282" s="5" t="s">
        <v>103</v>
      </c>
      <c r="C282" s="5" t="s">
        <v>24</v>
      </c>
      <c r="D282" s="5" t="s">
        <v>16</v>
      </c>
      <c r="E282" s="5">
        <v>36832.33</v>
      </c>
      <c r="F282" s="5">
        <v>8001</v>
      </c>
      <c r="G282" s="5">
        <v>0</v>
      </c>
      <c r="H282" s="5">
        <v>19</v>
      </c>
      <c r="I282" s="5">
        <v>88.7</v>
      </c>
      <c r="J282" s="5">
        <v>3.39</v>
      </c>
      <c r="K282" s="5">
        <v>0</v>
      </c>
      <c r="L282" s="5">
        <v>4</v>
      </c>
      <c r="M282" s="5">
        <v>738548.42</v>
      </c>
      <c r="N282" s="5">
        <v>134282.76999999999</v>
      </c>
    </row>
    <row r="283" spans="1:14" ht="15" customHeight="1">
      <c r="A283" s="5" t="s">
        <v>91</v>
      </c>
      <c r="B283" s="5" t="s">
        <v>104</v>
      </c>
      <c r="C283" s="5" t="s">
        <v>24</v>
      </c>
      <c r="D283" s="5" t="s">
        <v>16</v>
      </c>
      <c r="E283" s="5">
        <v>48609.41</v>
      </c>
      <c r="F283" s="5">
        <v>9324</v>
      </c>
      <c r="G283" s="5">
        <v>0.21299999999999999</v>
      </c>
      <c r="H283" s="5">
        <v>18</v>
      </c>
      <c r="I283" s="5">
        <v>86.5</v>
      </c>
      <c r="J283" s="5">
        <v>1.44</v>
      </c>
      <c r="K283" s="5">
        <v>0</v>
      </c>
      <c r="L283" s="5">
        <v>3.9</v>
      </c>
      <c r="M283" s="5">
        <v>756619.77</v>
      </c>
      <c r="N283" s="5">
        <v>112057.69</v>
      </c>
    </row>
    <row r="284" spans="1:14" ht="15" customHeight="1">
      <c r="A284" s="5" t="s">
        <v>91</v>
      </c>
      <c r="B284" s="5" t="s">
        <v>105</v>
      </c>
      <c r="C284" s="5" t="s">
        <v>24</v>
      </c>
      <c r="D284" s="5" t="s">
        <v>16</v>
      </c>
      <c r="E284" s="5">
        <v>70284.06</v>
      </c>
      <c r="F284" s="5">
        <v>9109</v>
      </c>
      <c r="G284" s="5">
        <v>4.0000000000000001E-3</v>
      </c>
      <c r="H284" s="5">
        <v>23</v>
      </c>
      <c r="I284" s="5">
        <v>87</v>
      </c>
      <c r="J284" s="5">
        <v>3.65</v>
      </c>
      <c r="K284" s="5">
        <v>0</v>
      </c>
      <c r="L284" s="5">
        <v>3.7</v>
      </c>
      <c r="M284" s="5">
        <v>761122.42</v>
      </c>
      <c r="N284" s="5">
        <v>149802.04</v>
      </c>
    </row>
    <row r="285" spans="1:14" ht="15" customHeight="1">
      <c r="A285" s="5" t="s">
        <v>92</v>
      </c>
      <c r="B285" s="5" t="s">
        <v>102</v>
      </c>
      <c r="C285" s="5" t="s">
        <v>24</v>
      </c>
      <c r="D285" s="5" t="s">
        <v>18</v>
      </c>
      <c r="E285" s="5">
        <v>45940.39</v>
      </c>
      <c r="F285" s="5">
        <v>4022</v>
      </c>
      <c r="G285" s="5">
        <v>6.9000000000000006E-2</v>
      </c>
      <c r="H285" s="5">
        <v>10</v>
      </c>
      <c r="I285" s="5">
        <v>83</v>
      </c>
      <c r="J285" s="5">
        <v>1.23</v>
      </c>
      <c r="K285" s="5">
        <v>1</v>
      </c>
      <c r="L285" s="5">
        <v>3.8</v>
      </c>
      <c r="M285" s="5">
        <v>524899.56999999995</v>
      </c>
      <c r="N285" s="5">
        <v>63619.98</v>
      </c>
    </row>
    <row r="286" spans="1:14" ht="15" customHeight="1">
      <c r="A286" s="5" t="s">
        <v>92</v>
      </c>
      <c r="B286" s="5" t="s">
        <v>103</v>
      </c>
      <c r="C286" s="5" t="s">
        <v>24</v>
      </c>
      <c r="D286" s="5" t="s">
        <v>18</v>
      </c>
      <c r="E286" s="5">
        <v>34771.26</v>
      </c>
      <c r="F286" s="5">
        <v>4355</v>
      </c>
      <c r="G286" s="5">
        <v>5.0999999999999997E-2</v>
      </c>
      <c r="H286" s="5">
        <v>15</v>
      </c>
      <c r="I286" s="5">
        <v>87.9</v>
      </c>
      <c r="J286" s="5">
        <v>3.09</v>
      </c>
      <c r="K286" s="5">
        <v>0</v>
      </c>
      <c r="L286" s="5">
        <v>4</v>
      </c>
      <c r="M286" s="5">
        <v>555557.77</v>
      </c>
      <c r="N286" s="5">
        <v>86475.51</v>
      </c>
    </row>
    <row r="287" spans="1:14" ht="15" customHeight="1">
      <c r="A287" s="5" t="s">
        <v>92</v>
      </c>
      <c r="B287" s="5" t="s">
        <v>104</v>
      </c>
      <c r="C287" s="5" t="s">
        <v>24</v>
      </c>
      <c r="D287" s="5" t="s">
        <v>18</v>
      </c>
      <c r="E287" s="5">
        <v>66104.19</v>
      </c>
      <c r="F287" s="5">
        <v>5745</v>
      </c>
      <c r="G287" s="5">
        <v>7.0000000000000007E-2</v>
      </c>
      <c r="H287" s="5">
        <v>17</v>
      </c>
      <c r="I287" s="5">
        <v>95.8</v>
      </c>
      <c r="J287" s="5">
        <v>3.15</v>
      </c>
      <c r="K287" s="5">
        <v>0</v>
      </c>
      <c r="L287" s="5">
        <v>4</v>
      </c>
      <c r="M287" s="5">
        <v>714083.68</v>
      </c>
      <c r="N287" s="5">
        <v>127231.74</v>
      </c>
    </row>
    <row r="288" spans="1:14" ht="15" customHeight="1">
      <c r="A288" s="5" t="s">
        <v>92</v>
      </c>
      <c r="B288" s="5" t="s">
        <v>105</v>
      </c>
      <c r="C288" s="5" t="s">
        <v>24</v>
      </c>
      <c r="D288" s="5" t="s">
        <v>18</v>
      </c>
      <c r="E288" s="5">
        <v>18599.21</v>
      </c>
      <c r="F288" s="5">
        <v>3027</v>
      </c>
      <c r="G288" s="5">
        <v>0.122</v>
      </c>
      <c r="H288" s="5">
        <v>11</v>
      </c>
      <c r="I288" s="5">
        <v>80.900000000000006</v>
      </c>
      <c r="J288" s="5">
        <v>6.44</v>
      </c>
      <c r="K288" s="5">
        <v>0</v>
      </c>
      <c r="L288" s="5">
        <v>4.2</v>
      </c>
      <c r="M288" s="5">
        <v>497439.82</v>
      </c>
      <c r="N288" s="5">
        <v>93372.75</v>
      </c>
    </row>
    <row r="289" spans="1:14" ht="15" customHeight="1">
      <c r="A289" s="5" t="s">
        <v>93</v>
      </c>
      <c r="B289" s="5" t="s">
        <v>102</v>
      </c>
      <c r="C289" s="5" t="s">
        <v>27</v>
      </c>
      <c r="D289" s="5" t="s">
        <v>16</v>
      </c>
      <c r="E289" s="5">
        <v>60183.06</v>
      </c>
      <c r="F289" s="5">
        <v>5562</v>
      </c>
      <c r="G289" s="5">
        <v>8.9999999999999993E-3</v>
      </c>
      <c r="H289" s="5">
        <v>13</v>
      </c>
      <c r="I289" s="5">
        <v>86.3</v>
      </c>
      <c r="J289" s="5">
        <v>0.2</v>
      </c>
      <c r="K289" s="5">
        <v>1</v>
      </c>
      <c r="L289" s="5">
        <v>4.5</v>
      </c>
      <c r="M289" s="5">
        <v>636775.66</v>
      </c>
      <c r="N289" s="5">
        <v>122636.86</v>
      </c>
    </row>
    <row r="290" spans="1:14" ht="15" customHeight="1">
      <c r="A290" s="5" t="s">
        <v>93</v>
      </c>
      <c r="B290" s="5" t="s">
        <v>103</v>
      </c>
      <c r="C290" s="5" t="s">
        <v>27</v>
      </c>
      <c r="D290" s="5" t="s">
        <v>16</v>
      </c>
      <c r="E290" s="5">
        <v>74539.14</v>
      </c>
      <c r="F290" s="5">
        <v>4487</v>
      </c>
      <c r="G290" s="5">
        <v>0.14000000000000001</v>
      </c>
      <c r="H290" s="5">
        <v>10</v>
      </c>
      <c r="I290" s="5">
        <v>90.4</v>
      </c>
      <c r="J290" s="5">
        <v>0.59</v>
      </c>
      <c r="K290" s="5">
        <v>0</v>
      </c>
      <c r="L290" s="5">
        <v>4.5</v>
      </c>
      <c r="M290" s="5">
        <v>633009.53</v>
      </c>
      <c r="N290" s="5">
        <v>123782.67</v>
      </c>
    </row>
    <row r="291" spans="1:14" ht="15" customHeight="1">
      <c r="A291" s="5" t="s">
        <v>93</v>
      </c>
      <c r="B291" s="5" t="s">
        <v>104</v>
      </c>
      <c r="C291" s="5" t="s">
        <v>27</v>
      </c>
      <c r="D291" s="5" t="s">
        <v>16</v>
      </c>
      <c r="E291" s="5">
        <v>55371.97</v>
      </c>
      <c r="F291" s="5">
        <v>4162</v>
      </c>
      <c r="G291" s="5">
        <v>0.183</v>
      </c>
      <c r="H291" s="5">
        <v>11</v>
      </c>
      <c r="I291" s="5">
        <v>92</v>
      </c>
      <c r="J291" s="5">
        <v>0.2</v>
      </c>
      <c r="K291" s="5">
        <v>1</v>
      </c>
      <c r="L291" s="5">
        <v>4.2</v>
      </c>
      <c r="M291" s="5">
        <v>609949</v>
      </c>
      <c r="N291" s="5">
        <v>126789.25</v>
      </c>
    </row>
    <row r="292" spans="1:14" ht="15" customHeight="1">
      <c r="A292" s="5" t="s">
        <v>93</v>
      </c>
      <c r="B292" s="5" t="s">
        <v>105</v>
      </c>
      <c r="C292" s="5" t="s">
        <v>27</v>
      </c>
      <c r="D292" s="5" t="s">
        <v>16</v>
      </c>
      <c r="E292" s="5">
        <v>40928.69</v>
      </c>
      <c r="F292" s="5">
        <v>4094</v>
      </c>
      <c r="G292" s="5">
        <v>0.17399999999999999</v>
      </c>
      <c r="H292" s="5">
        <v>13</v>
      </c>
      <c r="I292" s="5">
        <v>82.4</v>
      </c>
      <c r="J292" s="5">
        <v>1.36</v>
      </c>
      <c r="K292" s="5">
        <v>0</v>
      </c>
      <c r="L292" s="5">
        <v>4.8</v>
      </c>
      <c r="M292" s="5">
        <v>548103.69999999995</v>
      </c>
      <c r="N292" s="5">
        <v>99905.52</v>
      </c>
    </row>
    <row r="293" spans="1:14" ht="15" customHeight="1">
      <c r="A293" s="5" t="s">
        <v>94</v>
      </c>
      <c r="B293" s="5" t="s">
        <v>102</v>
      </c>
      <c r="C293" s="5" t="s">
        <v>15</v>
      </c>
      <c r="D293" s="5" t="s">
        <v>16</v>
      </c>
      <c r="E293" s="5">
        <v>70012.41</v>
      </c>
      <c r="F293" s="5">
        <v>8484</v>
      </c>
      <c r="G293" s="5">
        <v>0.27300000000000002</v>
      </c>
      <c r="H293" s="5">
        <v>23</v>
      </c>
      <c r="I293" s="5">
        <v>72.900000000000006</v>
      </c>
      <c r="J293" s="5">
        <v>3.34</v>
      </c>
      <c r="K293" s="5">
        <v>0</v>
      </c>
      <c r="L293" s="5">
        <v>3.7</v>
      </c>
      <c r="M293" s="5">
        <v>729424.42</v>
      </c>
      <c r="N293" s="5">
        <v>75592.28</v>
      </c>
    </row>
    <row r="294" spans="1:14" ht="15" customHeight="1">
      <c r="A294" s="5" t="s">
        <v>94</v>
      </c>
      <c r="B294" s="5" t="s">
        <v>103</v>
      </c>
      <c r="C294" s="5" t="s">
        <v>15</v>
      </c>
      <c r="D294" s="5" t="s">
        <v>16</v>
      </c>
      <c r="E294" s="5">
        <v>68909.259999999995</v>
      </c>
      <c r="F294" s="5">
        <v>7794</v>
      </c>
      <c r="G294" s="5">
        <v>0.28399999999999997</v>
      </c>
      <c r="H294" s="5">
        <v>22</v>
      </c>
      <c r="I294" s="5">
        <v>89</v>
      </c>
      <c r="J294" s="5">
        <v>0.33</v>
      </c>
      <c r="K294" s="5">
        <v>0</v>
      </c>
      <c r="L294" s="5">
        <v>4</v>
      </c>
      <c r="M294" s="5">
        <v>696261.49</v>
      </c>
      <c r="N294" s="5">
        <v>72455.350000000006</v>
      </c>
    </row>
    <row r="295" spans="1:14" ht="15" customHeight="1">
      <c r="A295" s="5" t="s">
        <v>94</v>
      </c>
      <c r="B295" s="5" t="s">
        <v>104</v>
      </c>
      <c r="C295" s="5" t="s">
        <v>15</v>
      </c>
      <c r="D295" s="5" t="s">
        <v>16</v>
      </c>
      <c r="E295" s="5">
        <v>56737.3</v>
      </c>
      <c r="F295" s="5">
        <v>8300</v>
      </c>
      <c r="G295" s="5">
        <v>3.2000000000000001E-2</v>
      </c>
      <c r="H295" s="5">
        <v>21</v>
      </c>
      <c r="I295" s="5">
        <v>83.2</v>
      </c>
      <c r="J295" s="5">
        <v>3.44</v>
      </c>
      <c r="K295" s="5">
        <v>1</v>
      </c>
      <c r="L295" s="5">
        <v>4.3</v>
      </c>
      <c r="M295" s="5">
        <v>813316.71</v>
      </c>
      <c r="N295" s="5">
        <v>110077.42</v>
      </c>
    </row>
    <row r="296" spans="1:14" ht="15" customHeight="1">
      <c r="A296" s="5" t="s">
        <v>94</v>
      </c>
      <c r="B296" s="5" t="s">
        <v>105</v>
      </c>
      <c r="C296" s="5" t="s">
        <v>15</v>
      </c>
      <c r="D296" s="5" t="s">
        <v>16</v>
      </c>
      <c r="E296" s="5">
        <v>54080.91</v>
      </c>
      <c r="F296" s="5">
        <v>7083</v>
      </c>
      <c r="G296" s="5">
        <v>0</v>
      </c>
      <c r="H296" s="5">
        <v>15</v>
      </c>
      <c r="I296" s="5">
        <v>97</v>
      </c>
      <c r="J296" s="5">
        <v>5.33</v>
      </c>
      <c r="K296" s="5">
        <v>0</v>
      </c>
      <c r="L296" s="5">
        <v>4.0999999999999996</v>
      </c>
      <c r="M296" s="5">
        <v>702068.92</v>
      </c>
      <c r="N296" s="5">
        <v>111266.63</v>
      </c>
    </row>
    <row r="297" spans="1:14" ht="15" customHeight="1">
      <c r="A297" s="5" t="s">
        <v>95</v>
      </c>
      <c r="B297" s="5" t="s">
        <v>102</v>
      </c>
      <c r="C297" s="5" t="s">
        <v>27</v>
      </c>
      <c r="D297" s="5" t="s">
        <v>18</v>
      </c>
      <c r="E297" s="5">
        <v>51996.32</v>
      </c>
      <c r="F297" s="5">
        <v>3834</v>
      </c>
      <c r="G297" s="5">
        <v>9.6000000000000002E-2</v>
      </c>
      <c r="H297" s="5">
        <v>8</v>
      </c>
      <c r="I297" s="5">
        <v>86.7</v>
      </c>
      <c r="J297" s="5">
        <v>6.04</v>
      </c>
      <c r="K297" s="5">
        <v>0</v>
      </c>
      <c r="L297" s="5">
        <v>4.5</v>
      </c>
      <c r="M297" s="5">
        <v>546223.69999999995</v>
      </c>
      <c r="N297" s="5">
        <v>100769.17</v>
      </c>
    </row>
    <row r="298" spans="1:14" ht="15" customHeight="1">
      <c r="A298" s="5" t="s">
        <v>95</v>
      </c>
      <c r="B298" s="5" t="s">
        <v>103</v>
      </c>
      <c r="C298" s="5" t="s">
        <v>27</v>
      </c>
      <c r="D298" s="5" t="s">
        <v>18</v>
      </c>
      <c r="E298" s="5">
        <v>40102.879999999997</v>
      </c>
      <c r="F298" s="5">
        <v>2358</v>
      </c>
      <c r="G298" s="5">
        <v>0.11899999999999999</v>
      </c>
      <c r="H298" s="5">
        <v>9</v>
      </c>
      <c r="I298" s="5">
        <v>88.7</v>
      </c>
      <c r="J298" s="5">
        <v>1.6</v>
      </c>
      <c r="K298" s="5">
        <v>0</v>
      </c>
      <c r="L298" s="5">
        <v>4.2</v>
      </c>
      <c r="M298" s="5">
        <v>533121.26</v>
      </c>
      <c r="N298" s="5">
        <v>55063.39</v>
      </c>
    </row>
    <row r="299" spans="1:14" ht="15" customHeight="1">
      <c r="A299" s="5" t="s">
        <v>95</v>
      </c>
      <c r="B299" s="5" t="s">
        <v>104</v>
      </c>
      <c r="C299" s="5" t="s">
        <v>27</v>
      </c>
      <c r="D299" s="5" t="s">
        <v>18</v>
      </c>
      <c r="E299" s="5">
        <v>59825.51</v>
      </c>
      <c r="F299" s="5">
        <v>1231</v>
      </c>
      <c r="G299" s="5">
        <v>0.214</v>
      </c>
      <c r="H299" s="5">
        <v>10</v>
      </c>
      <c r="I299" s="5">
        <v>84.8</v>
      </c>
      <c r="J299" s="5">
        <v>8.9600000000000009</v>
      </c>
      <c r="K299" s="5">
        <v>0</v>
      </c>
      <c r="L299" s="5">
        <v>4.7</v>
      </c>
      <c r="M299" s="5">
        <v>498970.32</v>
      </c>
      <c r="N299" s="5">
        <v>69656.7</v>
      </c>
    </row>
    <row r="300" spans="1:14" ht="15" customHeight="1">
      <c r="A300" s="5" t="s">
        <v>95</v>
      </c>
      <c r="B300" s="5" t="s">
        <v>105</v>
      </c>
      <c r="C300" s="5" t="s">
        <v>27</v>
      </c>
      <c r="D300" s="5" t="s">
        <v>18</v>
      </c>
      <c r="E300" s="5">
        <v>27398.28</v>
      </c>
      <c r="F300" s="5">
        <v>1723</v>
      </c>
      <c r="G300" s="5">
        <v>0.17100000000000001</v>
      </c>
      <c r="H300" s="5">
        <v>9</v>
      </c>
      <c r="I300" s="5">
        <v>81</v>
      </c>
      <c r="J300" s="5">
        <v>0.74</v>
      </c>
      <c r="K300" s="5">
        <v>0</v>
      </c>
      <c r="L300" s="5">
        <v>4.5999999999999996</v>
      </c>
      <c r="M300" s="5">
        <v>487738.26</v>
      </c>
      <c r="N300" s="5">
        <v>96435.6</v>
      </c>
    </row>
    <row r="301" spans="1:14" ht="15" customHeight="1">
      <c r="A301" s="5" t="s">
        <v>96</v>
      </c>
      <c r="B301" s="5" t="s">
        <v>102</v>
      </c>
      <c r="C301" s="5" t="s">
        <v>27</v>
      </c>
      <c r="D301" s="5" t="s">
        <v>18</v>
      </c>
      <c r="E301" s="5">
        <v>55599.56</v>
      </c>
      <c r="F301" s="5">
        <v>5896</v>
      </c>
      <c r="G301" s="5">
        <v>3.5999999999999997E-2</v>
      </c>
      <c r="H301" s="5">
        <v>12</v>
      </c>
      <c r="I301" s="5">
        <v>93.1</v>
      </c>
      <c r="J301" s="5">
        <v>6.13</v>
      </c>
      <c r="K301" s="5">
        <v>0</v>
      </c>
      <c r="L301" s="5">
        <v>3.3</v>
      </c>
      <c r="M301" s="5">
        <v>668459.37</v>
      </c>
      <c r="N301" s="5">
        <v>126435.42</v>
      </c>
    </row>
    <row r="302" spans="1:14" ht="15" customHeight="1">
      <c r="A302" s="5" t="s">
        <v>96</v>
      </c>
      <c r="B302" s="5" t="s">
        <v>103</v>
      </c>
      <c r="C302" s="5" t="s">
        <v>27</v>
      </c>
      <c r="D302" s="5" t="s">
        <v>18</v>
      </c>
      <c r="E302" s="5">
        <v>55477.61</v>
      </c>
      <c r="F302" s="5">
        <v>5903</v>
      </c>
      <c r="G302" s="5">
        <v>0.10199999999999999</v>
      </c>
      <c r="H302" s="5">
        <v>14</v>
      </c>
      <c r="I302" s="5">
        <v>96.2</v>
      </c>
      <c r="J302" s="5">
        <v>1.41</v>
      </c>
      <c r="K302" s="5">
        <v>0</v>
      </c>
      <c r="L302" s="5">
        <v>3.3</v>
      </c>
      <c r="M302" s="5">
        <v>763162.45</v>
      </c>
      <c r="N302" s="5">
        <v>162524.04999999999</v>
      </c>
    </row>
    <row r="303" spans="1:14" ht="15" customHeight="1">
      <c r="A303" s="5" t="s">
        <v>96</v>
      </c>
      <c r="B303" s="5" t="s">
        <v>104</v>
      </c>
      <c r="C303" s="5" t="s">
        <v>27</v>
      </c>
      <c r="D303" s="5" t="s">
        <v>18</v>
      </c>
      <c r="E303" s="5">
        <v>46174.7</v>
      </c>
      <c r="F303" s="5">
        <v>4898</v>
      </c>
      <c r="G303" s="5">
        <v>0.114</v>
      </c>
      <c r="H303" s="5">
        <v>11</v>
      </c>
      <c r="I303" s="5">
        <v>91.7</v>
      </c>
      <c r="J303" s="5">
        <v>3.75</v>
      </c>
      <c r="K303" s="5">
        <v>0</v>
      </c>
      <c r="L303" s="5">
        <v>3.1</v>
      </c>
      <c r="M303" s="5">
        <v>599017.32999999996</v>
      </c>
      <c r="N303" s="5">
        <v>134009.92000000001</v>
      </c>
    </row>
    <row r="304" spans="1:14" ht="15" customHeight="1">
      <c r="A304" s="5" t="s">
        <v>96</v>
      </c>
      <c r="B304" s="5" t="s">
        <v>105</v>
      </c>
      <c r="C304" s="5" t="s">
        <v>27</v>
      </c>
      <c r="D304" s="5" t="s">
        <v>18</v>
      </c>
      <c r="E304" s="5">
        <v>24362.98</v>
      </c>
      <c r="F304" s="5">
        <v>1462</v>
      </c>
      <c r="G304" s="5">
        <v>0.11700000000000001</v>
      </c>
      <c r="H304" s="5">
        <v>6</v>
      </c>
      <c r="I304" s="5">
        <v>89.3</v>
      </c>
      <c r="J304" s="5">
        <v>15.06</v>
      </c>
      <c r="K304" s="5">
        <v>0</v>
      </c>
      <c r="L304" s="5">
        <v>3.2</v>
      </c>
      <c r="M304" s="5">
        <v>401582.58</v>
      </c>
      <c r="N304" s="5">
        <v>68454.929999999993</v>
      </c>
    </row>
    <row r="305" spans="1:14" ht="15" customHeight="1">
      <c r="A305" s="5" t="s">
        <v>97</v>
      </c>
      <c r="B305" s="5" t="s">
        <v>102</v>
      </c>
      <c r="C305" s="5" t="s">
        <v>20</v>
      </c>
      <c r="D305" s="5" t="s">
        <v>28</v>
      </c>
      <c r="E305" s="5">
        <v>40647.67</v>
      </c>
      <c r="F305" s="5">
        <v>8252</v>
      </c>
      <c r="G305" s="5">
        <v>0.14099999999999999</v>
      </c>
      <c r="H305" s="5">
        <v>22</v>
      </c>
      <c r="I305" s="5">
        <v>88.2</v>
      </c>
      <c r="J305" s="5">
        <v>5.07</v>
      </c>
      <c r="K305" s="5">
        <v>1</v>
      </c>
      <c r="L305" s="5">
        <v>4.0999999999999996</v>
      </c>
      <c r="M305" s="5">
        <v>703812.99</v>
      </c>
      <c r="N305" s="5">
        <v>133577.98000000001</v>
      </c>
    </row>
    <row r="306" spans="1:14" ht="15" customHeight="1">
      <c r="A306" s="5" t="s">
        <v>97</v>
      </c>
      <c r="B306" s="5" t="s">
        <v>103</v>
      </c>
      <c r="C306" s="5" t="s">
        <v>20</v>
      </c>
      <c r="D306" s="5" t="s">
        <v>28</v>
      </c>
      <c r="E306" s="5">
        <v>63986.98</v>
      </c>
      <c r="F306" s="5">
        <v>7989</v>
      </c>
      <c r="G306" s="5">
        <v>7.3999999999999996E-2</v>
      </c>
      <c r="H306" s="5">
        <v>20</v>
      </c>
      <c r="I306" s="5">
        <v>83.3</v>
      </c>
      <c r="J306" s="5">
        <v>3.6</v>
      </c>
      <c r="K306" s="5">
        <v>0</v>
      </c>
      <c r="L306" s="5">
        <v>3.7</v>
      </c>
      <c r="M306" s="5">
        <v>724346.73</v>
      </c>
      <c r="N306" s="5">
        <v>155013.91</v>
      </c>
    </row>
    <row r="307" spans="1:14" ht="15" customHeight="1">
      <c r="A307" s="5" t="s">
        <v>97</v>
      </c>
      <c r="B307" s="5" t="s">
        <v>104</v>
      </c>
      <c r="C307" s="5" t="s">
        <v>20</v>
      </c>
      <c r="D307" s="5" t="s">
        <v>28</v>
      </c>
      <c r="E307" s="5">
        <v>52843.75</v>
      </c>
      <c r="F307" s="5">
        <v>8268</v>
      </c>
      <c r="G307" s="5">
        <v>0.13800000000000001</v>
      </c>
      <c r="H307" s="5">
        <v>19</v>
      </c>
      <c r="I307" s="5">
        <v>87.3</v>
      </c>
      <c r="J307" s="5">
        <v>4.3899999999999997</v>
      </c>
      <c r="K307" s="5">
        <v>1</v>
      </c>
      <c r="L307" s="5">
        <v>4.7</v>
      </c>
      <c r="M307" s="5">
        <v>730890.01</v>
      </c>
      <c r="N307" s="5">
        <v>105502.56</v>
      </c>
    </row>
    <row r="308" spans="1:14" ht="15" customHeight="1">
      <c r="A308" s="5" t="s">
        <v>97</v>
      </c>
      <c r="B308" s="5" t="s">
        <v>105</v>
      </c>
      <c r="C308" s="5" t="s">
        <v>20</v>
      </c>
      <c r="D308" s="5" t="s">
        <v>28</v>
      </c>
      <c r="E308" s="5">
        <v>31997.25</v>
      </c>
      <c r="F308" s="5">
        <v>8183</v>
      </c>
      <c r="G308" s="5">
        <v>0.19800000000000001</v>
      </c>
      <c r="H308" s="5">
        <v>18</v>
      </c>
      <c r="I308" s="5">
        <v>93</v>
      </c>
      <c r="J308" s="5">
        <v>2.79</v>
      </c>
      <c r="K308" s="5">
        <v>0</v>
      </c>
      <c r="L308" s="5">
        <v>4.2</v>
      </c>
      <c r="M308" s="5">
        <v>780580.95</v>
      </c>
      <c r="N308" s="5">
        <v>138144.46</v>
      </c>
    </row>
    <row r="309" spans="1:14" ht="15" customHeight="1">
      <c r="A309" s="5" t="s">
        <v>98</v>
      </c>
      <c r="B309" s="5" t="s">
        <v>102</v>
      </c>
      <c r="C309" s="5" t="s">
        <v>24</v>
      </c>
      <c r="D309" s="5" t="s">
        <v>16</v>
      </c>
      <c r="E309" s="5">
        <v>54948.02</v>
      </c>
      <c r="F309" s="5">
        <v>6534</v>
      </c>
      <c r="G309" s="5">
        <v>0.183</v>
      </c>
      <c r="H309" s="5">
        <v>14</v>
      </c>
      <c r="I309" s="5">
        <v>94.5</v>
      </c>
      <c r="J309" s="5">
        <v>1.56</v>
      </c>
      <c r="K309" s="5">
        <v>0</v>
      </c>
      <c r="L309" s="5">
        <v>4</v>
      </c>
      <c r="M309" s="5">
        <v>727957.48</v>
      </c>
      <c r="N309" s="5">
        <v>74805.23</v>
      </c>
    </row>
    <row r="310" spans="1:14" ht="15" customHeight="1">
      <c r="A310" s="5" t="s">
        <v>98</v>
      </c>
      <c r="B310" s="5" t="s">
        <v>103</v>
      </c>
      <c r="C310" s="5" t="s">
        <v>24</v>
      </c>
      <c r="D310" s="5" t="s">
        <v>16</v>
      </c>
      <c r="E310" s="5">
        <v>46146.239999999998</v>
      </c>
      <c r="F310" s="5">
        <v>5804</v>
      </c>
      <c r="G310" s="5">
        <v>4.7E-2</v>
      </c>
      <c r="H310" s="5">
        <v>16</v>
      </c>
      <c r="I310" s="5">
        <v>86.9</v>
      </c>
      <c r="J310" s="5">
        <v>15.82</v>
      </c>
      <c r="K310" s="5">
        <v>0</v>
      </c>
      <c r="L310" s="5">
        <v>3.8</v>
      </c>
      <c r="M310" s="5">
        <v>538376</v>
      </c>
      <c r="N310" s="5">
        <v>87605.62</v>
      </c>
    </row>
    <row r="311" spans="1:14" ht="15" customHeight="1">
      <c r="A311" s="5" t="s">
        <v>98</v>
      </c>
      <c r="B311" s="5" t="s">
        <v>104</v>
      </c>
      <c r="C311" s="5" t="s">
        <v>24</v>
      </c>
      <c r="D311" s="5" t="s">
        <v>16</v>
      </c>
      <c r="E311" s="5">
        <v>22387.26</v>
      </c>
      <c r="F311" s="5">
        <v>6301</v>
      </c>
      <c r="G311" s="5">
        <v>0.14599999999999999</v>
      </c>
      <c r="H311" s="5">
        <v>14</v>
      </c>
      <c r="I311" s="5">
        <v>85.9</v>
      </c>
      <c r="J311" s="5">
        <v>1.17</v>
      </c>
      <c r="K311" s="5">
        <v>1</v>
      </c>
      <c r="L311" s="5">
        <v>3.7</v>
      </c>
      <c r="M311" s="5">
        <v>665342.49</v>
      </c>
      <c r="N311" s="5">
        <v>93441.81</v>
      </c>
    </row>
    <row r="312" spans="1:14" ht="15" customHeight="1">
      <c r="A312" s="5" t="s">
        <v>98</v>
      </c>
      <c r="B312" s="5" t="s">
        <v>105</v>
      </c>
      <c r="C312" s="5" t="s">
        <v>24</v>
      </c>
      <c r="D312" s="5" t="s">
        <v>16</v>
      </c>
      <c r="E312" s="5">
        <v>60684.05</v>
      </c>
      <c r="F312" s="5">
        <v>6399</v>
      </c>
      <c r="G312" s="5">
        <v>7.4999999999999997E-2</v>
      </c>
      <c r="H312" s="5">
        <v>16</v>
      </c>
      <c r="I312" s="5">
        <v>99</v>
      </c>
      <c r="J312" s="5">
        <v>3.82</v>
      </c>
      <c r="K312" s="5">
        <v>0</v>
      </c>
      <c r="L312" s="5">
        <v>3.5</v>
      </c>
      <c r="M312" s="5">
        <v>651164.18000000005</v>
      </c>
      <c r="N312" s="5">
        <v>109466.5</v>
      </c>
    </row>
    <row r="313" spans="1:14" ht="15" customHeight="1">
      <c r="A313" s="5" t="s">
        <v>99</v>
      </c>
      <c r="B313" s="5" t="s">
        <v>102</v>
      </c>
      <c r="C313" s="5" t="s">
        <v>24</v>
      </c>
      <c r="D313" s="5" t="s">
        <v>18</v>
      </c>
      <c r="E313" s="5">
        <v>48465.599999999999</v>
      </c>
      <c r="F313" s="5">
        <v>5759</v>
      </c>
      <c r="G313" s="5">
        <v>0.154</v>
      </c>
      <c r="H313" s="5">
        <v>13</v>
      </c>
      <c r="I313" s="5">
        <v>87.5</v>
      </c>
      <c r="J313" s="5">
        <v>4.1399999999999997</v>
      </c>
      <c r="K313" s="5">
        <v>0</v>
      </c>
      <c r="L313" s="5">
        <v>4</v>
      </c>
      <c r="M313" s="5">
        <v>628538.30000000005</v>
      </c>
      <c r="N313" s="5">
        <v>112509.15</v>
      </c>
    </row>
    <row r="314" spans="1:14" ht="15" customHeight="1">
      <c r="A314" s="5" t="s">
        <v>99</v>
      </c>
      <c r="B314" s="5" t="s">
        <v>103</v>
      </c>
      <c r="C314" s="5" t="s">
        <v>24</v>
      </c>
      <c r="D314" s="5" t="s">
        <v>18</v>
      </c>
      <c r="E314" s="5">
        <v>23702.38</v>
      </c>
      <c r="F314" s="5">
        <v>5285</v>
      </c>
      <c r="G314" s="5">
        <v>0.16700000000000001</v>
      </c>
      <c r="H314" s="5">
        <v>14</v>
      </c>
      <c r="I314" s="5">
        <v>79.7</v>
      </c>
      <c r="J314" s="5">
        <v>1.1000000000000001</v>
      </c>
      <c r="K314" s="5">
        <v>0</v>
      </c>
      <c r="L314" s="5">
        <v>4.3</v>
      </c>
      <c r="M314" s="5">
        <v>536524.84</v>
      </c>
      <c r="N314" s="5">
        <v>92752.94</v>
      </c>
    </row>
    <row r="315" spans="1:14" ht="15" customHeight="1">
      <c r="A315" s="5" t="s">
        <v>99</v>
      </c>
      <c r="B315" s="5" t="s">
        <v>104</v>
      </c>
      <c r="C315" s="5" t="s">
        <v>24</v>
      </c>
      <c r="D315" s="5" t="s">
        <v>18</v>
      </c>
      <c r="E315" s="5">
        <v>54322.94</v>
      </c>
      <c r="F315" s="5">
        <v>5434</v>
      </c>
      <c r="G315" s="5">
        <v>0.2</v>
      </c>
      <c r="H315" s="5">
        <v>13</v>
      </c>
      <c r="I315" s="5">
        <v>85.7</v>
      </c>
      <c r="J315" s="5">
        <v>10.6</v>
      </c>
      <c r="K315" s="5">
        <v>0</v>
      </c>
      <c r="L315" s="5">
        <v>4.2</v>
      </c>
      <c r="M315" s="5">
        <v>621677.30000000005</v>
      </c>
      <c r="N315" s="5">
        <v>105192.52</v>
      </c>
    </row>
    <row r="316" spans="1:14" ht="15" customHeight="1">
      <c r="A316" s="5" t="s">
        <v>99</v>
      </c>
      <c r="B316" s="5" t="s">
        <v>105</v>
      </c>
      <c r="C316" s="5" t="s">
        <v>24</v>
      </c>
      <c r="D316" s="5" t="s">
        <v>18</v>
      </c>
      <c r="E316" s="5">
        <v>86026.58</v>
      </c>
      <c r="F316" s="5">
        <v>7479</v>
      </c>
      <c r="G316" s="5">
        <v>0.14199999999999999</v>
      </c>
      <c r="H316" s="5">
        <v>20</v>
      </c>
      <c r="I316" s="5">
        <v>89</v>
      </c>
      <c r="J316" s="5">
        <v>0.9</v>
      </c>
      <c r="K316" s="5">
        <v>0</v>
      </c>
      <c r="L316" s="5">
        <v>3.9</v>
      </c>
      <c r="M316" s="5">
        <v>771129.07</v>
      </c>
      <c r="N316" s="5">
        <v>116851.13</v>
      </c>
    </row>
    <row r="317" spans="1:14" ht="15" customHeight="1">
      <c r="A317" s="5" t="s">
        <v>100</v>
      </c>
      <c r="B317" s="5" t="s">
        <v>102</v>
      </c>
      <c r="C317" s="5" t="s">
        <v>20</v>
      </c>
      <c r="D317" s="5" t="s">
        <v>16</v>
      </c>
      <c r="E317" s="5">
        <v>78967.520000000004</v>
      </c>
      <c r="F317" s="5">
        <v>6164</v>
      </c>
      <c r="G317" s="5">
        <v>2.1000000000000001E-2</v>
      </c>
      <c r="H317" s="5">
        <v>16</v>
      </c>
      <c r="I317" s="5">
        <v>85.5</v>
      </c>
      <c r="J317" s="5">
        <v>0.2</v>
      </c>
      <c r="K317" s="5">
        <v>0</v>
      </c>
      <c r="L317" s="5">
        <v>3.4</v>
      </c>
      <c r="M317" s="5">
        <v>702052.47</v>
      </c>
      <c r="N317" s="5">
        <v>121732.51</v>
      </c>
    </row>
    <row r="318" spans="1:14" ht="15" customHeight="1">
      <c r="A318" s="5" t="s">
        <v>100</v>
      </c>
      <c r="B318" s="5" t="s">
        <v>103</v>
      </c>
      <c r="C318" s="5" t="s">
        <v>20</v>
      </c>
      <c r="D318" s="5" t="s">
        <v>16</v>
      </c>
      <c r="E318" s="5">
        <v>46767.99</v>
      </c>
      <c r="F318" s="5">
        <v>7973</v>
      </c>
      <c r="G318" s="5">
        <v>0.183</v>
      </c>
      <c r="H318" s="5">
        <v>18</v>
      </c>
      <c r="I318" s="5">
        <v>94.8</v>
      </c>
      <c r="J318" s="5">
        <v>4.67</v>
      </c>
      <c r="K318" s="5">
        <v>0</v>
      </c>
      <c r="L318" s="5">
        <v>3.9</v>
      </c>
      <c r="M318" s="5">
        <v>688368.46</v>
      </c>
      <c r="N318" s="5">
        <v>93588.42</v>
      </c>
    </row>
    <row r="319" spans="1:14" ht="15" customHeight="1">
      <c r="A319" s="5" t="s">
        <v>100</v>
      </c>
      <c r="B319" s="5" t="s">
        <v>104</v>
      </c>
      <c r="C319" s="5" t="s">
        <v>20</v>
      </c>
      <c r="D319" s="5" t="s">
        <v>16</v>
      </c>
      <c r="E319" s="5">
        <v>62507.16</v>
      </c>
      <c r="F319" s="5">
        <v>6000</v>
      </c>
      <c r="G319" s="5">
        <v>9.0999999999999998E-2</v>
      </c>
      <c r="H319" s="5">
        <v>14</v>
      </c>
      <c r="I319" s="5">
        <v>98.2</v>
      </c>
      <c r="J319" s="5">
        <v>4.38</v>
      </c>
      <c r="K319" s="5">
        <v>1</v>
      </c>
      <c r="L319" s="5">
        <v>3.9</v>
      </c>
      <c r="M319" s="5">
        <v>712375.77</v>
      </c>
      <c r="N319" s="5">
        <v>104171.53</v>
      </c>
    </row>
    <row r="320" spans="1:14" ht="15" customHeight="1">
      <c r="A320" s="5" t="s">
        <v>100</v>
      </c>
      <c r="B320" s="5" t="s">
        <v>105</v>
      </c>
      <c r="C320" s="5" t="s">
        <v>20</v>
      </c>
      <c r="D320" s="5" t="s">
        <v>16</v>
      </c>
      <c r="E320" s="5">
        <v>66456.28</v>
      </c>
      <c r="F320" s="5">
        <v>9967</v>
      </c>
      <c r="G320" s="5">
        <v>0.108</v>
      </c>
      <c r="H320" s="5">
        <v>20</v>
      </c>
      <c r="I320" s="5">
        <v>94.7</v>
      </c>
      <c r="J320" s="5">
        <v>4.4800000000000004</v>
      </c>
      <c r="K320" s="5">
        <v>0</v>
      </c>
      <c r="L320" s="5">
        <v>4.2</v>
      </c>
      <c r="M320" s="5">
        <v>844710.67</v>
      </c>
      <c r="N320" s="5">
        <v>137140.18</v>
      </c>
    </row>
    <row r="321" spans="1:14" ht="15" customHeight="1">
      <c r="A321" s="5" t="s">
        <v>101</v>
      </c>
      <c r="B321" s="5" t="s">
        <v>102</v>
      </c>
      <c r="C321" s="5" t="s">
        <v>15</v>
      </c>
      <c r="D321" s="5" t="s">
        <v>16</v>
      </c>
      <c r="E321" s="5">
        <v>76614.320000000007</v>
      </c>
      <c r="F321" s="5">
        <v>5639</v>
      </c>
      <c r="G321" s="5">
        <v>0.17399999999999999</v>
      </c>
      <c r="H321" s="5">
        <v>15</v>
      </c>
      <c r="I321" s="5">
        <v>92.9</v>
      </c>
      <c r="J321" s="5">
        <v>1.02</v>
      </c>
      <c r="K321" s="5">
        <v>1</v>
      </c>
      <c r="L321" s="5">
        <v>4</v>
      </c>
      <c r="M321" s="5">
        <v>620264.19999999995</v>
      </c>
      <c r="N321" s="5">
        <v>91365.64</v>
      </c>
    </row>
    <row r="322" spans="1:14" ht="15" customHeight="1">
      <c r="A322" s="5" t="s">
        <v>101</v>
      </c>
      <c r="B322" s="5" t="s">
        <v>103</v>
      </c>
      <c r="C322" s="5" t="s">
        <v>15</v>
      </c>
      <c r="D322" s="5" t="s">
        <v>16</v>
      </c>
      <c r="E322" s="5">
        <v>24088.06</v>
      </c>
      <c r="F322" s="5">
        <v>3466</v>
      </c>
      <c r="G322" s="5">
        <v>0</v>
      </c>
      <c r="H322" s="5">
        <v>11</v>
      </c>
      <c r="I322" s="5">
        <v>88</v>
      </c>
      <c r="J322" s="5">
        <v>0.2</v>
      </c>
      <c r="K322" s="5">
        <v>0</v>
      </c>
      <c r="L322" s="5">
        <v>3.8</v>
      </c>
      <c r="M322" s="5">
        <v>536845.42000000004</v>
      </c>
      <c r="N322" s="5">
        <v>107473.75</v>
      </c>
    </row>
    <row r="323" spans="1:14" ht="15" customHeight="1">
      <c r="A323" s="5" t="s">
        <v>101</v>
      </c>
      <c r="B323" s="5" t="s">
        <v>104</v>
      </c>
      <c r="C323" s="5" t="s">
        <v>15</v>
      </c>
      <c r="D323" s="5" t="s">
        <v>16</v>
      </c>
      <c r="E323" s="5">
        <v>81902.58</v>
      </c>
      <c r="F323" s="5">
        <v>7775</v>
      </c>
      <c r="G323" s="5">
        <v>0.215</v>
      </c>
      <c r="H323" s="5">
        <v>20</v>
      </c>
      <c r="I323" s="5">
        <v>85.2</v>
      </c>
      <c r="J323" s="5">
        <v>4.8899999999999997</v>
      </c>
      <c r="K323" s="5">
        <v>1</v>
      </c>
      <c r="L323" s="5">
        <v>4.2</v>
      </c>
      <c r="M323" s="5">
        <v>726776.22</v>
      </c>
      <c r="N323" s="5">
        <v>90804.49</v>
      </c>
    </row>
    <row r="324" spans="1:14" ht="15" customHeight="1">
      <c r="A324" s="5" t="s">
        <v>101</v>
      </c>
      <c r="B324" s="5" t="s">
        <v>105</v>
      </c>
      <c r="C324" s="5" t="s">
        <v>15</v>
      </c>
      <c r="D324" s="5" t="s">
        <v>16</v>
      </c>
      <c r="E324" s="5">
        <v>40553.11</v>
      </c>
      <c r="F324" s="5">
        <v>5317</v>
      </c>
      <c r="G324" s="5">
        <v>0.16500000000000001</v>
      </c>
      <c r="H324" s="5">
        <v>17</v>
      </c>
      <c r="I324" s="5">
        <v>84.3</v>
      </c>
      <c r="J324" s="5">
        <v>11.82</v>
      </c>
      <c r="K324" s="5">
        <v>0</v>
      </c>
      <c r="L324" s="5">
        <v>4.0999999999999996</v>
      </c>
      <c r="M324" s="5">
        <v>559660.84</v>
      </c>
      <c r="N324" s="5">
        <v>71443.61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4"/>
  <sheetViews>
    <sheetView workbookViewId="0">
      <pane ySplit="4" topLeftCell="A5" activePane="bottomLeft" state="frozen"/>
      <selection pane="bottomLeft" activeCell="A2" sqref="A2:N2"/>
    </sheetView>
  </sheetViews>
  <sheetFormatPr defaultColWidth="8.6640625" defaultRowHeight="14.4"/>
  <cols>
    <col min="1" max="1" width="10" style="1" customWidth="1"/>
    <col min="2" max="2" width="9" style="1" customWidth="1"/>
    <col min="3" max="3" width="13" style="1" customWidth="1"/>
    <col min="4" max="4" width="10" style="1" customWidth="1"/>
    <col min="5" max="5" width="9" style="1" customWidth="1"/>
    <col min="6" max="6" width="14" style="1" customWidth="1"/>
    <col min="7" max="8" width="10" style="1" customWidth="1"/>
    <col min="9" max="9" width="9" style="1" customWidth="1"/>
    <col min="10" max="10" width="13" style="1" customWidth="1"/>
  </cols>
  <sheetData>
    <row r="1" spans="1:14" ht="15.75" customHeight="1">
      <c r="A1" s="2" t="s">
        <v>174</v>
      </c>
    </row>
    <row r="2" spans="1:14" ht="15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23.25" customHeight="1">
      <c r="A4" s="4" t="s">
        <v>0</v>
      </c>
      <c r="B4" s="4" t="s">
        <v>2</v>
      </c>
      <c r="C4" s="4" t="s">
        <v>3</v>
      </c>
      <c r="D4" s="4" t="s">
        <v>106</v>
      </c>
      <c r="E4" s="4" t="s">
        <v>107</v>
      </c>
      <c r="F4" s="4" t="s">
        <v>108</v>
      </c>
      <c r="G4" s="4" t="s">
        <v>109</v>
      </c>
      <c r="H4" s="4" t="s">
        <v>110</v>
      </c>
      <c r="I4" s="4" t="s">
        <v>111</v>
      </c>
      <c r="J4" s="4" t="s">
        <v>12</v>
      </c>
    </row>
    <row r="5" spans="1:14" ht="15" customHeight="1">
      <c r="A5" s="5" t="s">
        <v>14</v>
      </c>
      <c r="B5" s="5" t="s">
        <v>15</v>
      </c>
      <c r="C5" s="5" t="s">
        <v>16</v>
      </c>
      <c r="D5" s="5">
        <v>0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658832.62</v>
      </c>
    </row>
    <row r="6" spans="1:14" ht="15" customHeight="1">
      <c r="A6" s="5" t="s">
        <v>14</v>
      </c>
      <c r="B6" s="5" t="s">
        <v>15</v>
      </c>
      <c r="C6" s="5" t="s">
        <v>16</v>
      </c>
      <c r="D6" s="5">
        <v>0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634436</v>
      </c>
    </row>
    <row r="7" spans="1:14" ht="15" customHeight="1">
      <c r="A7" s="5" t="s">
        <v>14</v>
      </c>
      <c r="B7" s="5" t="s">
        <v>15</v>
      </c>
      <c r="C7" s="5" t="s">
        <v>16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678722.06</v>
      </c>
    </row>
    <row r="8" spans="1:14" ht="15" customHeight="1">
      <c r="A8" s="5" t="s">
        <v>14</v>
      </c>
      <c r="B8" s="5" t="s">
        <v>15</v>
      </c>
      <c r="C8" s="5" t="s">
        <v>16</v>
      </c>
      <c r="D8" s="5">
        <v>0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658920.30000000005</v>
      </c>
    </row>
    <row r="9" spans="1:14" ht="15" customHeight="1">
      <c r="A9" s="5" t="s">
        <v>17</v>
      </c>
      <c r="B9" s="5" t="s">
        <v>15</v>
      </c>
      <c r="C9" s="5" t="s">
        <v>18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741341.44</v>
      </c>
    </row>
    <row r="10" spans="1:14" ht="15" customHeight="1">
      <c r="A10" s="5" t="s">
        <v>17</v>
      </c>
      <c r="B10" s="5" t="s">
        <v>15</v>
      </c>
      <c r="C10" s="5" t="s">
        <v>18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761835.34</v>
      </c>
    </row>
    <row r="11" spans="1:14" ht="15" customHeight="1">
      <c r="A11" s="5" t="s">
        <v>17</v>
      </c>
      <c r="B11" s="5" t="s">
        <v>15</v>
      </c>
      <c r="C11" s="5" t="s">
        <v>18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806615.54</v>
      </c>
    </row>
    <row r="12" spans="1:14" ht="15" customHeight="1">
      <c r="A12" s="5" t="s">
        <v>17</v>
      </c>
      <c r="B12" s="5" t="s">
        <v>15</v>
      </c>
      <c r="C12" s="5" t="s">
        <v>18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850164.26</v>
      </c>
    </row>
    <row r="13" spans="1:14" ht="15" customHeight="1">
      <c r="A13" s="5" t="s">
        <v>19</v>
      </c>
      <c r="B13" s="5" t="s">
        <v>20</v>
      </c>
      <c r="C13" s="5" t="s">
        <v>21</v>
      </c>
      <c r="D13" s="5">
        <v>1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930581.7</v>
      </c>
    </row>
    <row r="14" spans="1:14" ht="15" customHeight="1">
      <c r="A14" s="5" t="s">
        <v>19</v>
      </c>
      <c r="B14" s="5" t="s">
        <v>20</v>
      </c>
      <c r="C14" s="5" t="s">
        <v>21</v>
      </c>
      <c r="D14" s="5">
        <v>1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779010.94</v>
      </c>
    </row>
    <row r="15" spans="1:14" ht="15" customHeight="1">
      <c r="A15" s="5" t="s">
        <v>19</v>
      </c>
      <c r="B15" s="5" t="s">
        <v>20</v>
      </c>
      <c r="C15" s="5" t="s">
        <v>21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723060.76</v>
      </c>
    </row>
    <row r="16" spans="1:14" ht="15" customHeight="1">
      <c r="A16" s="5" t="s">
        <v>19</v>
      </c>
      <c r="B16" s="5" t="s">
        <v>20</v>
      </c>
      <c r="C16" s="5" t="s">
        <v>21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910791.94</v>
      </c>
    </row>
    <row r="17" spans="1:10" ht="15" customHeight="1">
      <c r="A17" s="5" t="s">
        <v>22</v>
      </c>
      <c r="B17" s="5" t="s">
        <v>15</v>
      </c>
      <c r="C17" s="5" t="s">
        <v>16</v>
      </c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922168.6</v>
      </c>
    </row>
    <row r="18" spans="1:10" ht="15" customHeight="1">
      <c r="A18" s="5" t="s">
        <v>22</v>
      </c>
      <c r="B18" s="5" t="s">
        <v>15</v>
      </c>
      <c r="C18" s="5" t="s">
        <v>16</v>
      </c>
      <c r="D18" s="5">
        <v>0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726606.28</v>
      </c>
    </row>
    <row r="19" spans="1:10" ht="15" customHeight="1">
      <c r="A19" s="5" t="s">
        <v>22</v>
      </c>
      <c r="B19" s="5" t="s">
        <v>15</v>
      </c>
      <c r="C19" s="5" t="s">
        <v>16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746501.09</v>
      </c>
    </row>
    <row r="20" spans="1:10" ht="15" customHeight="1">
      <c r="A20" s="5" t="s">
        <v>22</v>
      </c>
      <c r="B20" s="5" t="s">
        <v>15</v>
      </c>
      <c r="C20" s="5" t="s">
        <v>16</v>
      </c>
      <c r="D20" s="5">
        <v>0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834017.02</v>
      </c>
    </row>
    <row r="21" spans="1:10" ht="15" customHeight="1">
      <c r="A21" s="5" t="s">
        <v>23</v>
      </c>
      <c r="B21" s="5" t="s">
        <v>24</v>
      </c>
      <c r="C21" s="5" t="s">
        <v>16</v>
      </c>
      <c r="D21" s="5">
        <v>0</v>
      </c>
      <c r="E21" s="5">
        <v>0</v>
      </c>
      <c r="F21" s="5">
        <v>1</v>
      </c>
      <c r="G21" s="5">
        <v>0</v>
      </c>
      <c r="H21" s="5">
        <v>1</v>
      </c>
      <c r="I21" s="5">
        <v>0</v>
      </c>
      <c r="J21" s="5">
        <v>666152.52</v>
      </c>
    </row>
    <row r="22" spans="1:10" ht="15" customHeight="1">
      <c r="A22" s="5" t="s">
        <v>23</v>
      </c>
      <c r="B22" s="5" t="s">
        <v>24</v>
      </c>
      <c r="C22" s="5" t="s">
        <v>16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573155.18999999994</v>
      </c>
    </row>
    <row r="23" spans="1:10" ht="15" customHeight="1">
      <c r="A23" s="5" t="s">
        <v>23</v>
      </c>
      <c r="B23" s="5" t="s">
        <v>24</v>
      </c>
      <c r="C23" s="5" t="s">
        <v>16</v>
      </c>
      <c r="D23" s="5">
        <v>0</v>
      </c>
      <c r="E23" s="5">
        <v>0</v>
      </c>
      <c r="F23" s="5">
        <v>1</v>
      </c>
      <c r="G23" s="5">
        <v>0</v>
      </c>
      <c r="H23" s="5">
        <v>1</v>
      </c>
      <c r="I23" s="5">
        <v>0</v>
      </c>
      <c r="J23" s="5">
        <v>666573.19999999995</v>
      </c>
    </row>
    <row r="24" spans="1:10" ht="15" customHeight="1">
      <c r="A24" s="5" t="s">
        <v>23</v>
      </c>
      <c r="B24" s="5" t="s">
        <v>24</v>
      </c>
      <c r="C24" s="5" t="s">
        <v>16</v>
      </c>
      <c r="D24" s="5">
        <v>0</v>
      </c>
      <c r="E24" s="5">
        <v>0</v>
      </c>
      <c r="F24" s="5">
        <v>1</v>
      </c>
      <c r="G24" s="5">
        <v>0</v>
      </c>
      <c r="H24" s="5">
        <v>1</v>
      </c>
      <c r="I24" s="5">
        <v>0</v>
      </c>
      <c r="J24" s="5">
        <v>591619.94999999995</v>
      </c>
    </row>
    <row r="25" spans="1:10" ht="15" customHeight="1">
      <c r="A25" s="5" t="s">
        <v>25</v>
      </c>
      <c r="B25" s="5" t="s">
        <v>20</v>
      </c>
      <c r="C25" s="5" t="s">
        <v>16</v>
      </c>
      <c r="D25" s="5">
        <v>0</v>
      </c>
      <c r="E25" s="5">
        <v>0</v>
      </c>
      <c r="F25" s="5">
        <v>1</v>
      </c>
      <c r="G25" s="5">
        <v>1</v>
      </c>
      <c r="H25" s="5">
        <v>0</v>
      </c>
      <c r="I25" s="5">
        <v>0</v>
      </c>
      <c r="J25" s="5">
        <v>415721.82</v>
      </c>
    </row>
    <row r="26" spans="1:10" ht="15" customHeight="1">
      <c r="A26" s="5" t="s">
        <v>25</v>
      </c>
      <c r="B26" s="5" t="s">
        <v>20</v>
      </c>
      <c r="C26" s="5" t="s">
        <v>16</v>
      </c>
      <c r="D26" s="5">
        <v>0</v>
      </c>
      <c r="E26" s="5">
        <v>0</v>
      </c>
      <c r="F26" s="5">
        <v>1</v>
      </c>
      <c r="G26" s="5">
        <v>1</v>
      </c>
      <c r="H26" s="5">
        <v>0</v>
      </c>
      <c r="I26" s="5">
        <v>0</v>
      </c>
      <c r="J26" s="5">
        <v>491905.13</v>
      </c>
    </row>
    <row r="27" spans="1:10" ht="15" customHeight="1">
      <c r="A27" s="5" t="s">
        <v>25</v>
      </c>
      <c r="B27" s="5" t="s">
        <v>20</v>
      </c>
      <c r="C27" s="5" t="s">
        <v>16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555929.4</v>
      </c>
    </row>
    <row r="28" spans="1:10" ht="15" customHeight="1">
      <c r="A28" s="5" t="s">
        <v>25</v>
      </c>
      <c r="B28" s="5" t="s">
        <v>20</v>
      </c>
      <c r="C28" s="5" t="s">
        <v>16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565810.99</v>
      </c>
    </row>
    <row r="29" spans="1:10" ht="15" customHeight="1">
      <c r="A29" s="5" t="s">
        <v>26</v>
      </c>
      <c r="B29" s="5" t="s">
        <v>27</v>
      </c>
      <c r="C29" s="5" t="s">
        <v>28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1</v>
      </c>
      <c r="J29" s="5">
        <v>811771.14</v>
      </c>
    </row>
    <row r="30" spans="1:10" ht="15" customHeight="1">
      <c r="A30" s="5" t="s">
        <v>26</v>
      </c>
      <c r="B30" s="5" t="s">
        <v>27</v>
      </c>
      <c r="C30" s="5" t="s">
        <v>28</v>
      </c>
      <c r="D30" s="5">
        <v>0</v>
      </c>
      <c r="E30" s="5">
        <v>1</v>
      </c>
      <c r="F30" s="5">
        <v>0</v>
      </c>
      <c r="G30" s="5">
        <v>0</v>
      </c>
      <c r="H30" s="5">
        <v>0</v>
      </c>
      <c r="I30" s="5">
        <v>1</v>
      </c>
      <c r="J30" s="5">
        <v>800451.94</v>
      </c>
    </row>
    <row r="31" spans="1:10" ht="15" customHeight="1">
      <c r="A31" s="5" t="s">
        <v>26</v>
      </c>
      <c r="B31" s="5" t="s">
        <v>27</v>
      </c>
      <c r="C31" s="5" t="s">
        <v>28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1</v>
      </c>
      <c r="J31" s="5">
        <v>783672.82</v>
      </c>
    </row>
    <row r="32" spans="1:10" ht="15" customHeight="1">
      <c r="A32" s="5" t="s">
        <v>26</v>
      </c>
      <c r="B32" s="5" t="s">
        <v>27</v>
      </c>
      <c r="C32" s="5" t="s">
        <v>28</v>
      </c>
      <c r="D32" s="5">
        <v>0</v>
      </c>
      <c r="E32" s="5">
        <v>1</v>
      </c>
      <c r="F32" s="5">
        <v>0</v>
      </c>
      <c r="G32" s="5">
        <v>0</v>
      </c>
      <c r="H32" s="5">
        <v>0</v>
      </c>
      <c r="I32" s="5">
        <v>1</v>
      </c>
      <c r="J32" s="5">
        <v>701641.97</v>
      </c>
    </row>
    <row r="33" spans="1:10" ht="15" customHeight="1">
      <c r="A33" s="5" t="s">
        <v>29</v>
      </c>
      <c r="B33" s="5" t="s">
        <v>15</v>
      </c>
      <c r="C33" s="5" t="s">
        <v>16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511844.41</v>
      </c>
    </row>
    <row r="34" spans="1:10" ht="15" customHeight="1">
      <c r="A34" s="5" t="s">
        <v>29</v>
      </c>
      <c r="B34" s="5" t="s">
        <v>15</v>
      </c>
      <c r="C34" s="5" t="s">
        <v>16</v>
      </c>
      <c r="D34" s="5">
        <v>0</v>
      </c>
      <c r="E34" s="5">
        <v>0</v>
      </c>
      <c r="F34" s="5">
        <v>1</v>
      </c>
      <c r="G34" s="5">
        <v>0</v>
      </c>
      <c r="H34" s="5">
        <v>0</v>
      </c>
      <c r="I34" s="5">
        <v>0</v>
      </c>
      <c r="J34" s="5">
        <v>537383.79</v>
      </c>
    </row>
    <row r="35" spans="1:10" ht="15" customHeight="1">
      <c r="A35" s="5" t="s">
        <v>29</v>
      </c>
      <c r="B35" s="5" t="s">
        <v>15</v>
      </c>
      <c r="C35" s="5" t="s">
        <v>16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500173.02</v>
      </c>
    </row>
    <row r="36" spans="1:10" ht="15" customHeight="1">
      <c r="A36" s="5" t="s">
        <v>29</v>
      </c>
      <c r="B36" s="5" t="s">
        <v>15</v>
      </c>
      <c r="C36" s="5" t="s">
        <v>16</v>
      </c>
      <c r="D36" s="5">
        <v>0</v>
      </c>
      <c r="E36" s="5">
        <v>0</v>
      </c>
      <c r="F36" s="5">
        <v>1</v>
      </c>
      <c r="G36" s="5">
        <v>0</v>
      </c>
      <c r="H36" s="5">
        <v>0</v>
      </c>
      <c r="I36" s="5">
        <v>0</v>
      </c>
      <c r="J36" s="5">
        <v>427917.38</v>
      </c>
    </row>
    <row r="37" spans="1:10" ht="15" customHeight="1">
      <c r="A37" s="5" t="s">
        <v>30</v>
      </c>
      <c r="B37" s="5" t="s">
        <v>20</v>
      </c>
      <c r="C37" s="5" t="s">
        <v>16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641865.03</v>
      </c>
    </row>
    <row r="38" spans="1:10" ht="15" customHeight="1">
      <c r="A38" s="5" t="s">
        <v>30</v>
      </c>
      <c r="B38" s="5" t="s">
        <v>20</v>
      </c>
      <c r="C38" s="5" t="s">
        <v>16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799477.76000000001</v>
      </c>
    </row>
    <row r="39" spans="1:10" ht="15" customHeight="1">
      <c r="A39" s="5" t="s">
        <v>30</v>
      </c>
      <c r="B39" s="5" t="s">
        <v>20</v>
      </c>
      <c r="C39" s="5" t="s">
        <v>16</v>
      </c>
      <c r="D39" s="5">
        <v>0</v>
      </c>
      <c r="E39" s="5">
        <v>0</v>
      </c>
      <c r="F39" s="5">
        <v>1</v>
      </c>
      <c r="G39" s="5">
        <v>1</v>
      </c>
      <c r="H39" s="5">
        <v>0</v>
      </c>
      <c r="I39" s="5">
        <v>0</v>
      </c>
      <c r="J39" s="5">
        <v>798952.17</v>
      </c>
    </row>
    <row r="40" spans="1:10" ht="15" customHeight="1">
      <c r="A40" s="5" t="s">
        <v>30</v>
      </c>
      <c r="B40" s="5" t="s">
        <v>20</v>
      </c>
      <c r="C40" s="5" t="s">
        <v>16</v>
      </c>
      <c r="D40" s="5">
        <v>0</v>
      </c>
      <c r="E40" s="5">
        <v>0</v>
      </c>
      <c r="F40" s="5">
        <v>1</v>
      </c>
      <c r="G40" s="5">
        <v>1</v>
      </c>
      <c r="H40" s="5">
        <v>0</v>
      </c>
      <c r="I40" s="5">
        <v>0</v>
      </c>
      <c r="J40" s="5">
        <v>800979.78</v>
      </c>
    </row>
    <row r="41" spans="1:10" ht="15" customHeight="1">
      <c r="A41" s="5" t="s">
        <v>31</v>
      </c>
      <c r="B41" s="5" t="s">
        <v>20</v>
      </c>
      <c r="C41" s="5" t="s">
        <v>28</v>
      </c>
      <c r="D41" s="5">
        <v>0</v>
      </c>
      <c r="E41" s="5">
        <v>1</v>
      </c>
      <c r="F41" s="5">
        <v>0</v>
      </c>
      <c r="G41" s="5">
        <v>1</v>
      </c>
      <c r="H41" s="5">
        <v>0</v>
      </c>
      <c r="I41" s="5">
        <v>0</v>
      </c>
      <c r="J41" s="5">
        <v>820593.93</v>
      </c>
    </row>
    <row r="42" spans="1:10" ht="15" customHeight="1">
      <c r="A42" s="5" t="s">
        <v>31</v>
      </c>
      <c r="B42" s="5" t="s">
        <v>20</v>
      </c>
      <c r="C42" s="5" t="s">
        <v>28</v>
      </c>
      <c r="D42" s="5">
        <v>0</v>
      </c>
      <c r="E42" s="5">
        <v>1</v>
      </c>
      <c r="F42" s="5">
        <v>0</v>
      </c>
      <c r="G42" s="5">
        <v>1</v>
      </c>
      <c r="H42" s="5">
        <v>0</v>
      </c>
      <c r="I42" s="5">
        <v>0</v>
      </c>
      <c r="J42" s="5">
        <v>718330.53</v>
      </c>
    </row>
    <row r="43" spans="1:10" ht="15" customHeight="1">
      <c r="A43" s="5" t="s">
        <v>31</v>
      </c>
      <c r="B43" s="5" t="s">
        <v>20</v>
      </c>
      <c r="C43" s="5" t="s">
        <v>28</v>
      </c>
      <c r="D43" s="5">
        <v>0</v>
      </c>
      <c r="E43" s="5">
        <v>1</v>
      </c>
      <c r="F43" s="5">
        <v>0</v>
      </c>
      <c r="G43" s="5">
        <v>1</v>
      </c>
      <c r="H43" s="5">
        <v>0</v>
      </c>
      <c r="I43" s="5">
        <v>0</v>
      </c>
      <c r="J43" s="5">
        <v>736633.4</v>
      </c>
    </row>
    <row r="44" spans="1:10" ht="15" customHeight="1">
      <c r="A44" s="5" t="s">
        <v>31</v>
      </c>
      <c r="B44" s="5" t="s">
        <v>20</v>
      </c>
      <c r="C44" s="5" t="s">
        <v>28</v>
      </c>
      <c r="D44" s="5">
        <v>0</v>
      </c>
      <c r="E44" s="5">
        <v>1</v>
      </c>
      <c r="F44" s="5">
        <v>0</v>
      </c>
      <c r="G44" s="5">
        <v>1</v>
      </c>
      <c r="H44" s="5">
        <v>0</v>
      </c>
      <c r="I44" s="5">
        <v>0</v>
      </c>
      <c r="J44" s="5">
        <v>828623.85</v>
      </c>
    </row>
    <row r="45" spans="1:10" ht="15" customHeight="1">
      <c r="A45" s="5" t="s">
        <v>32</v>
      </c>
      <c r="B45" s="5" t="s">
        <v>15</v>
      </c>
      <c r="C45" s="5" t="s">
        <v>28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592195.85</v>
      </c>
    </row>
    <row r="46" spans="1:10" ht="15" customHeight="1">
      <c r="A46" s="5" t="s">
        <v>32</v>
      </c>
      <c r="B46" s="5" t="s">
        <v>15</v>
      </c>
      <c r="C46" s="5" t="s">
        <v>28</v>
      </c>
      <c r="D46" s="5">
        <v>0</v>
      </c>
      <c r="E46" s="5">
        <v>1</v>
      </c>
      <c r="F46" s="5">
        <v>0</v>
      </c>
      <c r="G46" s="5">
        <v>0</v>
      </c>
      <c r="H46" s="5">
        <v>0</v>
      </c>
      <c r="I46" s="5">
        <v>0</v>
      </c>
      <c r="J46" s="5">
        <v>532644.46</v>
      </c>
    </row>
    <row r="47" spans="1:10" ht="15" customHeight="1">
      <c r="A47" s="5" t="s">
        <v>32</v>
      </c>
      <c r="B47" s="5" t="s">
        <v>15</v>
      </c>
      <c r="C47" s="5" t="s">
        <v>28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657429.18000000005</v>
      </c>
    </row>
    <row r="48" spans="1:10" ht="15" customHeight="1">
      <c r="A48" s="5" t="s">
        <v>32</v>
      </c>
      <c r="B48" s="5" t="s">
        <v>15</v>
      </c>
      <c r="C48" s="5" t="s">
        <v>28</v>
      </c>
      <c r="D48" s="5">
        <v>0</v>
      </c>
      <c r="E48" s="5">
        <v>1</v>
      </c>
      <c r="F48" s="5">
        <v>0</v>
      </c>
      <c r="G48" s="5">
        <v>0</v>
      </c>
      <c r="H48" s="5">
        <v>0</v>
      </c>
      <c r="I48" s="5">
        <v>0</v>
      </c>
      <c r="J48" s="5">
        <v>605178</v>
      </c>
    </row>
    <row r="49" spans="1:10" ht="15" customHeight="1">
      <c r="A49" s="5" t="s">
        <v>33</v>
      </c>
      <c r="B49" s="5" t="s">
        <v>27</v>
      </c>
      <c r="C49" s="5" t="s">
        <v>16</v>
      </c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1</v>
      </c>
      <c r="J49" s="5">
        <v>595467.6</v>
      </c>
    </row>
    <row r="50" spans="1:10" ht="15" customHeight="1">
      <c r="A50" s="5" t="s">
        <v>33</v>
      </c>
      <c r="B50" s="5" t="s">
        <v>27</v>
      </c>
      <c r="C50" s="5" t="s">
        <v>16</v>
      </c>
      <c r="D50" s="5">
        <v>0</v>
      </c>
      <c r="E50" s="5">
        <v>0</v>
      </c>
      <c r="F50" s="5">
        <v>1</v>
      </c>
      <c r="G50" s="5">
        <v>0</v>
      </c>
      <c r="H50" s="5">
        <v>0</v>
      </c>
      <c r="I50" s="5">
        <v>1</v>
      </c>
      <c r="J50" s="5">
        <v>599603.4</v>
      </c>
    </row>
    <row r="51" spans="1:10" ht="15" customHeight="1">
      <c r="A51" s="5" t="s">
        <v>33</v>
      </c>
      <c r="B51" s="5" t="s">
        <v>27</v>
      </c>
      <c r="C51" s="5" t="s">
        <v>16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1</v>
      </c>
      <c r="J51" s="5">
        <v>614800.09</v>
      </c>
    </row>
    <row r="52" spans="1:10" ht="15" customHeight="1">
      <c r="A52" s="5" t="s">
        <v>33</v>
      </c>
      <c r="B52" s="5" t="s">
        <v>27</v>
      </c>
      <c r="C52" s="5" t="s">
        <v>16</v>
      </c>
      <c r="D52" s="5">
        <v>0</v>
      </c>
      <c r="E52" s="5">
        <v>0</v>
      </c>
      <c r="F52" s="5">
        <v>1</v>
      </c>
      <c r="G52" s="5">
        <v>0</v>
      </c>
      <c r="H52" s="5">
        <v>0</v>
      </c>
      <c r="I52" s="5">
        <v>1</v>
      </c>
      <c r="J52" s="5">
        <v>585365.73</v>
      </c>
    </row>
    <row r="53" spans="1:10" ht="15" customHeight="1">
      <c r="A53" s="5" t="s">
        <v>34</v>
      </c>
      <c r="B53" s="5" t="s">
        <v>20</v>
      </c>
      <c r="C53" s="5" t="s">
        <v>28</v>
      </c>
      <c r="D53" s="5">
        <v>0</v>
      </c>
      <c r="E53" s="5">
        <v>1</v>
      </c>
      <c r="F53" s="5">
        <v>0</v>
      </c>
      <c r="G53" s="5">
        <v>1</v>
      </c>
      <c r="H53" s="5">
        <v>0</v>
      </c>
      <c r="I53" s="5">
        <v>0</v>
      </c>
      <c r="J53" s="5">
        <v>622811.74</v>
      </c>
    </row>
    <row r="54" spans="1:10" ht="15" customHeight="1">
      <c r="A54" s="5" t="s">
        <v>34</v>
      </c>
      <c r="B54" s="5" t="s">
        <v>20</v>
      </c>
      <c r="C54" s="5" t="s">
        <v>28</v>
      </c>
      <c r="D54" s="5">
        <v>0</v>
      </c>
      <c r="E54" s="5">
        <v>1</v>
      </c>
      <c r="F54" s="5">
        <v>0</v>
      </c>
      <c r="G54" s="5">
        <v>1</v>
      </c>
      <c r="H54" s="5">
        <v>0</v>
      </c>
      <c r="I54" s="5">
        <v>0</v>
      </c>
      <c r="J54" s="5">
        <v>603297.56999999995</v>
      </c>
    </row>
    <row r="55" spans="1:10" ht="15" customHeight="1">
      <c r="A55" s="5" t="s">
        <v>34</v>
      </c>
      <c r="B55" s="5" t="s">
        <v>20</v>
      </c>
      <c r="C55" s="5" t="s">
        <v>28</v>
      </c>
      <c r="D55" s="5">
        <v>0</v>
      </c>
      <c r="E55" s="5">
        <v>1</v>
      </c>
      <c r="F55" s="5">
        <v>0</v>
      </c>
      <c r="G55" s="5">
        <v>1</v>
      </c>
      <c r="H55" s="5">
        <v>0</v>
      </c>
      <c r="I55" s="5">
        <v>0</v>
      </c>
      <c r="J55" s="5">
        <v>625672.86</v>
      </c>
    </row>
    <row r="56" spans="1:10" ht="15" customHeight="1">
      <c r="A56" s="5" t="s">
        <v>34</v>
      </c>
      <c r="B56" s="5" t="s">
        <v>20</v>
      </c>
      <c r="C56" s="5" t="s">
        <v>28</v>
      </c>
      <c r="D56" s="5">
        <v>0</v>
      </c>
      <c r="E56" s="5">
        <v>1</v>
      </c>
      <c r="F56" s="5">
        <v>0</v>
      </c>
      <c r="G56" s="5">
        <v>1</v>
      </c>
      <c r="H56" s="5">
        <v>0</v>
      </c>
      <c r="I56" s="5">
        <v>0</v>
      </c>
      <c r="J56" s="5">
        <v>773815.14</v>
      </c>
    </row>
    <row r="57" spans="1:10" ht="15" customHeight="1">
      <c r="A57" s="5" t="s">
        <v>35</v>
      </c>
      <c r="B57" s="5" t="s">
        <v>27</v>
      </c>
      <c r="C57" s="5" t="s">
        <v>18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463534.25</v>
      </c>
    </row>
    <row r="58" spans="1:10" ht="15" customHeight="1">
      <c r="A58" s="5" t="s">
        <v>35</v>
      </c>
      <c r="B58" s="5" t="s">
        <v>27</v>
      </c>
      <c r="C58" s="5" t="s">
        <v>18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1</v>
      </c>
      <c r="J58" s="5">
        <v>746677.75</v>
      </c>
    </row>
    <row r="59" spans="1:10" ht="15" customHeight="1">
      <c r="A59" s="5" t="s">
        <v>35</v>
      </c>
      <c r="B59" s="5" t="s">
        <v>27</v>
      </c>
      <c r="C59" s="5" t="s">
        <v>18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720852.5</v>
      </c>
    </row>
    <row r="60" spans="1:10" ht="15" customHeight="1">
      <c r="A60" s="5" t="s">
        <v>35</v>
      </c>
      <c r="B60" s="5" t="s">
        <v>27</v>
      </c>
      <c r="C60" s="5" t="s">
        <v>18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</v>
      </c>
      <c r="J60" s="5">
        <v>487464.91</v>
      </c>
    </row>
    <row r="61" spans="1:10" ht="15" customHeight="1">
      <c r="A61" s="5" t="s">
        <v>36</v>
      </c>
      <c r="B61" s="5" t="s">
        <v>15</v>
      </c>
      <c r="C61" s="5" t="s">
        <v>21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518049.26</v>
      </c>
    </row>
    <row r="62" spans="1:10" ht="15" customHeight="1">
      <c r="A62" s="5" t="s">
        <v>36</v>
      </c>
      <c r="B62" s="5" t="s">
        <v>15</v>
      </c>
      <c r="C62" s="5" t="s">
        <v>21</v>
      </c>
      <c r="D62" s="5">
        <v>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500298.48</v>
      </c>
    </row>
    <row r="63" spans="1:10" ht="15" customHeight="1">
      <c r="A63" s="5" t="s">
        <v>36</v>
      </c>
      <c r="B63" s="5" t="s">
        <v>15</v>
      </c>
      <c r="C63" s="5" t="s">
        <v>21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617291.15</v>
      </c>
    </row>
    <row r="64" spans="1:10" ht="15" customHeight="1">
      <c r="A64" s="5" t="s">
        <v>36</v>
      </c>
      <c r="B64" s="5" t="s">
        <v>15</v>
      </c>
      <c r="C64" s="5" t="s">
        <v>21</v>
      </c>
      <c r="D64" s="5">
        <v>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553756.43000000005</v>
      </c>
    </row>
    <row r="65" spans="1:10" ht="15" customHeight="1">
      <c r="A65" s="5" t="s">
        <v>37</v>
      </c>
      <c r="B65" s="5" t="s">
        <v>24</v>
      </c>
      <c r="C65" s="5" t="s">
        <v>18</v>
      </c>
      <c r="D65" s="5">
        <v>0</v>
      </c>
      <c r="E65" s="5">
        <v>0</v>
      </c>
      <c r="F65" s="5">
        <v>0</v>
      </c>
      <c r="G65" s="5">
        <v>0</v>
      </c>
      <c r="H65" s="5">
        <v>1</v>
      </c>
      <c r="I65" s="5">
        <v>0</v>
      </c>
      <c r="J65" s="5">
        <v>749559.71</v>
      </c>
    </row>
    <row r="66" spans="1:10" ht="15" customHeight="1">
      <c r="A66" s="5" t="s">
        <v>37</v>
      </c>
      <c r="B66" s="5" t="s">
        <v>24</v>
      </c>
      <c r="C66" s="5" t="s">
        <v>18</v>
      </c>
      <c r="D66" s="5">
        <v>0</v>
      </c>
      <c r="E66" s="5">
        <v>0</v>
      </c>
      <c r="F66" s="5">
        <v>0</v>
      </c>
      <c r="G66" s="5">
        <v>0</v>
      </c>
      <c r="H66" s="5">
        <v>1</v>
      </c>
      <c r="I66" s="5">
        <v>0</v>
      </c>
      <c r="J66" s="5">
        <v>615966.48</v>
      </c>
    </row>
    <row r="67" spans="1:10" ht="15" customHeight="1">
      <c r="A67" s="5" t="s">
        <v>37</v>
      </c>
      <c r="B67" s="5" t="s">
        <v>24</v>
      </c>
      <c r="C67" s="5" t="s">
        <v>18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572011.19999999995</v>
      </c>
    </row>
    <row r="68" spans="1:10" ht="15" customHeight="1">
      <c r="A68" s="5" t="s">
        <v>37</v>
      </c>
      <c r="B68" s="5" t="s">
        <v>24</v>
      </c>
      <c r="C68" s="5" t="s">
        <v>18</v>
      </c>
      <c r="D68" s="5">
        <v>0</v>
      </c>
      <c r="E68" s="5">
        <v>0</v>
      </c>
      <c r="F68" s="5">
        <v>0</v>
      </c>
      <c r="G68" s="5">
        <v>0</v>
      </c>
      <c r="H68" s="5">
        <v>1</v>
      </c>
      <c r="I68" s="5">
        <v>0</v>
      </c>
      <c r="J68" s="5">
        <v>761860.19</v>
      </c>
    </row>
    <row r="69" spans="1:10" ht="15" customHeight="1">
      <c r="A69" s="5" t="s">
        <v>38</v>
      </c>
      <c r="B69" s="5" t="s">
        <v>27</v>
      </c>
      <c r="C69" s="5" t="s">
        <v>18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1</v>
      </c>
      <c r="J69" s="5">
        <v>784502.68</v>
      </c>
    </row>
    <row r="70" spans="1:10" ht="15" customHeight="1">
      <c r="A70" s="5" t="s">
        <v>38</v>
      </c>
      <c r="B70" s="5" t="s">
        <v>27</v>
      </c>
      <c r="C70" s="5" t="s">
        <v>18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</v>
      </c>
      <c r="J70" s="5">
        <v>717141.55</v>
      </c>
    </row>
    <row r="71" spans="1:10" ht="15" customHeight="1">
      <c r="A71" s="5" t="s">
        <v>38</v>
      </c>
      <c r="B71" s="5" t="s">
        <v>27</v>
      </c>
      <c r="C71" s="5" t="s">
        <v>18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685379.08</v>
      </c>
    </row>
    <row r="72" spans="1:10" ht="15" customHeight="1">
      <c r="A72" s="5" t="s">
        <v>38</v>
      </c>
      <c r="B72" s="5" t="s">
        <v>27</v>
      </c>
      <c r="C72" s="5" t="s">
        <v>18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</v>
      </c>
      <c r="J72" s="5">
        <v>740496.65</v>
      </c>
    </row>
    <row r="73" spans="1:10" ht="15" customHeight="1">
      <c r="A73" s="5" t="s">
        <v>39</v>
      </c>
      <c r="B73" s="5" t="s">
        <v>15</v>
      </c>
      <c r="C73" s="5" t="s">
        <v>18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661927.14</v>
      </c>
    </row>
    <row r="74" spans="1:10" ht="15" customHeight="1">
      <c r="A74" s="5" t="s">
        <v>39</v>
      </c>
      <c r="B74" s="5" t="s">
        <v>15</v>
      </c>
      <c r="C74" s="5" t="s">
        <v>18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479050.5</v>
      </c>
    </row>
    <row r="75" spans="1:10" ht="15" customHeight="1">
      <c r="A75" s="5" t="s">
        <v>39</v>
      </c>
      <c r="B75" s="5" t="s">
        <v>15</v>
      </c>
      <c r="C75" s="5" t="s">
        <v>18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605023.87</v>
      </c>
    </row>
    <row r="76" spans="1:10" ht="15" customHeight="1">
      <c r="A76" s="5" t="s">
        <v>39</v>
      </c>
      <c r="B76" s="5" t="s">
        <v>15</v>
      </c>
      <c r="C76" s="5" t="s">
        <v>18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674774.09</v>
      </c>
    </row>
    <row r="77" spans="1:10" ht="15" customHeight="1">
      <c r="A77" s="5" t="s">
        <v>40</v>
      </c>
      <c r="B77" s="5" t="s">
        <v>15</v>
      </c>
      <c r="C77" s="5" t="s">
        <v>16</v>
      </c>
      <c r="D77" s="5">
        <v>0</v>
      </c>
      <c r="E77" s="5">
        <v>0</v>
      </c>
      <c r="F77" s="5">
        <v>1</v>
      </c>
      <c r="G77" s="5">
        <v>0</v>
      </c>
      <c r="H77" s="5">
        <v>0</v>
      </c>
      <c r="I77" s="5">
        <v>0</v>
      </c>
      <c r="J77" s="5">
        <v>616069.41</v>
      </c>
    </row>
    <row r="78" spans="1:10" ht="15" customHeight="1">
      <c r="A78" s="5" t="s">
        <v>40</v>
      </c>
      <c r="B78" s="5" t="s">
        <v>15</v>
      </c>
      <c r="C78" s="5" t="s">
        <v>16</v>
      </c>
      <c r="D78" s="5">
        <v>0</v>
      </c>
      <c r="E78" s="5">
        <v>0</v>
      </c>
      <c r="F78" s="5">
        <v>1</v>
      </c>
      <c r="G78" s="5">
        <v>0</v>
      </c>
      <c r="H78" s="5">
        <v>0</v>
      </c>
      <c r="I78" s="5">
        <v>0</v>
      </c>
      <c r="J78" s="5">
        <v>630829.93999999994</v>
      </c>
    </row>
    <row r="79" spans="1:10" ht="15" customHeight="1">
      <c r="A79" s="5" t="s">
        <v>40</v>
      </c>
      <c r="B79" s="5" t="s">
        <v>15</v>
      </c>
      <c r="C79" s="5" t="s">
        <v>16</v>
      </c>
      <c r="D79" s="5">
        <v>0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788087.68</v>
      </c>
    </row>
    <row r="80" spans="1:10" ht="15" customHeight="1">
      <c r="A80" s="5" t="s">
        <v>40</v>
      </c>
      <c r="B80" s="5" t="s">
        <v>15</v>
      </c>
      <c r="C80" s="5" t="s">
        <v>16</v>
      </c>
      <c r="D80" s="5">
        <v>0</v>
      </c>
      <c r="E80" s="5">
        <v>0</v>
      </c>
      <c r="F80" s="5">
        <v>1</v>
      </c>
      <c r="G80" s="5">
        <v>0</v>
      </c>
      <c r="H80" s="5">
        <v>0</v>
      </c>
      <c r="I80" s="5">
        <v>0</v>
      </c>
      <c r="J80" s="5">
        <v>680840.36</v>
      </c>
    </row>
    <row r="81" spans="1:10" ht="15" customHeight="1">
      <c r="A81" s="5" t="s">
        <v>41</v>
      </c>
      <c r="B81" s="5" t="s">
        <v>24</v>
      </c>
      <c r="C81" s="5" t="s">
        <v>18</v>
      </c>
      <c r="D81" s="5">
        <v>0</v>
      </c>
      <c r="E81" s="5">
        <v>0</v>
      </c>
      <c r="F81" s="5">
        <v>0</v>
      </c>
      <c r="G81" s="5">
        <v>0</v>
      </c>
      <c r="H81" s="5">
        <v>1</v>
      </c>
      <c r="I81" s="5">
        <v>0</v>
      </c>
      <c r="J81" s="5">
        <v>643657.47</v>
      </c>
    </row>
    <row r="82" spans="1:10" ht="15" customHeight="1">
      <c r="A82" s="5" t="s">
        <v>41</v>
      </c>
      <c r="B82" s="5" t="s">
        <v>24</v>
      </c>
      <c r="C82" s="5" t="s">
        <v>18</v>
      </c>
      <c r="D82" s="5">
        <v>0</v>
      </c>
      <c r="E82" s="5">
        <v>0</v>
      </c>
      <c r="F82" s="5">
        <v>0</v>
      </c>
      <c r="G82" s="5">
        <v>0</v>
      </c>
      <c r="H82" s="5">
        <v>1</v>
      </c>
      <c r="I82" s="5">
        <v>0</v>
      </c>
      <c r="J82" s="5">
        <v>691112.6</v>
      </c>
    </row>
    <row r="83" spans="1:10" ht="15" customHeight="1">
      <c r="A83" s="5" t="s">
        <v>41</v>
      </c>
      <c r="B83" s="5" t="s">
        <v>24</v>
      </c>
      <c r="C83" s="5" t="s">
        <v>18</v>
      </c>
      <c r="D83" s="5">
        <v>0</v>
      </c>
      <c r="E83" s="5">
        <v>0</v>
      </c>
      <c r="F83" s="5">
        <v>0</v>
      </c>
      <c r="G83" s="5">
        <v>0</v>
      </c>
      <c r="H83" s="5">
        <v>1</v>
      </c>
      <c r="I83" s="5">
        <v>0</v>
      </c>
      <c r="J83" s="5">
        <v>776922.17</v>
      </c>
    </row>
    <row r="84" spans="1:10" ht="15" customHeight="1">
      <c r="A84" s="5" t="s">
        <v>41</v>
      </c>
      <c r="B84" s="5" t="s">
        <v>24</v>
      </c>
      <c r="C84" s="5" t="s">
        <v>18</v>
      </c>
      <c r="D84" s="5">
        <v>0</v>
      </c>
      <c r="E84" s="5">
        <v>0</v>
      </c>
      <c r="F84" s="5">
        <v>0</v>
      </c>
      <c r="G84" s="5">
        <v>0</v>
      </c>
      <c r="H84" s="5">
        <v>1</v>
      </c>
      <c r="I84" s="5">
        <v>0</v>
      </c>
      <c r="J84" s="5">
        <v>636561.34</v>
      </c>
    </row>
    <row r="85" spans="1:10" ht="15" customHeight="1">
      <c r="A85" s="5" t="s">
        <v>42</v>
      </c>
      <c r="B85" s="5" t="s">
        <v>27</v>
      </c>
      <c r="C85" s="5" t="s">
        <v>28</v>
      </c>
      <c r="D85" s="5">
        <v>0</v>
      </c>
      <c r="E85" s="5">
        <v>1</v>
      </c>
      <c r="F85" s="5">
        <v>0</v>
      </c>
      <c r="G85" s="5">
        <v>0</v>
      </c>
      <c r="H85" s="5">
        <v>0</v>
      </c>
      <c r="I85" s="5">
        <v>1</v>
      </c>
      <c r="J85" s="5">
        <v>621369.57999999996</v>
      </c>
    </row>
    <row r="86" spans="1:10" ht="15" customHeight="1">
      <c r="A86" s="5" t="s">
        <v>42</v>
      </c>
      <c r="B86" s="5" t="s">
        <v>27</v>
      </c>
      <c r="C86" s="5" t="s">
        <v>28</v>
      </c>
      <c r="D86" s="5">
        <v>0</v>
      </c>
      <c r="E86" s="5">
        <v>1</v>
      </c>
      <c r="F86" s="5">
        <v>0</v>
      </c>
      <c r="G86" s="5">
        <v>0</v>
      </c>
      <c r="H86" s="5">
        <v>0</v>
      </c>
      <c r="I86" s="5">
        <v>1</v>
      </c>
      <c r="J86" s="5">
        <v>682208.01</v>
      </c>
    </row>
    <row r="87" spans="1:10" ht="15" customHeight="1">
      <c r="A87" s="5" t="s">
        <v>42</v>
      </c>
      <c r="B87" s="5" t="s">
        <v>27</v>
      </c>
      <c r="C87" s="5" t="s">
        <v>28</v>
      </c>
      <c r="D87" s="5">
        <v>0</v>
      </c>
      <c r="E87" s="5">
        <v>1</v>
      </c>
      <c r="F87" s="5">
        <v>0</v>
      </c>
      <c r="G87" s="5">
        <v>0</v>
      </c>
      <c r="H87" s="5">
        <v>0</v>
      </c>
      <c r="I87" s="5">
        <v>1</v>
      </c>
      <c r="J87" s="5">
        <v>727241.86</v>
      </c>
    </row>
    <row r="88" spans="1:10" ht="15" customHeight="1">
      <c r="A88" s="5" t="s">
        <v>42</v>
      </c>
      <c r="B88" s="5" t="s">
        <v>27</v>
      </c>
      <c r="C88" s="5" t="s">
        <v>28</v>
      </c>
      <c r="D88" s="5">
        <v>0</v>
      </c>
      <c r="E88" s="5">
        <v>1</v>
      </c>
      <c r="F88" s="5">
        <v>0</v>
      </c>
      <c r="G88" s="5">
        <v>0</v>
      </c>
      <c r="H88" s="5">
        <v>0</v>
      </c>
      <c r="I88" s="5">
        <v>1</v>
      </c>
      <c r="J88" s="5">
        <v>569100.78</v>
      </c>
    </row>
    <row r="89" spans="1:10" ht="15" customHeight="1">
      <c r="A89" s="5" t="s">
        <v>43</v>
      </c>
      <c r="B89" s="5" t="s">
        <v>27</v>
      </c>
      <c r="C89" s="5" t="s">
        <v>18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1</v>
      </c>
      <c r="J89" s="5">
        <v>574436.29</v>
      </c>
    </row>
    <row r="90" spans="1:10" ht="15" customHeight="1">
      <c r="A90" s="5" t="s">
        <v>43</v>
      </c>
      <c r="B90" s="5" t="s">
        <v>27</v>
      </c>
      <c r="C90" s="5" t="s">
        <v>18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1</v>
      </c>
      <c r="J90" s="5">
        <v>611766.72</v>
      </c>
    </row>
    <row r="91" spans="1:10" ht="15" customHeight="1">
      <c r="A91" s="5" t="s">
        <v>43</v>
      </c>
      <c r="B91" s="5" t="s">
        <v>27</v>
      </c>
      <c r="C91" s="5" t="s">
        <v>18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1</v>
      </c>
      <c r="J91" s="5">
        <v>614596.31999999995</v>
      </c>
    </row>
    <row r="92" spans="1:10" ht="15" customHeight="1">
      <c r="A92" s="5" t="s">
        <v>43</v>
      </c>
      <c r="B92" s="5" t="s">
        <v>27</v>
      </c>
      <c r="C92" s="5" t="s">
        <v>18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1</v>
      </c>
      <c r="J92" s="5">
        <v>450711.92</v>
      </c>
    </row>
    <row r="93" spans="1:10" ht="15" customHeight="1">
      <c r="A93" s="5" t="s">
        <v>44</v>
      </c>
      <c r="B93" s="5" t="s">
        <v>24</v>
      </c>
      <c r="C93" s="5" t="s">
        <v>28</v>
      </c>
      <c r="D93" s="5">
        <v>0</v>
      </c>
      <c r="E93" s="5">
        <v>1</v>
      </c>
      <c r="F93" s="5">
        <v>0</v>
      </c>
      <c r="G93" s="5">
        <v>0</v>
      </c>
      <c r="H93" s="5">
        <v>1</v>
      </c>
      <c r="I93" s="5">
        <v>0</v>
      </c>
      <c r="J93" s="5">
        <v>711213.46</v>
      </c>
    </row>
    <row r="94" spans="1:10" ht="15" customHeight="1">
      <c r="A94" s="5" t="s">
        <v>44</v>
      </c>
      <c r="B94" s="5" t="s">
        <v>24</v>
      </c>
      <c r="C94" s="5" t="s">
        <v>28</v>
      </c>
      <c r="D94" s="5">
        <v>0</v>
      </c>
      <c r="E94" s="5">
        <v>1</v>
      </c>
      <c r="F94" s="5">
        <v>0</v>
      </c>
      <c r="G94" s="5">
        <v>0</v>
      </c>
      <c r="H94" s="5">
        <v>1</v>
      </c>
      <c r="I94" s="5">
        <v>0</v>
      </c>
      <c r="J94" s="5">
        <v>627171.9</v>
      </c>
    </row>
    <row r="95" spans="1:10" ht="15" customHeight="1">
      <c r="A95" s="5" t="s">
        <v>44</v>
      </c>
      <c r="B95" s="5" t="s">
        <v>24</v>
      </c>
      <c r="C95" s="5" t="s">
        <v>28</v>
      </c>
      <c r="D95" s="5">
        <v>0</v>
      </c>
      <c r="E95" s="5">
        <v>1</v>
      </c>
      <c r="F95" s="5">
        <v>0</v>
      </c>
      <c r="G95" s="5">
        <v>0</v>
      </c>
      <c r="H95" s="5">
        <v>1</v>
      </c>
      <c r="I95" s="5">
        <v>0</v>
      </c>
      <c r="J95" s="5">
        <v>739852.58</v>
      </c>
    </row>
    <row r="96" spans="1:10" ht="15" customHeight="1">
      <c r="A96" s="5" t="s">
        <v>44</v>
      </c>
      <c r="B96" s="5" t="s">
        <v>24</v>
      </c>
      <c r="C96" s="5" t="s">
        <v>28</v>
      </c>
      <c r="D96" s="5">
        <v>0</v>
      </c>
      <c r="E96" s="5">
        <v>1</v>
      </c>
      <c r="F96" s="5">
        <v>0</v>
      </c>
      <c r="G96" s="5">
        <v>0</v>
      </c>
      <c r="H96" s="5">
        <v>1</v>
      </c>
      <c r="I96" s="5">
        <v>0</v>
      </c>
      <c r="J96" s="5">
        <v>586307.22</v>
      </c>
    </row>
    <row r="97" spans="1:10" ht="15" customHeight="1">
      <c r="A97" s="5" t="s">
        <v>45</v>
      </c>
      <c r="B97" s="5" t="s">
        <v>27</v>
      </c>
      <c r="C97" s="5" t="s">
        <v>16</v>
      </c>
      <c r="D97" s="5">
        <v>0</v>
      </c>
      <c r="E97" s="5">
        <v>0</v>
      </c>
      <c r="F97" s="5">
        <v>1</v>
      </c>
      <c r="G97" s="5">
        <v>0</v>
      </c>
      <c r="H97" s="5">
        <v>0</v>
      </c>
      <c r="I97" s="5">
        <v>1</v>
      </c>
      <c r="J97" s="5">
        <v>585937.48</v>
      </c>
    </row>
    <row r="98" spans="1:10" ht="15" customHeight="1">
      <c r="A98" s="5" t="s">
        <v>45</v>
      </c>
      <c r="B98" s="5" t="s">
        <v>27</v>
      </c>
      <c r="C98" s="5" t="s">
        <v>16</v>
      </c>
      <c r="D98" s="5">
        <v>0</v>
      </c>
      <c r="E98" s="5">
        <v>0</v>
      </c>
      <c r="F98" s="5">
        <v>1</v>
      </c>
      <c r="G98" s="5">
        <v>0</v>
      </c>
      <c r="H98" s="5">
        <v>0</v>
      </c>
      <c r="I98" s="5">
        <v>1</v>
      </c>
      <c r="J98" s="5">
        <v>753473.55</v>
      </c>
    </row>
    <row r="99" spans="1:10" ht="15" customHeight="1">
      <c r="A99" s="5" t="s">
        <v>45</v>
      </c>
      <c r="B99" s="5" t="s">
        <v>27</v>
      </c>
      <c r="C99" s="5" t="s">
        <v>16</v>
      </c>
      <c r="D99" s="5">
        <v>0</v>
      </c>
      <c r="E99" s="5">
        <v>0</v>
      </c>
      <c r="F99" s="5">
        <v>1</v>
      </c>
      <c r="G99" s="5">
        <v>0</v>
      </c>
      <c r="H99" s="5">
        <v>0</v>
      </c>
      <c r="I99" s="5">
        <v>1</v>
      </c>
      <c r="J99" s="5">
        <v>838250.32</v>
      </c>
    </row>
    <row r="100" spans="1:10" ht="15" customHeight="1">
      <c r="A100" s="5" t="s">
        <v>45</v>
      </c>
      <c r="B100" s="5" t="s">
        <v>27</v>
      </c>
      <c r="C100" s="5" t="s">
        <v>16</v>
      </c>
      <c r="D100" s="5">
        <v>0</v>
      </c>
      <c r="E100" s="5">
        <v>0</v>
      </c>
      <c r="F100" s="5">
        <v>1</v>
      </c>
      <c r="G100" s="5">
        <v>0</v>
      </c>
      <c r="H100" s="5">
        <v>0</v>
      </c>
      <c r="I100" s="5">
        <v>1</v>
      </c>
      <c r="J100" s="5">
        <v>607898.12</v>
      </c>
    </row>
    <row r="101" spans="1:10" ht="15" customHeight="1">
      <c r="A101" s="5" t="s">
        <v>46</v>
      </c>
      <c r="B101" s="5" t="s">
        <v>27</v>
      </c>
      <c r="C101" s="5" t="s">
        <v>28</v>
      </c>
      <c r="D101" s="5">
        <v>0</v>
      </c>
      <c r="E101" s="5">
        <v>1</v>
      </c>
      <c r="F101" s="5">
        <v>0</v>
      </c>
      <c r="G101" s="5">
        <v>0</v>
      </c>
      <c r="H101" s="5">
        <v>0</v>
      </c>
      <c r="I101" s="5">
        <v>1</v>
      </c>
      <c r="J101" s="5">
        <v>691113.62</v>
      </c>
    </row>
    <row r="102" spans="1:10" ht="15" customHeight="1">
      <c r="A102" s="5" t="s">
        <v>46</v>
      </c>
      <c r="B102" s="5" t="s">
        <v>27</v>
      </c>
      <c r="C102" s="5" t="s">
        <v>28</v>
      </c>
      <c r="D102" s="5">
        <v>0</v>
      </c>
      <c r="E102" s="5">
        <v>1</v>
      </c>
      <c r="F102" s="5">
        <v>0</v>
      </c>
      <c r="G102" s="5">
        <v>0</v>
      </c>
      <c r="H102" s="5">
        <v>0</v>
      </c>
      <c r="I102" s="5">
        <v>1</v>
      </c>
      <c r="J102" s="5">
        <v>735509.4</v>
      </c>
    </row>
    <row r="103" spans="1:10" ht="15" customHeight="1">
      <c r="A103" s="5" t="s">
        <v>46</v>
      </c>
      <c r="B103" s="5" t="s">
        <v>27</v>
      </c>
      <c r="C103" s="5" t="s">
        <v>28</v>
      </c>
      <c r="D103" s="5">
        <v>0</v>
      </c>
      <c r="E103" s="5">
        <v>1</v>
      </c>
      <c r="F103" s="5">
        <v>0</v>
      </c>
      <c r="G103" s="5">
        <v>0</v>
      </c>
      <c r="H103" s="5">
        <v>0</v>
      </c>
      <c r="I103" s="5">
        <v>1</v>
      </c>
      <c r="J103" s="5">
        <v>605775.32999999996</v>
      </c>
    </row>
    <row r="104" spans="1:10" ht="15" customHeight="1">
      <c r="A104" s="5" t="s">
        <v>46</v>
      </c>
      <c r="B104" s="5" t="s">
        <v>27</v>
      </c>
      <c r="C104" s="5" t="s">
        <v>28</v>
      </c>
      <c r="D104" s="5">
        <v>0</v>
      </c>
      <c r="E104" s="5">
        <v>1</v>
      </c>
      <c r="F104" s="5">
        <v>0</v>
      </c>
      <c r="G104" s="5">
        <v>0</v>
      </c>
      <c r="H104" s="5">
        <v>0</v>
      </c>
      <c r="I104" s="5">
        <v>1</v>
      </c>
      <c r="J104" s="5">
        <v>675177.68</v>
      </c>
    </row>
    <row r="105" spans="1:10" ht="15" customHeight="1">
      <c r="A105" s="5" t="s">
        <v>47</v>
      </c>
      <c r="B105" s="5" t="s">
        <v>15</v>
      </c>
      <c r="C105" s="5" t="s">
        <v>28</v>
      </c>
      <c r="D105" s="5">
        <v>0</v>
      </c>
      <c r="E105" s="5">
        <v>1</v>
      </c>
      <c r="F105" s="5">
        <v>0</v>
      </c>
      <c r="G105" s="5">
        <v>0</v>
      </c>
      <c r="H105" s="5">
        <v>0</v>
      </c>
      <c r="I105" s="5">
        <v>0</v>
      </c>
      <c r="J105" s="5">
        <v>635181.35</v>
      </c>
    </row>
    <row r="106" spans="1:10" ht="15" customHeight="1">
      <c r="A106" s="5" t="s">
        <v>47</v>
      </c>
      <c r="B106" s="5" t="s">
        <v>15</v>
      </c>
      <c r="C106" s="5" t="s">
        <v>28</v>
      </c>
      <c r="D106" s="5">
        <v>0</v>
      </c>
      <c r="E106" s="5">
        <v>1</v>
      </c>
      <c r="F106" s="5">
        <v>0</v>
      </c>
      <c r="G106" s="5">
        <v>0</v>
      </c>
      <c r="H106" s="5">
        <v>0</v>
      </c>
      <c r="I106" s="5">
        <v>0</v>
      </c>
      <c r="J106" s="5">
        <v>586626.93999999994</v>
      </c>
    </row>
    <row r="107" spans="1:10" ht="15" customHeight="1">
      <c r="A107" s="5" t="s">
        <v>47</v>
      </c>
      <c r="B107" s="5" t="s">
        <v>15</v>
      </c>
      <c r="C107" s="5" t="s">
        <v>28</v>
      </c>
      <c r="D107" s="5">
        <v>0</v>
      </c>
      <c r="E107" s="5">
        <v>1</v>
      </c>
      <c r="F107" s="5">
        <v>0</v>
      </c>
      <c r="G107" s="5">
        <v>0</v>
      </c>
      <c r="H107" s="5">
        <v>0</v>
      </c>
      <c r="I107" s="5">
        <v>0</v>
      </c>
      <c r="J107" s="5">
        <v>740102.64</v>
      </c>
    </row>
    <row r="108" spans="1:10" ht="15" customHeight="1">
      <c r="A108" s="5" t="s">
        <v>47</v>
      </c>
      <c r="B108" s="5" t="s">
        <v>15</v>
      </c>
      <c r="C108" s="5" t="s">
        <v>28</v>
      </c>
      <c r="D108" s="5">
        <v>0</v>
      </c>
      <c r="E108" s="5">
        <v>1</v>
      </c>
      <c r="F108" s="5">
        <v>0</v>
      </c>
      <c r="G108" s="5">
        <v>0</v>
      </c>
      <c r="H108" s="5">
        <v>0</v>
      </c>
      <c r="I108" s="5">
        <v>0</v>
      </c>
      <c r="J108" s="5">
        <v>625514.04</v>
      </c>
    </row>
    <row r="109" spans="1:10" ht="15" customHeight="1">
      <c r="A109" s="5" t="s">
        <v>48</v>
      </c>
      <c r="B109" s="5" t="s">
        <v>27</v>
      </c>
      <c r="C109" s="5" t="s">
        <v>18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1</v>
      </c>
      <c r="J109" s="5">
        <v>727227.2</v>
      </c>
    </row>
    <row r="110" spans="1:10" ht="15" customHeight="1">
      <c r="A110" s="5" t="s">
        <v>48</v>
      </c>
      <c r="B110" s="5" t="s">
        <v>27</v>
      </c>
      <c r="C110" s="5" t="s">
        <v>18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1</v>
      </c>
      <c r="J110" s="5">
        <v>783797.89</v>
      </c>
    </row>
    <row r="111" spans="1:10" ht="15" customHeight="1">
      <c r="A111" s="5" t="s">
        <v>48</v>
      </c>
      <c r="B111" s="5" t="s">
        <v>27</v>
      </c>
      <c r="C111" s="5" t="s">
        <v>18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  <c r="J111" s="5">
        <v>795153.84</v>
      </c>
    </row>
    <row r="112" spans="1:10" ht="15" customHeight="1">
      <c r="A112" s="5" t="s">
        <v>48</v>
      </c>
      <c r="B112" s="5" t="s">
        <v>27</v>
      </c>
      <c r="C112" s="5" t="s">
        <v>18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1</v>
      </c>
      <c r="J112" s="5">
        <v>665594.93999999994</v>
      </c>
    </row>
    <row r="113" spans="1:10" ht="15" customHeight="1">
      <c r="A113" s="5" t="s">
        <v>49</v>
      </c>
      <c r="B113" s="5" t="s">
        <v>15</v>
      </c>
      <c r="C113" s="5" t="s">
        <v>28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709478.39</v>
      </c>
    </row>
    <row r="114" spans="1:10" ht="15" customHeight="1">
      <c r="A114" s="5" t="s">
        <v>49</v>
      </c>
      <c r="B114" s="5" t="s">
        <v>15</v>
      </c>
      <c r="C114" s="5" t="s">
        <v>28</v>
      </c>
      <c r="D114" s="5">
        <v>0</v>
      </c>
      <c r="E114" s="5">
        <v>1</v>
      </c>
      <c r="F114" s="5">
        <v>0</v>
      </c>
      <c r="G114" s="5">
        <v>0</v>
      </c>
      <c r="H114" s="5">
        <v>0</v>
      </c>
      <c r="I114" s="5">
        <v>0</v>
      </c>
      <c r="J114" s="5">
        <v>664162.49</v>
      </c>
    </row>
    <row r="115" spans="1:10" ht="15" customHeight="1">
      <c r="A115" s="5" t="s">
        <v>49</v>
      </c>
      <c r="B115" s="5" t="s">
        <v>15</v>
      </c>
      <c r="C115" s="5" t="s">
        <v>28</v>
      </c>
      <c r="D115" s="5">
        <v>0</v>
      </c>
      <c r="E115" s="5">
        <v>1</v>
      </c>
      <c r="F115" s="5">
        <v>0</v>
      </c>
      <c r="G115" s="5">
        <v>0</v>
      </c>
      <c r="H115" s="5">
        <v>0</v>
      </c>
      <c r="I115" s="5">
        <v>0</v>
      </c>
      <c r="J115" s="5">
        <v>633494.21</v>
      </c>
    </row>
    <row r="116" spans="1:10" ht="15" customHeight="1">
      <c r="A116" s="5" t="s">
        <v>49</v>
      </c>
      <c r="B116" s="5" t="s">
        <v>15</v>
      </c>
      <c r="C116" s="5" t="s">
        <v>28</v>
      </c>
      <c r="D116" s="5">
        <v>0</v>
      </c>
      <c r="E116" s="5">
        <v>1</v>
      </c>
      <c r="F116" s="5">
        <v>0</v>
      </c>
      <c r="G116" s="5">
        <v>0</v>
      </c>
      <c r="H116" s="5">
        <v>0</v>
      </c>
      <c r="I116" s="5">
        <v>0</v>
      </c>
      <c r="J116" s="5">
        <v>713611.16</v>
      </c>
    </row>
    <row r="117" spans="1:10" ht="15" customHeight="1">
      <c r="A117" s="5" t="s">
        <v>50</v>
      </c>
      <c r="B117" s="5" t="s">
        <v>27</v>
      </c>
      <c r="C117" s="5" t="s">
        <v>28</v>
      </c>
      <c r="D117" s="5">
        <v>0</v>
      </c>
      <c r="E117" s="5">
        <v>1</v>
      </c>
      <c r="F117" s="5">
        <v>0</v>
      </c>
      <c r="G117" s="5">
        <v>0</v>
      </c>
      <c r="H117" s="5">
        <v>0</v>
      </c>
      <c r="I117" s="5">
        <v>1</v>
      </c>
      <c r="J117" s="5">
        <v>778397.97</v>
      </c>
    </row>
    <row r="118" spans="1:10" ht="15" customHeight="1">
      <c r="A118" s="5" t="s">
        <v>50</v>
      </c>
      <c r="B118" s="5" t="s">
        <v>27</v>
      </c>
      <c r="C118" s="5" t="s">
        <v>28</v>
      </c>
      <c r="D118" s="5">
        <v>0</v>
      </c>
      <c r="E118" s="5">
        <v>1</v>
      </c>
      <c r="F118" s="5">
        <v>0</v>
      </c>
      <c r="G118" s="5">
        <v>0</v>
      </c>
      <c r="H118" s="5">
        <v>0</v>
      </c>
      <c r="I118" s="5">
        <v>1</v>
      </c>
      <c r="J118" s="5">
        <v>873380.02</v>
      </c>
    </row>
    <row r="119" spans="1:10" ht="15" customHeight="1">
      <c r="A119" s="5" t="s">
        <v>50</v>
      </c>
      <c r="B119" s="5" t="s">
        <v>27</v>
      </c>
      <c r="C119" s="5" t="s">
        <v>28</v>
      </c>
      <c r="D119" s="5">
        <v>0</v>
      </c>
      <c r="E119" s="5">
        <v>1</v>
      </c>
      <c r="F119" s="5">
        <v>0</v>
      </c>
      <c r="G119" s="5">
        <v>0</v>
      </c>
      <c r="H119" s="5">
        <v>0</v>
      </c>
      <c r="I119" s="5">
        <v>1</v>
      </c>
      <c r="J119" s="5">
        <v>697287.9</v>
      </c>
    </row>
    <row r="120" spans="1:10" ht="15" customHeight="1">
      <c r="A120" s="5" t="s">
        <v>50</v>
      </c>
      <c r="B120" s="5" t="s">
        <v>27</v>
      </c>
      <c r="C120" s="5" t="s">
        <v>28</v>
      </c>
      <c r="D120" s="5">
        <v>0</v>
      </c>
      <c r="E120" s="5">
        <v>1</v>
      </c>
      <c r="F120" s="5">
        <v>0</v>
      </c>
      <c r="G120" s="5">
        <v>0</v>
      </c>
      <c r="H120" s="5">
        <v>0</v>
      </c>
      <c r="I120" s="5">
        <v>1</v>
      </c>
      <c r="J120" s="5">
        <v>718074.79</v>
      </c>
    </row>
    <row r="121" spans="1:10" ht="15" customHeight="1">
      <c r="A121" s="5" t="s">
        <v>51</v>
      </c>
      <c r="B121" s="5" t="s">
        <v>27</v>
      </c>
      <c r="C121" s="5" t="s">
        <v>16</v>
      </c>
      <c r="D121" s="5">
        <v>0</v>
      </c>
      <c r="E121" s="5">
        <v>0</v>
      </c>
      <c r="F121" s="5">
        <v>1</v>
      </c>
      <c r="G121" s="5">
        <v>0</v>
      </c>
      <c r="H121" s="5">
        <v>0</v>
      </c>
      <c r="I121" s="5">
        <v>1</v>
      </c>
      <c r="J121" s="5">
        <v>714942.43</v>
      </c>
    </row>
    <row r="122" spans="1:10" ht="15" customHeight="1">
      <c r="A122" s="5" t="s">
        <v>51</v>
      </c>
      <c r="B122" s="5" t="s">
        <v>27</v>
      </c>
      <c r="C122" s="5" t="s">
        <v>16</v>
      </c>
      <c r="D122" s="5">
        <v>0</v>
      </c>
      <c r="E122" s="5">
        <v>0</v>
      </c>
      <c r="F122" s="5">
        <v>1</v>
      </c>
      <c r="G122" s="5">
        <v>0</v>
      </c>
      <c r="H122" s="5">
        <v>0</v>
      </c>
      <c r="I122" s="5">
        <v>1</v>
      </c>
      <c r="J122" s="5">
        <v>820519.04</v>
      </c>
    </row>
    <row r="123" spans="1:10" ht="15" customHeight="1">
      <c r="A123" s="5" t="s">
        <v>51</v>
      </c>
      <c r="B123" s="5" t="s">
        <v>27</v>
      </c>
      <c r="C123" s="5" t="s">
        <v>16</v>
      </c>
      <c r="D123" s="5">
        <v>0</v>
      </c>
      <c r="E123" s="5">
        <v>0</v>
      </c>
      <c r="F123" s="5">
        <v>1</v>
      </c>
      <c r="G123" s="5">
        <v>0</v>
      </c>
      <c r="H123" s="5">
        <v>0</v>
      </c>
      <c r="I123" s="5">
        <v>1</v>
      </c>
      <c r="J123" s="5">
        <v>684217.32</v>
      </c>
    </row>
    <row r="124" spans="1:10" ht="15" customHeight="1">
      <c r="A124" s="5" t="s">
        <v>51</v>
      </c>
      <c r="B124" s="5" t="s">
        <v>27</v>
      </c>
      <c r="C124" s="5" t="s">
        <v>16</v>
      </c>
      <c r="D124" s="5">
        <v>0</v>
      </c>
      <c r="E124" s="5">
        <v>0</v>
      </c>
      <c r="F124" s="5">
        <v>1</v>
      </c>
      <c r="G124" s="5">
        <v>0</v>
      </c>
      <c r="H124" s="5">
        <v>0</v>
      </c>
      <c r="I124" s="5">
        <v>1</v>
      </c>
      <c r="J124" s="5">
        <v>735480.19</v>
      </c>
    </row>
    <row r="125" spans="1:10" ht="15" customHeight="1">
      <c r="A125" s="5" t="s">
        <v>52</v>
      </c>
      <c r="B125" s="5" t="s">
        <v>20</v>
      </c>
      <c r="C125" s="5" t="s">
        <v>18</v>
      </c>
      <c r="D125" s="5">
        <v>0</v>
      </c>
      <c r="E125" s="5">
        <v>0</v>
      </c>
      <c r="F125" s="5">
        <v>0</v>
      </c>
      <c r="G125" s="5">
        <v>1</v>
      </c>
      <c r="H125" s="5">
        <v>0</v>
      </c>
      <c r="I125" s="5">
        <v>0</v>
      </c>
      <c r="J125" s="5">
        <v>509484.81</v>
      </c>
    </row>
    <row r="126" spans="1:10" ht="15" customHeight="1">
      <c r="A126" s="5" t="s">
        <v>52</v>
      </c>
      <c r="B126" s="5" t="s">
        <v>20</v>
      </c>
      <c r="C126" s="5" t="s">
        <v>18</v>
      </c>
      <c r="D126" s="5">
        <v>0</v>
      </c>
      <c r="E126" s="5">
        <v>0</v>
      </c>
      <c r="F126" s="5">
        <v>0</v>
      </c>
      <c r="G126" s="5">
        <v>1</v>
      </c>
      <c r="H126" s="5">
        <v>0</v>
      </c>
      <c r="I126" s="5">
        <v>0</v>
      </c>
      <c r="J126" s="5">
        <v>654317.09</v>
      </c>
    </row>
    <row r="127" spans="1:10" ht="15" customHeight="1">
      <c r="A127" s="5" t="s">
        <v>52</v>
      </c>
      <c r="B127" s="5" t="s">
        <v>20</v>
      </c>
      <c r="C127" s="5" t="s">
        <v>18</v>
      </c>
      <c r="D127" s="5">
        <v>0</v>
      </c>
      <c r="E127" s="5">
        <v>0</v>
      </c>
      <c r="F127" s="5">
        <v>0</v>
      </c>
      <c r="G127" s="5">
        <v>1</v>
      </c>
      <c r="H127" s="5">
        <v>0</v>
      </c>
      <c r="I127" s="5">
        <v>0</v>
      </c>
      <c r="J127" s="5">
        <v>557487.26</v>
      </c>
    </row>
    <row r="128" spans="1:10" ht="15" customHeight="1">
      <c r="A128" s="5" t="s">
        <v>52</v>
      </c>
      <c r="B128" s="5" t="s">
        <v>20</v>
      </c>
      <c r="C128" s="5" t="s">
        <v>18</v>
      </c>
      <c r="D128" s="5">
        <v>0</v>
      </c>
      <c r="E128" s="5">
        <v>0</v>
      </c>
      <c r="F128" s="5">
        <v>0</v>
      </c>
      <c r="G128" s="5">
        <v>1</v>
      </c>
      <c r="H128" s="5">
        <v>0</v>
      </c>
      <c r="I128" s="5">
        <v>0</v>
      </c>
      <c r="J128" s="5">
        <v>441275.42</v>
      </c>
    </row>
    <row r="129" spans="1:10" ht="15" customHeight="1">
      <c r="A129" s="5" t="s">
        <v>53</v>
      </c>
      <c r="B129" s="5" t="s">
        <v>24</v>
      </c>
      <c r="C129" s="5" t="s">
        <v>18</v>
      </c>
      <c r="D129" s="5">
        <v>0</v>
      </c>
      <c r="E129" s="5">
        <v>0</v>
      </c>
      <c r="F129" s="5">
        <v>0</v>
      </c>
      <c r="G129" s="5">
        <v>0</v>
      </c>
      <c r="H129" s="5">
        <v>1</v>
      </c>
      <c r="I129" s="5">
        <v>0</v>
      </c>
      <c r="J129" s="5">
        <v>914544.17</v>
      </c>
    </row>
    <row r="130" spans="1:10" ht="15" customHeight="1">
      <c r="A130" s="5" t="s">
        <v>53</v>
      </c>
      <c r="B130" s="5" t="s">
        <v>24</v>
      </c>
      <c r="C130" s="5" t="s">
        <v>18</v>
      </c>
      <c r="D130" s="5">
        <v>0</v>
      </c>
      <c r="E130" s="5">
        <v>0</v>
      </c>
      <c r="F130" s="5">
        <v>0</v>
      </c>
      <c r="G130" s="5">
        <v>0</v>
      </c>
      <c r="H130" s="5">
        <v>1</v>
      </c>
      <c r="I130" s="5">
        <v>0</v>
      </c>
      <c r="J130" s="5">
        <v>842439.67</v>
      </c>
    </row>
    <row r="131" spans="1:10" ht="15" customHeight="1">
      <c r="A131" s="5" t="s">
        <v>53</v>
      </c>
      <c r="B131" s="5" t="s">
        <v>24</v>
      </c>
      <c r="C131" s="5" t="s">
        <v>18</v>
      </c>
      <c r="D131" s="5">
        <v>0</v>
      </c>
      <c r="E131" s="5">
        <v>0</v>
      </c>
      <c r="F131" s="5">
        <v>0</v>
      </c>
      <c r="G131" s="5">
        <v>0</v>
      </c>
      <c r="H131" s="5">
        <v>1</v>
      </c>
      <c r="I131" s="5">
        <v>0</v>
      </c>
      <c r="J131" s="5">
        <v>842157.92</v>
      </c>
    </row>
    <row r="132" spans="1:10" ht="15" customHeight="1">
      <c r="A132" s="5" t="s">
        <v>53</v>
      </c>
      <c r="B132" s="5" t="s">
        <v>24</v>
      </c>
      <c r="C132" s="5" t="s">
        <v>18</v>
      </c>
      <c r="D132" s="5">
        <v>0</v>
      </c>
      <c r="E132" s="5">
        <v>0</v>
      </c>
      <c r="F132" s="5">
        <v>0</v>
      </c>
      <c r="G132" s="5">
        <v>0</v>
      </c>
      <c r="H132" s="5">
        <v>1</v>
      </c>
      <c r="I132" s="5">
        <v>0</v>
      </c>
      <c r="J132" s="5">
        <v>697155.3</v>
      </c>
    </row>
    <row r="133" spans="1:10" ht="15" customHeight="1">
      <c r="A133" s="5" t="s">
        <v>54</v>
      </c>
      <c r="B133" s="5" t="s">
        <v>15</v>
      </c>
      <c r="C133" s="5" t="s">
        <v>18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849018.3</v>
      </c>
    </row>
    <row r="134" spans="1:10" ht="15" customHeight="1">
      <c r="A134" s="5" t="s">
        <v>54</v>
      </c>
      <c r="B134" s="5" t="s">
        <v>15</v>
      </c>
      <c r="C134" s="5" t="s">
        <v>18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801830.35</v>
      </c>
    </row>
    <row r="135" spans="1:10" ht="15" customHeight="1">
      <c r="A135" s="5" t="s">
        <v>54</v>
      </c>
      <c r="B135" s="5" t="s">
        <v>15</v>
      </c>
      <c r="C135" s="5" t="s">
        <v>18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725235.28</v>
      </c>
    </row>
    <row r="136" spans="1:10" ht="15" customHeight="1">
      <c r="A136" s="5" t="s">
        <v>54</v>
      </c>
      <c r="B136" s="5" t="s">
        <v>15</v>
      </c>
      <c r="C136" s="5" t="s">
        <v>18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811452.72</v>
      </c>
    </row>
    <row r="137" spans="1:10" ht="15" customHeight="1">
      <c r="A137" s="5" t="s">
        <v>55</v>
      </c>
      <c r="B137" s="5" t="s">
        <v>20</v>
      </c>
      <c r="C137" s="5" t="s">
        <v>18</v>
      </c>
      <c r="D137" s="5">
        <v>0</v>
      </c>
      <c r="E137" s="5">
        <v>0</v>
      </c>
      <c r="F137" s="5">
        <v>0</v>
      </c>
      <c r="G137" s="5">
        <v>1</v>
      </c>
      <c r="H137" s="5">
        <v>0</v>
      </c>
      <c r="I137" s="5">
        <v>0</v>
      </c>
      <c r="J137" s="5">
        <v>527300.13</v>
      </c>
    </row>
    <row r="138" spans="1:10" ht="15" customHeight="1">
      <c r="A138" s="5" t="s">
        <v>55</v>
      </c>
      <c r="B138" s="5" t="s">
        <v>20</v>
      </c>
      <c r="C138" s="5" t="s">
        <v>18</v>
      </c>
      <c r="D138" s="5">
        <v>0</v>
      </c>
      <c r="E138" s="5">
        <v>0</v>
      </c>
      <c r="F138" s="5">
        <v>0</v>
      </c>
      <c r="G138" s="5">
        <v>1</v>
      </c>
      <c r="H138" s="5">
        <v>0</v>
      </c>
      <c r="I138" s="5">
        <v>0</v>
      </c>
      <c r="J138" s="5">
        <v>400831.65</v>
      </c>
    </row>
    <row r="139" spans="1:10" ht="15" customHeight="1">
      <c r="A139" s="5" t="s">
        <v>55</v>
      </c>
      <c r="B139" s="5" t="s">
        <v>20</v>
      </c>
      <c r="C139" s="5" t="s">
        <v>18</v>
      </c>
      <c r="D139" s="5">
        <v>0</v>
      </c>
      <c r="E139" s="5">
        <v>0</v>
      </c>
      <c r="F139" s="5">
        <v>0</v>
      </c>
      <c r="G139" s="5">
        <v>1</v>
      </c>
      <c r="H139" s="5">
        <v>0</v>
      </c>
      <c r="I139" s="5">
        <v>0</v>
      </c>
      <c r="J139" s="5">
        <v>593247.25</v>
      </c>
    </row>
    <row r="140" spans="1:10" ht="15" customHeight="1">
      <c r="A140" s="5" t="s">
        <v>55</v>
      </c>
      <c r="B140" s="5" t="s">
        <v>20</v>
      </c>
      <c r="C140" s="5" t="s">
        <v>18</v>
      </c>
      <c r="D140" s="5">
        <v>0</v>
      </c>
      <c r="E140" s="5">
        <v>0</v>
      </c>
      <c r="F140" s="5">
        <v>0</v>
      </c>
      <c r="G140" s="5">
        <v>1</v>
      </c>
      <c r="H140" s="5">
        <v>0</v>
      </c>
      <c r="I140" s="5">
        <v>0</v>
      </c>
      <c r="J140" s="5">
        <v>529075.94999999995</v>
      </c>
    </row>
    <row r="141" spans="1:10" ht="15" customHeight="1">
      <c r="A141" s="5" t="s">
        <v>56</v>
      </c>
      <c r="B141" s="5" t="s">
        <v>24</v>
      </c>
      <c r="C141" s="5" t="s">
        <v>16</v>
      </c>
      <c r="D141" s="5">
        <v>0</v>
      </c>
      <c r="E141" s="5">
        <v>0</v>
      </c>
      <c r="F141" s="5">
        <v>1</v>
      </c>
      <c r="G141" s="5">
        <v>0</v>
      </c>
      <c r="H141" s="5">
        <v>1</v>
      </c>
      <c r="I141" s="5">
        <v>0</v>
      </c>
      <c r="J141" s="5">
        <v>633638.03</v>
      </c>
    </row>
    <row r="142" spans="1:10" ht="15" customHeight="1">
      <c r="A142" s="5" t="s">
        <v>56</v>
      </c>
      <c r="B142" s="5" t="s">
        <v>24</v>
      </c>
      <c r="C142" s="5" t="s">
        <v>16</v>
      </c>
      <c r="D142" s="5">
        <v>0</v>
      </c>
      <c r="E142" s="5">
        <v>0</v>
      </c>
      <c r="F142" s="5">
        <v>1</v>
      </c>
      <c r="G142" s="5">
        <v>0</v>
      </c>
      <c r="H142" s="5">
        <v>1</v>
      </c>
      <c r="I142" s="5">
        <v>0</v>
      </c>
      <c r="J142" s="5">
        <v>743348.84</v>
      </c>
    </row>
    <row r="143" spans="1:10" ht="15" customHeight="1">
      <c r="A143" s="5" t="s">
        <v>56</v>
      </c>
      <c r="B143" s="5" t="s">
        <v>24</v>
      </c>
      <c r="C143" s="5" t="s">
        <v>16</v>
      </c>
      <c r="D143" s="5">
        <v>0</v>
      </c>
      <c r="E143" s="5">
        <v>0</v>
      </c>
      <c r="F143" s="5">
        <v>1</v>
      </c>
      <c r="G143" s="5">
        <v>0</v>
      </c>
      <c r="H143" s="5">
        <v>1</v>
      </c>
      <c r="I143" s="5">
        <v>0</v>
      </c>
      <c r="J143" s="5">
        <v>758827.64</v>
      </c>
    </row>
    <row r="144" spans="1:10" ht="15" customHeight="1">
      <c r="A144" s="5" t="s">
        <v>56</v>
      </c>
      <c r="B144" s="5" t="s">
        <v>24</v>
      </c>
      <c r="C144" s="5" t="s">
        <v>16</v>
      </c>
      <c r="D144" s="5">
        <v>0</v>
      </c>
      <c r="E144" s="5">
        <v>0</v>
      </c>
      <c r="F144" s="5">
        <v>1</v>
      </c>
      <c r="G144" s="5">
        <v>0</v>
      </c>
      <c r="H144" s="5">
        <v>1</v>
      </c>
      <c r="I144" s="5">
        <v>0</v>
      </c>
      <c r="J144" s="5">
        <v>646559.71</v>
      </c>
    </row>
    <row r="145" spans="1:10" ht="15" customHeight="1">
      <c r="A145" s="5" t="s">
        <v>57</v>
      </c>
      <c r="B145" s="5" t="s">
        <v>27</v>
      </c>
      <c r="C145" s="5" t="s">
        <v>18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1</v>
      </c>
      <c r="J145" s="5">
        <v>715890.53</v>
      </c>
    </row>
    <row r="146" spans="1:10" ht="15" customHeight="1">
      <c r="A146" s="5" t="s">
        <v>57</v>
      </c>
      <c r="B146" s="5" t="s">
        <v>27</v>
      </c>
      <c r="C146" s="5" t="s">
        <v>18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1</v>
      </c>
      <c r="J146" s="5">
        <v>715097.57</v>
      </c>
    </row>
    <row r="147" spans="1:10" ht="15" customHeight="1">
      <c r="A147" s="5" t="s">
        <v>57</v>
      </c>
      <c r="B147" s="5" t="s">
        <v>27</v>
      </c>
      <c r="C147" s="5" t="s">
        <v>18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1</v>
      </c>
      <c r="J147" s="5">
        <v>682639.28</v>
      </c>
    </row>
    <row r="148" spans="1:10" ht="15" customHeight="1">
      <c r="A148" s="5" t="s">
        <v>57</v>
      </c>
      <c r="B148" s="5" t="s">
        <v>27</v>
      </c>
      <c r="C148" s="5" t="s">
        <v>18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1</v>
      </c>
      <c r="J148" s="5">
        <v>695098.51</v>
      </c>
    </row>
    <row r="149" spans="1:10" ht="15" customHeight="1">
      <c r="A149" s="5" t="s">
        <v>58</v>
      </c>
      <c r="B149" s="5" t="s">
        <v>20</v>
      </c>
      <c r="C149" s="5" t="s">
        <v>16</v>
      </c>
      <c r="D149" s="5">
        <v>0</v>
      </c>
      <c r="E149" s="5">
        <v>0</v>
      </c>
      <c r="F149" s="5">
        <v>1</v>
      </c>
      <c r="G149" s="5">
        <v>1</v>
      </c>
      <c r="H149" s="5">
        <v>0</v>
      </c>
      <c r="I149" s="5">
        <v>0</v>
      </c>
      <c r="J149" s="5">
        <v>577732.56999999995</v>
      </c>
    </row>
    <row r="150" spans="1:10" ht="15" customHeight="1">
      <c r="A150" s="5" t="s">
        <v>58</v>
      </c>
      <c r="B150" s="5" t="s">
        <v>20</v>
      </c>
      <c r="C150" s="5" t="s">
        <v>16</v>
      </c>
      <c r="D150" s="5">
        <v>0</v>
      </c>
      <c r="E150" s="5">
        <v>0</v>
      </c>
      <c r="F150" s="5">
        <v>1</v>
      </c>
      <c r="G150" s="5">
        <v>1</v>
      </c>
      <c r="H150" s="5">
        <v>0</v>
      </c>
      <c r="I150" s="5">
        <v>0</v>
      </c>
      <c r="J150" s="5">
        <v>537058.32999999996</v>
      </c>
    </row>
    <row r="151" spans="1:10" ht="15" customHeight="1">
      <c r="A151" s="5" t="s">
        <v>58</v>
      </c>
      <c r="B151" s="5" t="s">
        <v>20</v>
      </c>
      <c r="C151" s="5" t="s">
        <v>16</v>
      </c>
      <c r="D151" s="5">
        <v>0</v>
      </c>
      <c r="E151" s="5">
        <v>0</v>
      </c>
      <c r="F151" s="5">
        <v>1</v>
      </c>
      <c r="G151" s="5">
        <v>1</v>
      </c>
      <c r="H151" s="5">
        <v>0</v>
      </c>
      <c r="I151" s="5">
        <v>0</v>
      </c>
      <c r="J151" s="5">
        <v>601568.87</v>
      </c>
    </row>
    <row r="152" spans="1:10" ht="15" customHeight="1">
      <c r="A152" s="5" t="s">
        <v>58</v>
      </c>
      <c r="B152" s="5" t="s">
        <v>20</v>
      </c>
      <c r="C152" s="5" t="s">
        <v>16</v>
      </c>
      <c r="D152" s="5">
        <v>0</v>
      </c>
      <c r="E152" s="5">
        <v>0</v>
      </c>
      <c r="F152" s="5">
        <v>1</v>
      </c>
      <c r="G152" s="5">
        <v>1</v>
      </c>
      <c r="H152" s="5">
        <v>0</v>
      </c>
      <c r="I152" s="5">
        <v>0</v>
      </c>
      <c r="J152" s="5">
        <v>570964.84</v>
      </c>
    </row>
    <row r="153" spans="1:10" ht="15" customHeight="1">
      <c r="A153" s="5" t="s">
        <v>59</v>
      </c>
      <c r="B153" s="5" t="s">
        <v>24</v>
      </c>
      <c r="C153" s="5" t="s">
        <v>28</v>
      </c>
      <c r="D153" s="5">
        <v>0</v>
      </c>
      <c r="E153" s="5">
        <v>1</v>
      </c>
      <c r="F153" s="5">
        <v>0</v>
      </c>
      <c r="G153" s="5">
        <v>0</v>
      </c>
      <c r="H153" s="5">
        <v>1</v>
      </c>
      <c r="I153" s="5">
        <v>0</v>
      </c>
      <c r="J153" s="5">
        <v>614024.91</v>
      </c>
    </row>
    <row r="154" spans="1:10" ht="15" customHeight="1">
      <c r="A154" s="5" t="s">
        <v>59</v>
      </c>
      <c r="B154" s="5" t="s">
        <v>24</v>
      </c>
      <c r="C154" s="5" t="s">
        <v>28</v>
      </c>
      <c r="D154" s="5">
        <v>0</v>
      </c>
      <c r="E154" s="5">
        <v>1</v>
      </c>
      <c r="F154" s="5">
        <v>0</v>
      </c>
      <c r="G154" s="5">
        <v>0</v>
      </c>
      <c r="H154" s="5">
        <v>1</v>
      </c>
      <c r="I154" s="5">
        <v>0</v>
      </c>
      <c r="J154" s="5">
        <v>712868.35</v>
      </c>
    </row>
    <row r="155" spans="1:10" ht="15" customHeight="1">
      <c r="A155" s="5" t="s">
        <v>59</v>
      </c>
      <c r="B155" s="5" t="s">
        <v>24</v>
      </c>
      <c r="C155" s="5" t="s">
        <v>28</v>
      </c>
      <c r="D155" s="5">
        <v>0</v>
      </c>
      <c r="E155" s="5">
        <v>1</v>
      </c>
      <c r="F155" s="5">
        <v>0</v>
      </c>
      <c r="G155" s="5">
        <v>0</v>
      </c>
      <c r="H155" s="5">
        <v>1</v>
      </c>
      <c r="I155" s="5">
        <v>0</v>
      </c>
      <c r="J155" s="5">
        <v>696744.15</v>
      </c>
    </row>
    <row r="156" spans="1:10" ht="15" customHeight="1">
      <c r="A156" s="5" t="s">
        <v>59</v>
      </c>
      <c r="B156" s="5" t="s">
        <v>24</v>
      </c>
      <c r="C156" s="5" t="s">
        <v>28</v>
      </c>
      <c r="D156" s="5">
        <v>0</v>
      </c>
      <c r="E156" s="5">
        <v>1</v>
      </c>
      <c r="F156" s="5">
        <v>0</v>
      </c>
      <c r="G156" s="5">
        <v>0</v>
      </c>
      <c r="H156" s="5">
        <v>1</v>
      </c>
      <c r="I156" s="5">
        <v>0</v>
      </c>
      <c r="J156" s="5">
        <v>725847.99</v>
      </c>
    </row>
    <row r="157" spans="1:10" ht="15" customHeight="1">
      <c r="A157" s="5" t="s">
        <v>60</v>
      </c>
      <c r="B157" s="5" t="s">
        <v>15</v>
      </c>
      <c r="C157" s="5" t="s">
        <v>18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785028.25</v>
      </c>
    </row>
    <row r="158" spans="1:10" ht="15" customHeight="1">
      <c r="A158" s="5" t="s">
        <v>60</v>
      </c>
      <c r="B158" s="5" t="s">
        <v>15</v>
      </c>
      <c r="C158" s="5" t="s">
        <v>18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698492.67</v>
      </c>
    </row>
    <row r="159" spans="1:10" ht="15" customHeight="1">
      <c r="A159" s="5" t="s">
        <v>60</v>
      </c>
      <c r="B159" s="5" t="s">
        <v>15</v>
      </c>
      <c r="C159" s="5" t="s">
        <v>18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685830.24</v>
      </c>
    </row>
    <row r="160" spans="1:10" ht="15" customHeight="1">
      <c r="A160" s="5" t="s">
        <v>60</v>
      </c>
      <c r="B160" s="5" t="s">
        <v>15</v>
      </c>
      <c r="C160" s="5" t="s">
        <v>18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702318.94</v>
      </c>
    </row>
    <row r="161" spans="1:10" ht="15" customHeight="1">
      <c r="A161" s="5" t="s">
        <v>61</v>
      </c>
      <c r="B161" s="5" t="s">
        <v>20</v>
      </c>
      <c r="C161" s="5" t="s">
        <v>28</v>
      </c>
      <c r="D161" s="5">
        <v>0</v>
      </c>
      <c r="E161" s="5">
        <v>1</v>
      </c>
      <c r="F161" s="5">
        <v>0</v>
      </c>
      <c r="G161" s="5">
        <v>1</v>
      </c>
      <c r="H161" s="5">
        <v>0</v>
      </c>
      <c r="I161" s="5">
        <v>0</v>
      </c>
      <c r="J161" s="5">
        <v>700078.32</v>
      </c>
    </row>
    <row r="162" spans="1:10" ht="15" customHeight="1">
      <c r="A162" s="5" t="s">
        <v>61</v>
      </c>
      <c r="B162" s="5" t="s">
        <v>20</v>
      </c>
      <c r="C162" s="5" t="s">
        <v>28</v>
      </c>
      <c r="D162" s="5">
        <v>0</v>
      </c>
      <c r="E162" s="5">
        <v>1</v>
      </c>
      <c r="F162" s="5">
        <v>0</v>
      </c>
      <c r="G162" s="5">
        <v>1</v>
      </c>
      <c r="H162" s="5">
        <v>0</v>
      </c>
      <c r="I162" s="5">
        <v>0</v>
      </c>
      <c r="J162" s="5">
        <v>602002.31999999995</v>
      </c>
    </row>
    <row r="163" spans="1:10" ht="15" customHeight="1">
      <c r="A163" s="5" t="s">
        <v>61</v>
      </c>
      <c r="B163" s="5" t="s">
        <v>20</v>
      </c>
      <c r="C163" s="5" t="s">
        <v>28</v>
      </c>
      <c r="D163" s="5">
        <v>0</v>
      </c>
      <c r="E163" s="5">
        <v>1</v>
      </c>
      <c r="F163" s="5">
        <v>0</v>
      </c>
      <c r="G163" s="5">
        <v>1</v>
      </c>
      <c r="H163" s="5">
        <v>0</v>
      </c>
      <c r="I163" s="5">
        <v>0</v>
      </c>
      <c r="J163" s="5">
        <v>724216.07</v>
      </c>
    </row>
    <row r="164" spans="1:10" ht="15" customHeight="1">
      <c r="A164" s="5" t="s">
        <v>61</v>
      </c>
      <c r="B164" s="5" t="s">
        <v>20</v>
      </c>
      <c r="C164" s="5" t="s">
        <v>28</v>
      </c>
      <c r="D164" s="5">
        <v>0</v>
      </c>
      <c r="E164" s="5">
        <v>1</v>
      </c>
      <c r="F164" s="5">
        <v>0</v>
      </c>
      <c r="G164" s="5">
        <v>1</v>
      </c>
      <c r="H164" s="5">
        <v>0</v>
      </c>
      <c r="I164" s="5">
        <v>0</v>
      </c>
      <c r="J164" s="5">
        <v>620973.03</v>
      </c>
    </row>
    <row r="165" spans="1:10" ht="15" customHeight="1">
      <c r="A165" s="5" t="s">
        <v>62</v>
      </c>
      <c r="B165" s="5" t="s">
        <v>24</v>
      </c>
      <c r="C165" s="5" t="s">
        <v>18</v>
      </c>
      <c r="D165" s="5">
        <v>0</v>
      </c>
      <c r="E165" s="5">
        <v>0</v>
      </c>
      <c r="F165" s="5">
        <v>0</v>
      </c>
      <c r="G165" s="5">
        <v>0</v>
      </c>
      <c r="H165" s="5">
        <v>1</v>
      </c>
      <c r="I165" s="5">
        <v>0</v>
      </c>
      <c r="J165" s="5">
        <v>650480.06000000006</v>
      </c>
    </row>
    <row r="166" spans="1:10" ht="15" customHeight="1">
      <c r="A166" s="5" t="s">
        <v>62</v>
      </c>
      <c r="B166" s="5" t="s">
        <v>24</v>
      </c>
      <c r="C166" s="5" t="s">
        <v>18</v>
      </c>
      <c r="D166" s="5">
        <v>0</v>
      </c>
      <c r="E166" s="5">
        <v>0</v>
      </c>
      <c r="F166" s="5">
        <v>0</v>
      </c>
      <c r="G166" s="5">
        <v>0</v>
      </c>
      <c r="H166" s="5">
        <v>1</v>
      </c>
      <c r="I166" s="5">
        <v>0</v>
      </c>
      <c r="J166" s="5">
        <v>778298.88</v>
      </c>
    </row>
    <row r="167" spans="1:10" ht="15" customHeight="1">
      <c r="A167" s="5" t="s">
        <v>62</v>
      </c>
      <c r="B167" s="5" t="s">
        <v>24</v>
      </c>
      <c r="C167" s="5" t="s">
        <v>18</v>
      </c>
      <c r="D167" s="5">
        <v>0</v>
      </c>
      <c r="E167" s="5">
        <v>0</v>
      </c>
      <c r="F167" s="5">
        <v>0</v>
      </c>
      <c r="G167" s="5">
        <v>0</v>
      </c>
      <c r="H167" s="5">
        <v>1</v>
      </c>
      <c r="I167" s="5">
        <v>0</v>
      </c>
      <c r="J167" s="5">
        <v>677096.71</v>
      </c>
    </row>
    <row r="168" spans="1:10" ht="15" customHeight="1">
      <c r="A168" s="5" t="s">
        <v>62</v>
      </c>
      <c r="B168" s="5" t="s">
        <v>24</v>
      </c>
      <c r="C168" s="5" t="s">
        <v>18</v>
      </c>
      <c r="D168" s="5">
        <v>0</v>
      </c>
      <c r="E168" s="5">
        <v>0</v>
      </c>
      <c r="F168" s="5">
        <v>0</v>
      </c>
      <c r="G168" s="5">
        <v>0</v>
      </c>
      <c r="H168" s="5">
        <v>1</v>
      </c>
      <c r="I168" s="5">
        <v>0</v>
      </c>
      <c r="J168" s="5">
        <v>692008.64</v>
      </c>
    </row>
    <row r="169" spans="1:10" ht="15" customHeight="1">
      <c r="A169" s="5" t="s">
        <v>63</v>
      </c>
      <c r="B169" s="5" t="s">
        <v>20</v>
      </c>
      <c r="C169" s="5" t="s">
        <v>28</v>
      </c>
      <c r="D169" s="5">
        <v>0</v>
      </c>
      <c r="E169" s="5">
        <v>1</v>
      </c>
      <c r="F169" s="5">
        <v>0</v>
      </c>
      <c r="G169" s="5">
        <v>1</v>
      </c>
      <c r="H169" s="5">
        <v>0</v>
      </c>
      <c r="I169" s="5">
        <v>0</v>
      </c>
      <c r="J169" s="5">
        <v>825797.91</v>
      </c>
    </row>
    <row r="170" spans="1:10" ht="15" customHeight="1">
      <c r="A170" s="5" t="s">
        <v>63</v>
      </c>
      <c r="B170" s="5" t="s">
        <v>20</v>
      </c>
      <c r="C170" s="5" t="s">
        <v>28</v>
      </c>
      <c r="D170" s="5">
        <v>0</v>
      </c>
      <c r="E170" s="5">
        <v>1</v>
      </c>
      <c r="F170" s="5">
        <v>0</v>
      </c>
      <c r="G170" s="5">
        <v>1</v>
      </c>
      <c r="H170" s="5">
        <v>0</v>
      </c>
      <c r="I170" s="5">
        <v>0</v>
      </c>
      <c r="J170" s="5">
        <v>706285.52</v>
      </c>
    </row>
    <row r="171" spans="1:10" ht="15" customHeight="1">
      <c r="A171" s="5" t="s">
        <v>63</v>
      </c>
      <c r="B171" s="5" t="s">
        <v>20</v>
      </c>
      <c r="C171" s="5" t="s">
        <v>28</v>
      </c>
      <c r="D171" s="5">
        <v>0</v>
      </c>
      <c r="E171" s="5">
        <v>1</v>
      </c>
      <c r="F171" s="5">
        <v>0</v>
      </c>
      <c r="G171" s="5">
        <v>1</v>
      </c>
      <c r="H171" s="5">
        <v>0</v>
      </c>
      <c r="I171" s="5">
        <v>0</v>
      </c>
      <c r="J171" s="5">
        <v>665534.69999999995</v>
      </c>
    </row>
    <row r="172" spans="1:10" ht="15" customHeight="1">
      <c r="A172" s="5" t="s">
        <v>63</v>
      </c>
      <c r="B172" s="5" t="s">
        <v>20</v>
      </c>
      <c r="C172" s="5" t="s">
        <v>28</v>
      </c>
      <c r="D172" s="5">
        <v>0</v>
      </c>
      <c r="E172" s="5">
        <v>1</v>
      </c>
      <c r="F172" s="5">
        <v>0</v>
      </c>
      <c r="G172" s="5">
        <v>1</v>
      </c>
      <c r="H172" s="5">
        <v>0</v>
      </c>
      <c r="I172" s="5">
        <v>0</v>
      </c>
      <c r="J172" s="5">
        <v>820729.29</v>
      </c>
    </row>
    <row r="173" spans="1:10" ht="15" customHeight="1">
      <c r="A173" s="5" t="s">
        <v>64</v>
      </c>
      <c r="B173" s="5" t="s">
        <v>15</v>
      </c>
      <c r="C173" s="5" t="s">
        <v>16</v>
      </c>
      <c r="D173" s="5">
        <v>0</v>
      </c>
      <c r="E173" s="5">
        <v>0</v>
      </c>
      <c r="F173" s="5">
        <v>1</v>
      </c>
      <c r="G173" s="5">
        <v>0</v>
      </c>
      <c r="H173" s="5">
        <v>0</v>
      </c>
      <c r="I173" s="5">
        <v>0</v>
      </c>
      <c r="J173" s="5">
        <v>739831.73</v>
      </c>
    </row>
    <row r="174" spans="1:10" ht="15" customHeight="1">
      <c r="A174" s="5" t="s">
        <v>64</v>
      </c>
      <c r="B174" s="5" t="s">
        <v>15</v>
      </c>
      <c r="C174" s="5" t="s">
        <v>16</v>
      </c>
      <c r="D174" s="5">
        <v>0</v>
      </c>
      <c r="E174" s="5">
        <v>0</v>
      </c>
      <c r="F174" s="5">
        <v>1</v>
      </c>
      <c r="G174" s="5">
        <v>0</v>
      </c>
      <c r="H174" s="5">
        <v>0</v>
      </c>
      <c r="I174" s="5">
        <v>0</v>
      </c>
      <c r="J174" s="5">
        <v>593637.14</v>
      </c>
    </row>
    <row r="175" spans="1:10" ht="15" customHeight="1">
      <c r="A175" s="5" t="s">
        <v>64</v>
      </c>
      <c r="B175" s="5" t="s">
        <v>15</v>
      </c>
      <c r="C175" s="5" t="s">
        <v>16</v>
      </c>
      <c r="D175" s="5">
        <v>0</v>
      </c>
      <c r="E175" s="5">
        <v>0</v>
      </c>
      <c r="F175" s="5">
        <v>1</v>
      </c>
      <c r="G175" s="5">
        <v>0</v>
      </c>
      <c r="H175" s="5">
        <v>0</v>
      </c>
      <c r="I175" s="5">
        <v>0</v>
      </c>
      <c r="J175" s="5">
        <v>769702.76</v>
      </c>
    </row>
    <row r="176" spans="1:10" ht="15" customHeight="1">
      <c r="A176" s="5" t="s">
        <v>64</v>
      </c>
      <c r="B176" s="5" t="s">
        <v>15</v>
      </c>
      <c r="C176" s="5" t="s">
        <v>16</v>
      </c>
      <c r="D176" s="5">
        <v>0</v>
      </c>
      <c r="E176" s="5">
        <v>0</v>
      </c>
      <c r="F176" s="5">
        <v>1</v>
      </c>
      <c r="G176" s="5">
        <v>0</v>
      </c>
      <c r="H176" s="5">
        <v>0</v>
      </c>
      <c r="I176" s="5">
        <v>0</v>
      </c>
      <c r="J176" s="5">
        <v>679731.57</v>
      </c>
    </row>
    <row r="177" spans="1:10" ht="15" customHeight="1">
      <c r="A177" s="5" t="s">
        <v>65</v>
      </c>
      <c r="B177" s="5" t="s">
        <v>15</v>
      </c>
      <c r="C177" s="5" t="s">
        <v>16</v>
      </c>
      <c r="D177" s="5">
        <v>0</v>
      </c>
      <c r="E177" s="5">
        <v>0</v>
      </c>
      <c r="F177" s="5">
        <v>1</v>
      </c>
      <c r="G177" s="5">
        <v>0</v>
      </c>
      <c r="H177" s="5">
        <v>0</v>
      </c>
      <c r="I177" s="5">
        <v>0</v>
      </c>
      <c r="J177" s="5">
        <v>780344.18</v>
      </c>
    </row>
    <row r="178" spans="1:10" ht="15" customHeight="1">
      <c r="A178" s="5" t="s">
        <v>65</v>
      </c>
      <c r="B178" s="5" t="s">
        <v>15</v>
      </c>
      <c r="C178" s="5" t="s">
        <v>16</v>
      </c>
      <c r="D178" s="5">
        <v>0</v>
      </c>
      <c r="E178" s="5">
        <v>0</v>
      </c>
      <c r="F178" s="5">
        <v>1</v>
      </c>
      <c r="G178" s="5">
        <v>0</v>
      </c>
      <c r="H178" s="5">
        <v>0</v>
      </c>
      <c r="I178" s="5">
        <v>0</v>
      </c>
      <c r="J178" s="5">
        <v>721364.11</v>
      </c>
    </row>
    <row r="179" spans="1:10" ht="15" customHeight="1">
      <c r="A179" s="5" t="s">
        <v>65</v>
      </c>
      <c r="B179" s="5" t="s">
        <v>15</v>
      </c>
      <c r="C179" s="5" t="s">
        <v>16</v>
      </c>
      <c r="D179" s="5">
        <v>0</v>
      </c>
      <c r="E179" s="5">
        <v>0</v>
      </c>
      <c r="F179" s="5">
        <v>1</v>
      </c>
      <c r="G179" s="5">
        <v>0</v>
      </c>
      <c r="H179" s="5">
        <v>0</v>
      </c>
      <c r="I179" s="5">
        <v>0</v>
      </c>
      <c r="J179" s="5">
        <v>758138.29</v>
      </c>
    </row>
    <row r="180" spans="1:10" ht="15" customHeight="1">
      <c r="A180" s="5" t="s">
        <v>65</v>
      </c>
      <c r="B180" s="5" t="s">
        <v>15</v>
      </c>
      <c r="C180" s="5" t="s">
        <v>16</v>
      </c>
      <c r="D180" s="5">
        <v>0</v>
      </c>
      <c r="E180" s="5">
        <v>0</v>
      </c>
      <c r="F180" s="5">
        <v>1</v>
      </c>
      <c r="G180" s="5">
        <v>0</v>
      </c>
      <c r="H180" s="5">
        <v>0</v>
      </c>
      <c r="I180" s="5">
        <v>0</v>
      </c>
      <c r="J180" s="5">
        <v>804264</v>
      </c>
    </row>
    <row r="181" spans="1:10" ht="15" customHeight="1">
      <c r="A181" s="5" t="s">
        <v>66</v>
      </c>
      <c r="B181" s="5" t="s">
        <v>27</v>
      </c>
      <c r="C181" s="5" t="s">
        <v>21</v>
      </c>
      <c r="D181" s="5">
        <v>1</v>
      </c>
      <c r="E181" s="5">
        <v>0</v>
      </c>
      <c r="F181" s="5">
        <v>0</v>
      </c>
      <c r="G181" s="5">
        <v>0</v>
      </c>
      <c r="H181" s="5">
        <v>0</v>
      </c>
      <c r="I181" s="5">
        <v>1</v>
      </c>
      <c r="J181" s="5">
        <v>887537.75</v>
      </c>
    </row>
    <row r="182" spans="1:10" ht="15" customHeight="1">
      <c r="A182" s="5" t="s">
        <v>66</v>
      </c>
      <c r="B182" s="5" t="s">
        <v>27</v>
      </c>
      <c r="C182" s="5" t="s">
        <v>21</v>
      </c>
      <c r="D182" s="5">
        <v>1</v>
      </c>
      <c r="E182" s="5">
        <v>0</v>
      </c>
      <c r="F182" s="5">
        <v>0</v>
      </c>
      <c r="G182" s="5">
        <v>0</v>
      </c>
      <c r="H182" s="5">
        <v>0</v>
      </c>
      <c r="I182" s="5">
        <v>1</v>
      </c>
      <c r="J182" s="5">
        <v>783582</v>
      </c>
    </row>
    <row r="183" spans="1:10" ht="15" customHeight="1">
      <c r="A183" s="5" t="s">
        <v>66</v>
      </c>
      <c r="B183" s="5" t="s">
        <v>27</v>
      </c>
      <c r="C183" s="5" t="s">
        <v>21</v>
      </c>
      <c r="D183" s="5">
        <v>1</v>
      </c>
      <c r="E183" s="5">
        <v>0</v>
      </c>
      <c r="F183" s="5">
        <v>0</v>
      </c>
      <c r="G183" s="5">
        <v>0</v>
      </c>
      <c r="H183" s="5">
        <v>0</v>
      </c>
      <c r="I183" s="5">
        <v>1</v>
      </c>
      <c r="J183" s="5">
        <v>781955.52</v>
      </c>
    </row>
    <row r="184" spans="1:10" ht="15" customHeight="1">
      <c r="A184" s="5" t="s">
        <v>66</v>
      </c>
      <c r="B184" s="5" t="s">
        <v>27</v>
      </c>
      <c r="C184" s="5" t="s">
        <v>21</v>
      </c>
      <c r="D184" s="5">
        <v>1</v>
      </c>
      <c r="E184" s="5">
        <v>0</v>
      </c>
      <c r="F184" s="5">
        <v>0</v>
      </c>
      <c r="G184" s="5">
        <v>0</v>
      </c>
      <c r="H184" s="5">
        <v>0</v>
      </c>
      <c r="I184" s="5">
        <v>1</v>
      </c>
      <c r="J184" s="5">
        <v>898031.04</v>
      </c>
    </row>
    <row r="185" spans="1:10" ht="15" customHeight="1">
      <c r="A185" s="5" t="s">
        <v>67</v>
      </c>
      <c r="B185" s="5" t="s">
        <v>27</v>
      </c>
      <c r="C185" s="5" t="s">
        <v>16</v>
      </c>
      <c r="D185" s="5">
        <v>0</v>
      </c>
      <c r="E185" s="5">
        <v>0</v>
      </c>
      <c r="F185" s="5">
        <v>1</v>
      </c>
      <c r="G185" s="5">
        <v>0</v>
      </c>
      <c r="H185" s="5">
        <v>0</v>
      </c>
      <c r="I185" s="5">
        <v>1</v>
      </c>
      <c r="J185" s="5">
        <v>855341.28</v>
      </c>
    </row>
    <row r="186" spans="1:10" ht="15" customHeight="1">
      <c r="A186" s="5" t="s">
        <v>67</v>
      </c>
      <c r="B186" s="5" t="s">
        <v>27</v>
      </c>
      <c r="C186" s="5" t="s">
        <v>16</v>
      </c>
      <c r="D186" s="5">
        <v>0</v>
      </c>
      <c r="E186" s="5">
        <v>0</v>
      </c>
      <c r="F186" s="5">
        <v>1</v>
      </c>
      <c r="G186" s="5">
        <v>0</v>
      </c>
      <c r="H186" s="5">
        <v>0</v>
      </c>
      <c r="I186" s="5">
        <v>1</v>
      </c>
      <c r="J186" s="5">
        <v>751393.88</v>
      </c>
    </row>
    <row r="187" spans="1:10" ht="15" customHeight="1">
      <c r="A187" s="5" t="s">
        <v>67</v>
      </c>
      <c r="B187" s="5" t="s">
        <v>27</v>
      </c>
      <c r="C187" s="5" t="s">
        <v>16</v>
      </c>
      <c r="D187" s="5">
        <v>0</v>
      </c>
      <c r="E187" s="5">
        <v>0</v>
      </c>
      <c r="F187" s="5">
        <v>1</v>
      </c>
      <c r="G187" s="5">
        <v>0</v>
      </c>
      <c r="H187" s="5">
        <v>0</v>
      </c>
      <c r="I187" s="5">
        <v>1</v>
      </c>
      <c r="J187" s="5">
        <v>761077.08</v>
      </c>
    </row>
    <row r="188" spans="1:10" ht="15" customHeight="1">
      <c r="A188" s="5" t="s">
        <v>67</v>
      </c>
      <c r="B188" s="5" t="s">
        <v>27</v>
      </c>
      <c r="C188" s="5" t="s">
        <v>16</v>
      </c>
      <c r="D188" s="5">
        <v>0</v>
      </c>
      <c r="E188" s="5">
        <v>0</v>
      </c>
      <c r="F188" s="5">
        <v>1</v>
      </c>
      <c r="G188" s="5">
        <v>0</v>
      </c>
      <c r="H188" s="5">
        <v>0</v>
      </c>
      <c r="I188" s="5">
        <v>1</v>
      </c>
      <c r="J188" s="5">
        <v>819660.59</v>
      </c>
    </row>
    <row r="189" spans="1:10" ht="15" customHeight="1">
      <c r="A189" s="5" t="s">
        <v>68</v>
      </c>
      <c r="B189" s="5" t="s">
        <v>20</v>
      </c>
      <c r="C189" s="5" t="s">
        <v>18</v>
      </c>
      <c r="D189" s="5">
        <v>0</v>
      </c>
      <c r="E189" s="5">
        <v>0</v>
      </c>
      <c r="F189" s="5">
        <v>0</v>
      </c>
      <c r="G189" s="5">
        <v>1</v>
      </c>
      <c r="H189" s="5">
        <v>0</v>
      </c>
      <c r="I189" s="5">
        <v>0</v>
      </c>
      <c r="J189" s="5">
        <v>681855.56</v>
      </c>
    </row>
    <row r="190" spans="1:10" ht="15" customHeight="1">
      <c r="A190" s="5" t="s">
        <v>68</v>
      </c>
      <c r="B190" s="5" t="s">
        <v>20</v>
      </c>
      <c r="C190" s="5" t="s">
        <v>18</v>
      </c>
      <c r="D190" s="5">
        <v>0</v>
      </c>
      <c r="E190" s="5">
        <v>0</v>
      </c>
      <c r="F190" s="5">
        <v>0</v>
      </c>
      <c r="G190" s="5">
        <v>1</v>
      </c>
      <c r="H190" s="5">
        <v>0</v>
      </c>
      <c r="I190" s="5">
        <v>0</v>
      </c>
      <c r="J190" s="5">
        <v>678311.17</v>
      </c>
    </row>
    <row r="191" spans="1:10" ht="15" customHeight="1">
      <c r="A191" s="5" t="s">
        <v>68</v>
      </c>
      <c r="B191" s="5" t="s">
        <v>20</v>
      </c>
      <c r="C191" s="5" t="s">
        <v>18</v>
      </c>
      <c r="D191" s="5">
        <v>0</v>
      </c>
      <c r="E191" s="5">
        <v>0</v>
      </c>
      <c r="F191" s="5">
        <v>0</v>
      </c>
      <c r="G191" s="5">
        <v>1</v>
      </c>
      <c r="H191" s="5">
        <v>0</v>
      </c>
      <c r="I191" s="5">
        <v>0</v>
      </c>
      <c r="J191" s="5">
        <v>765906.95</v>
      </c>
    </row>
    <row r="192" spans="1:10" ht="15" customHeight="1">
      <c r="A192" s="5" t="s">
        <v>68</v>
      </c>
      <c r="B192" s="5" t="s">
        <v>20</v>
      </c>
      <c r="C192" s="5" t="s">
        <v>18</v>
      </c>
      <c r="D192" s="5">
        <v>0</v>
      </c>
      <c r="E192" s="5">
        <v>0</v>
      </c>
      <c r="F192" s="5">
        <v>0</v>
      </c>
      <c r="G192" s="5">
        <v>1</v>
      </c>
      <c r="H192" s="5">
        <v>0</v>
      </c>
      <c r="I192" s="5">
        <v>0</v>
      </c>
      <c r="J192" s="5">
        <v>712546.38</v>
      </c>
    </row>
    <row r="193" spans="1:10" ht="15" customHeight="1">
      <c r="A193" s="5" t="s">
        <v>69</v>
      </c>
      <c r="B193" s="5" t="s">
        <v>15</v>
      </c>
      <c r="C193" s="5" t="s">
        <v>18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625993.82999999996</v>
      </c>
    </row>
    <row r="194" spans="1:10" ht="15" customHeight="1">
      <c r="A194" s="5" t="s">
        <v>69</v>
      </c>
      <c r="B194" s="5" t="s">
        <v>15</v>
      </c>
      <c r="C194" s="5" t="s">
        <v>18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550962.93000000005</v>
      </c>
    </row>
    <row r="195" spans="1:10" ht="15" customHeight="1">
      <c r="A195" s="5" t="s">
        <v>69</v>
      </c>
      <c r="B195" s="5" t="s">
        <v>15</v>
      </c>
      <c r="C195" s="5" t="s">
        <v>18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443275.59</v>
      </c>
    </row>
    <row r="196" spans="1:10" ht="15" customHeight="1">
      <c r="A196" s="5" t="s">
        <v>69</v>
      </c>
      <c r="B196" s="5" t="s">
        <v>15</v>
      </c>
      <c r="C196" s="5" t="s">
        <v>18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554012.06999999995</v>
      </c>
    </row>
    <row r="197" spans="1:10" ht="15" customHeight="1">
      <c r="A197" s="5" t="s">
        <v>70</v>
      </c>
      <c r="B197" s="5" t="s">
        <v>27</v>
      </c>
      <c r="C197" s="5" t="s">
        <v>16</v>
      </c>
      <c r="D197" s="5">
        <v>0</v>
      </c>
      <c r="E197" s="5">
        <v>0</v>
      </c>
      <c r="F197" s="5">
        <v>1</v>
      </c>
      <c r="G197" s="5">
        <v>0</v>
      </c>
      <c r="H197" s="5">
        <v>0</v>
      </c>
      <c r="I197" s="5">
        <v>1</v>
      </c>
      <c r="J197" s="5">
        <v>643428.85</v>
      </c>
    </row>
    <row r="198" spans="1:10" ht="15" customHeight="1">
      <c r="A198" s="5" t="s">
        <v>70</v>
      </c>
      <c r="B198" s="5" t="s">
        <v>27</v>
      </c>
      <c r="C198" s="5" t="s">
        <v>16</v>
      </c>
      <c r="D198" s="5">
        <v>0</v>
      </c>
      <c r="E198" s="5">
        <v>0</v>
      </c>
      <c r="F198" s="5">
        <v>1</v>
      </c>
      <c r="G198" s="5">
        <v>0</v>
      </c>
      <c r="H198" s="5">
        <v>0</v>
      </c>
      <c r="I198" s="5">
        <v>1</v>
      </c>
      <c r="J198" s="5">
        <v>611924.27</v>
      </c>
    </row>
    <row r="199" spans="1:10" ht="15" customHeight="1">
      <c r="A199" s="5" t="s">
        <v>70</v>
      </c>
      <c r="B199" s="5" t="s">
        <v>27</v>
      </c>
      <c r="C199" s="5" t="s">
        <v>16</v>
      </c>
      <c r="D199" s="5">
        <v>0</v>
      </c>
      <c r="E199" s="5">
        <v>0</v>
      </c>
      <c r="F199" s="5">
        <v>1</v>
      </c>
      <c r="G199" s="5">
        <v>0</v>
      </c>
      <c r="H199" s="5">
        <v>0</v>
      </c>
      <c r="I199" s="5">
        <v>1</v>
      </c>
      <c r="J199" s="5">
        <v>559422.02</v>
      </c>
    </row>
    <row r="200" spans="1:10" ht="15" customHeight="1">
      <c r="A200" s="5" t="s">
        <v>70</v>
      </c>
      <c r="B200" s="5" t="s">
        <v>27</v>
      </c>
      <c r="C200" s="5" t="s">
        <v>16</v>
      </c>
      <c r="D200" s="5">
        <v>0</v>
      </c>
      <c r="E200" s="5">
        <v>0</v>
      </c>
      <c r="F200" s="5">
        <v>1</v>
      </c>
      <c r="G200" s="5">
        <v>0</v>
      </c>
      <c r="H200" s="5">
        <v>0</v>
      </c>
      <c r="I200" s="5">
        <v>1</v>
      </c>
      <c r="J200" s="5">
        <v>449465.06</v>
      </c>
    </row>
    <row r="201" spans="1:10" ht="15" customHeight="1">
      <c r="A201" s="5" t="s">
        <v>71</v>
      </c>
      <c r="B201" s="5" t="s">
        <v>20</v>
      </c>
      <c r="C201" s="5" t="s">
        <v>16</v>
      </c>
      <c r="D201" s="5">
        <v>0</v>
      </c>
      <c r="E201" s="5">
        <v>0</v>
      </c>
      <c r="F201" s="5">
        <v>1</v>
      </c>
      <c r="G201" s="5">
        <v>1</v>
      </c>
      <c r="H201" s="5">
        <v>0</v>
      </c>
      <c r="I201" s="5">
        <v>0</v>
      </c>
      <c r="J201" s="5">
        <v>691447.43</v>
      </c>
    </row>
    <row r="202" spans="1:10" ht="15" customHeight="1">
      <c r="A202" s="5" t="s">
        <v>71</v>
      </c>
      <c r="B202" s="5" t="s">
        <v>20</v>
      </c>
      <c r="C202" s="5" t="s">
        <v>16</v>
      </c>
      <c r="D202" s="5">
        <v>0</v>
      </c>
      <c r="E202" s="5">
        <v>0</v>
      </c>
      <c r="F202" s="5">
        <v>1</v>
      </c>
      <c r="G202" s="5">
        <v>1</v>
      </c>
      <c r="H202" s="5">
        <v>0</v>
      </c>
      <c r="I202" s="5">
        <v>0</v>
      </c>
      <c r="J202" s="5">
        <v>574066.61</v>
      </c>
    </row>
    <row r="203" spans="1:10" ht="15" customHeight="1">
      <c r="A203" s="5" t="s">
        <v>71</v>
      </c>
      <c r="B203" s="5" t="s">
        <v>20</v>
      </c>
      <c r="C203" s="5" t="s">
        <v>16</v>
      </c>
      <c r="D203" s="5">
        <v>0</v>
      </c>
      <c r="E203" s="5">
        <v>0</v>
      </c>
      <c r="F203" s="5">
        <v>1</v>
      </c>
      <c r="G203" s="5">
        <v>1</v>
      </c>
      <c r="H203" s="5">
        <v>0</v>
      </c>
      <c r="I203" s="5">
        <v>0</v>
      </c>
      <c r="J203" s="5">
        <v>578949.84</v>
      </c>
    </row>
    <row r="204" spans="1:10" ht="15" customHeight="1">
      <c r="A204" s="5" t="s">
        <v>71</v>
      </c>
      <c r="B204" s="5" t="s">
        <v>20</v>
      </c>
      <c r="C204" s="5" t="s">
        <v>16</v>
      </c>
      <c r="D204" s="5">
        <v>0</v>
      </c>
      <c r="E204" s="5">
        <v>0</v>
      </c>
      <c r="F204" s="5">
        <v>1</v>
      </c>
      <c r="G204" s="5">
        <v>1</v>
      </c>
      <c r="H204" s="5">
        <v>0</v>
      </c>
      <c r="I204" s="5">
        <v>0</v>
      </c>
      <c r="J204" s="5">
        <v>735786.64</v>
      </c>
    </row>
    <row r="205" spans="1:10" ht="15" customHeight="1">
      <c r="A205" s="5" t="s">
        <v>72</v>
      </c>
      <c r="B205" s="5" t="s">
        <v>15</v>
      </c>
      <c r="C205" s="5" t="s">
        <v>21</v>
      </c>
      <c r="D205" s="5">
        <v>1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598904.9</v>
      </c>
    </row>
    <row r="206" spans="1:10" ht="15" customHeight="1">
      <c r="A206" s="5" t="s">
        <v>72</v>
      </c>
      <c r="B206" s="5" t="s">
        <v>15</v>
      </c>
      <c r="C206" s="5" t="s">
        <v>21</v>
      </c>
      <c r="D206" s="5">
        <v>1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787715.51</v>
      </c>
    </row>
    <row r="207" spans="1:10" ht="15" customHeight="1">
      <c r="A207" s="5" t="s">
        <v>72</v>
      </c>
      <c r="B207" s="5" t="s">
        <v>15</v>
      </c>
      <c r="C207" s="5" t="s">
        <v>21</v>
      </c>
      <c r="D207" s="5">
        <v>1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607084.92000000004</v>
      </c>
    </row>
    <row r="208" spans="1:10" ht="15" customHeight="1">
      <c r="A208" s="5" t="s">
        <v>72</v>
      </c>
      <c r="B208" s="5" t="s">
        <v>15</v>
      </c>
      <c r="C208" s="5" t="s">
        <v>21</v>
      </c>
      <c r="D208" s="5">
        <v>1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650795.49</v>
      </c>
    </row>
    <row r="209" spans="1:10" ht="15" customHeight="1">
      <c r="A209" s="5" t="s">
        <v>73</v>
      </c>
      <c r="B209" s="5" t="s">
        <v>15</v>
      </c>
      <c r="C209" s="5" t="s">
        <v>28</v>
      </c>
      <c r="D209" s="5">
        <v>0</v>
      </c>
      <c r="E209" s="5">
        <v>1</v>
      </c>
      <c r="F209" s="5">
        <v>0</v>
      </c>
      <c r="G209" s="5">
        <v>0</v>
      </c>
      <c r="H209" s="5">
        <v>0</v>
      </c>
      <c r="I209" s="5">
        <v>0</v>
      </c>
      <c r="J209" s="5">
        <v>825060.52</v>
      </c>
    </row>
    <row r="210" spans="1:10" ht="15" customHeight="1">
      <c r="A210" s="5" t="s">
        <v>73</v>
      </c>
      <c r="B210" s="5" t="s">
        <v>15</v>
      </c>
      <c r="C210" s="5" t="s">
        <v>28</v>
      </c>
      <c r="D210" s="5">
        <v>0</v>
      </c>
      <c r="E210" s="5">
        <v>1</v>
      </c>
      <c r="F210" s="5">
        <v>0</v>
      </c>
      <c r="G210" s="5">
        <v>0</v>
      </c>
      <c r="H210" s="5">
        <v>0</v>
      </c>
      <c r="I210" s="5">
        <v>0</v>
      </c>
      <c r="J210" s="5">
        <v>795464.47</v>
      </c>
    </row>
    <row r="211" spans="1:10" ht="15" customHeight="1">
      <c r="A211" s="5" t="s">
        <v>73</v>
      </c>
      <c r="B211" s="5" t="s">
        <v>15</v>
      </c>
      <c r="C211" s="5" t="s">
        <v>28</v>
      </c>
      <c r="D211" s="5">
        <v>0</v>
      </c>
      <c r="E211" s="5">
        <v>1</v>
      </c>
      <c r="F211" s="5">
        <v>0</v>
      </c>
      <c r="G211" s="5">
        <v>0</v>
      </c>
      <c r="H211" s="5">
        <v>0</v>
      </c>
      <c r="I211" s="5">
        <v>0</v>
      </c>
      <c r="J211" s="5">
        <v>671868.59</v>
      </c>
    </row>
    <row r="212" spans="1:10" ht="15" customHeight="1">
      <c r="A212" s="5" t="s">
        <v>73</v>
      </c>
      <c r="B212" s="5" t="s">
        <v>15</v>
      </c>
      <c r="C212" s="5" t="s">
        <v>28</v>
      </c>
      <c r="D212" s="5">
        <v>0</v>
      </c>
      <c r="E212" s="5">
        <v>1</v>
      </c>
      <c r="F212" s="5">
        <v>0</v>
      </c>
      <c r="G212" s="5">
        <v>0</v>
      </c>
      <c r="H212" s="5">
        <v>0</v>
      </c>
      <c r="I212" s="5">
        <v>0</v>
      </c>
      <c r="J212" s="5">
        <v>675917.63</v>
      </c>
    </row>
    <row r="213" spans="1:10" ht="15" customHeight="1">
      <c r="A213" s="5" t="s">
        <v>74</v>
      </c>
      <c r="B213" s="5" t="s">
        <v>15</v>
      </c>
      <c r="C213" s="5" t="s">
        <v>18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810446.53</v>
      </c>
    </row>
    <row r="214" spans="1:10" ht="15" customHeight="1">
      <c r="A214" s="5" t="s">
        <v>74</v>
      </c>
      <c r="B214" s="5" t="s">
        <v>15</v>
      </c>
      <c r="C214" s="5" t="s">
        <v>18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691288.19</v>
      </c>
    </row>
    <row r="215" spans="1:10" ht="15" customHeight="1">
      <c r="A215" s="5" t="s">
        <v>74</v>
      </c>
      <c r="B215" s="5" t="s">
        <v>15</v>
      </c>
      <c r="C215" s="5" t="s">
        <v>18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946833.54</v>
      </c>
    </row>
    <row r="216" spans="1:10" ht="15" customHeight="1">
      <c r="A216" s="5" t="s">
        <v>74</v>
      </c>
      <c r="B216" s="5" t="s">
        <v>15</v>
      </c>
      <c r="C216" s="5" t="s">
        <v>18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761963.23</v>
      </c>
    </row>
    <row r="217" spans="1:10" ht="15" customHeight="1">
      <c r="A217" s="5" t="s">
        <v>75</v>
      </c>
      <c r="B217" s="5" t="s">
        <v>27</v>
      </c>
      <c r="C217" s="5" t="s">
        <v>16</v>
      </c>
      <c r="D217" s="5">
        <v>0</v>
      </c>
      <c r="E217" s="5">
        <v>0</v>
      </c>
      <c r="F217" s="5">
        <v>1</v>
      </c>
      <c r="G217" s="5">
        <v>0</v>
      </c>
      <c r="H217" s="5">
        <v>0</v>
      </c>
      <c r="I217" s="5">
        <v>1</v>
      </c>
      <c r="J217" s="5">
        <v>812152.6</v>
      </c>
    </row>
    <row r="218" spans="1:10" ht="15" customHeight="1">
      <c r="A218" s="5" t="s">
        <v>75</v>
      </c>
      <c r="B218" s="5" t="s">
        <v>27</v>
      </c>
      <c r="C218" s="5" t="s">
        <v>16</v>
      </c>
      <c r="D218" s="5">
        <v>0</v>
      </c>
      <c r="E218" s="5">
        <v>0</v>
      </c>
      <c r="F218" s="5">
        <v>1</v>
      </c>
      <c r="G218" s="5">
        <v>0</v>
      </c>
      <c r="H218" s="5">
        <v>0</v>
      </c>
      <c r="I218" s="5">
        <v>1</v>
      </c>
      <c r="J218" s="5">
        <v>804975.5</v>
      </c>
    </row>
    <row r="219" spans="1:10" ht="15" customHeight="1">
      <c r="A219" s="5" t="s">
        <v>75</v>
      </c>
      <c r="B219" s="5" t="s">
        <v>27</v>
      </c>
      <c r="C219" s="5" t="s">
        <v>16</v>
      </c>
      <c r="D219" s="5">
        <v>0</v>
      </c>
      <c r="E219" s="5">
        <v>0</v>
      </c>
      <c r="F219" s="5">
        <v>1</v>
      </c>
      <c r="G219" s="5">
        <v>0</v>
      </c>
      <c r="H219" s="5">
        <v>0</v>
      </c>
      <c r="I219" s="5">
        <v>1</v>
      </c>
      <c r="J219" s="5">
        <v>752321.72</v>
      </c>
    </row>
    <row r="220" spans="1:10" ht="15" customHeight="1">
      <c r="A220" s="5" t="s">
        <v>75</v>
      </c>
      <c r="B220" s="5" t="s">
        <v>27</v>
      </c>
      <c r="C220" s="5" t="s">
        <v>16</v>
      </c>
      <c r="D220" s="5">
        <v>0</v>
      </c>
      <c r="E220" s="5">
        <v>0</v>
      </c>
      <c r="F220" s="5">
        <v>1</v>
      </c>
      <c r="G220" s="5">
        <v>0</v>
      </c>
      <c r="H220" s="5">
        <v>0</v>
      </c>
      <c r="I220" s="5">
        <v>1</v>
      </c>
      <c r="J220" s="5">
        <v>836908.24</v>
      </c>
    </row>
    <row r="221" spans="1:10" ht="15" customHeight="1">
      <c r="A221" s="5" t="s">
        <v>76</v>
      </c>
      <c r="B221" s="5" t="s">
        <v>20</v>
      </c>
      <c r="C221" s="5" t="s">
        <v>21</v>
      </c>
      <c r="D221" s="5">
        <v>1</v>
      </c>
      <c r="E221" s="5">
        <v>0</v>
      </c>
      <c r="F221" s="5">
        <v>0</v>
      </c>
      <c r="G221" s="5">
        <v>1</v>
      </c>
      <c r="H221" s="5">
        <v>0</v>
      </c>
      <c r="I221" s="5">
        <v>0</v>
      </c>
      <c r="J221" s="5">
        <v>674289.1</v>
      </c>
    </row>
    <row r="222" spans="1:10" ht="15" customHeight="1">
      <c r="A222" s="5" t="s">
        <v>76</v>
      </c>
      <c r="B222" s="5" t="s">
        <v>20</v>
      </c>
      <c r="C222" s="5" t="s">
        <v>21</v>
      </c>
      <c r="D222" s="5">
        <v>1</v>
      </c>
      <c r="E222" s="5">
        <v>0</v>
      </c>
      <c r="F222" s="5">
        <v>0</v>
      </c>
      <c r="G222" s="5">
        <v>1</v>
      </c>
      <c r="H222" s="5">
        <v>0</v>
      </c>
      <c r="I222" s="5">
        <v>0</v>
      </c>
      <c r="J222" s="5">
        <v>622892.42000000004</v>
      </c>
    </row>
    <row r="223" spans="1:10" ht="15" customHeight="1">
      <c r="A223" s="5" t="s">
        <v>76</v>
      </c>
      <c r="B223" s="5" t="s">
        <v>20</v>
      </c>
      <c r="C223" s="5" t="s">
        <v>21</v>
      </c>
      <c r="D223" s="5">
        <v>1</v>
      </c>
      <c r="E223" s="5">
        <v>0</v>
      </c>
      <c r="F223" s="5">
        <v>0</v>
      </c>
      <c r="G223" s="5">
        <v>1</v>
      </c>
      <c r="H223" s="5">
        <v>0</v>
      </c>
      <c r="I223" s="5">
        <v>0</v>
      </c>
      <c r="J223" s="5">
        <v>673348.56</v>
      </c>
    </row>
    <row r="224" spans="1:10" ht="15" customHeight="1">
      <c r="A224" s="5" t="s">
        <v>76</v>
      </c>
      <c r="B224" s="5" t="s">
        <v>20</v>
      </c>
      <c r="C224" s="5" t="s">
        <v>21</v>
      </c>
      <c r="D224" s="5">
        <v>1</v>
      </c>
      <c r="E224" s="5">
        <v>0</v>
      </c>
      <c r="F224" s="5">
        <v>0</v>
      </c>
      <c r="G224" s="5">
        <v>1</v>
      </c>
      <c r="H224" s="5">
        <v>0</v>
      </c>
      <c r="I224" s="5">
        <v>0</v>
      </c>
      <c r="J224" s="5">
        <v>606278.30000000005</v>
      </c>
    </row>
    <row r="225" spans="1:10" ht="15" customHeight="1">
      <c r="A225" s="5" t="s">
        <v>77</v>
      </c>
      <c r="B225" s="5" t="s">
        <v>15</v>
      </c>
      <c r="C225" s="5" t="s">
        <v>18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712219.81</v>
      </c>
    </row>
    <row r="226" spans="1:10" ht="15" customHeight="1">
      <c r="A226" s="5" t="s">
        <v>77</v>
      </c>
      <c r="B226" s="5" t="s">
        <v>15</v>
      </c>
      <c r="C226" s="5" t="s">
        <v>18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672670.54</v>
      </c>
    </row>
    <row r="227" spans="1:10" ht="15" customHeight="1">
      <c r="A227" s="5" t="s">
        <v>77</v>
      </c>
      <c r="B227" s="5" t="s">
        <v>15</v>
      </c>
      <c r="C227" s="5" t="s">
        <v>18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732667.92</v>
      </c>
    </row>
    <row r="228" spans="1:10" ht="15" customHeight="1">
      <c r="A228" s="5" t="s">
        <v>77</v>
      </c>
      <c r="B228" s="5" t="s">
        <v>15</v>
      </c>
      <c r="C228" s="5" t="s">
        <v>18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723531.4</v>
      </c>
    </row>
    <row r="229" spans="1:10" ht="15" customHeight="1">
      <c r="A229" s="5" t="s">
        <v>78</v>
      </c>
      <c r="B229" s="5" t="s">
        <v>15</v>
      </c>
      <c r="C229" s="5" t="s">
        <v>28</v>
      </c>
      <c r="D229" s="5">
        <v>0</v>
      </c>
      <c r="E229" s="5">
        <v>1</v>
      </c>
      <c r="F229" s="5">
        <v>0</v>
      </c>
      <c r="G229" s="5">
        <v>0</v>
      </c>
      <c r="H229" s="5">
        <v>0</v>
      </c>
      <c r="I229" s="5">
        <v>0</v>
      </c>
      <c r="J229" s="5">
        <v>641564.6</v>
      </c>
    </row>
    <row r="230" spans="1:10" ht="15" customHeight="1">
      <c r="A230" s="5" t="s">
        <v>78</v>
      </c>
      <c r="B230" s="5" t="s">
        <v>15</v>
      </c>
      <c r="C230" s="5" t="s">
        <v>28</v>
      </c>
      <c r="D230" s="5">
        <v>0</v>
      </c>
      <c r="E230" s="5">
        <v>1</v>
      </c>
      <c r="F230" s="5">
        <v>0</v>
      </c>
      <c r="G230" s="5">
        <v>0</v>
      </c>
      <c r="H230" s="5">
        <v>0</v>
      </c>
      <c r="I230" s="5">
        <v>0</v>
      </c>
      <c r="J230" s="5">
        <v>536545.49</v>
      </c>
    </row>
    <row r="231" spans="1:10" ht="15" customHeight="1">
      <c r="A231" s="5" t="s">
        <v>78</v>
      </c>
      <c r="B231" s="5" t="s">
        <v>15</v>
      </c>
      <c r="C231" s="5" t="s">
        <v>28</v>
      </c>
      <c r="D231" s="5">
        <v>0</v>
      </c>
      <c r="E231" s="5">
        <v>1</v>
      </c>
      <c r="F231" s="5">
        <v>0</v>
      </c>
      <c r="G231" s="5">
        <v>0</v>
      </c>
      <c r="H231" s="5">
        <v>0</v>
      </c>
      <c r="I231" s="5">
        <v>0</v>
      </c>
      <c r="J231" s="5">
        <v>527681.56000000006</v>
      </c>
    </row>
    <row r="232" spans="1:10" ht="15" customHeight="1">
      <c r="A232" s="5" t="s">
        <v>78</v>
      </c>
      <c r="B232" s="5" t="s">
        <v>15</v>
      </c>
      <c r="C232" s="5" t="s">
        <v>28</v>
      </c>
      <c r="D232" s="5">
        <v>0</v>
      </c>
      <c r="E232" s="5">
        <v>1</v>
      </c>
      <c r="F232" s="5">
        <v>0</v>
      </c>
      <c r="G232" s="5">
        <v>0</v>
      </c>
      <c r="H232" s="5">
        <v>0</v>
      </c>
      <c r="I232" s="5">
        <v>0</v>
      </c>
      <c r="J232" s="5">
        <v>529598.93999999994</v>
      </c>
    </row>
    <row r="233" spans="1:10" ht="15" customHeight="1">
      <c r="A233" s="5" t="s">
        <v>79</v>
      </c>
      <c r="B233" s="5" t="s">
        <v>15</v>
      </c>
      <c r="C233" s="5" t="s">
        <v>18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570963.31000000006</v>
      </c>
    </row>
    <row r="234" spans="1:10" ht="15" customHeight="1">
      <c r="A234" s="5" t="s">
        <v>79</v>
      </c>
      <c r="B234" s="5" t="s">
        <v>15</v>
      </c>
      <c r="C234" s="5" t="s">
        <v>18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870937.4</v>
      </c>
    </row>
    <row r="235" spans="1:10" ht="15" customHeight="1">
      <c r="A235" s="5" t="s">
        <v>79</v>
      </c>
      <c r="B235" s="5" t="s">
        <v>15</v>
      </c>
      <c r="C235" s="5" t="s">
        <v>18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596969.27</v>
      </c>
    </row>
    <row r="236" spans="1:10" ht="15" customHeight="1">
      <c r="A236" s="5" t="s">
        <v>79</v>
      </c>
      <c r="B236" s="5" t="s">
        <v>15</v>
      </c>
      <c r="C236" s="5" t="s">
        <v>18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647512.85</v>
      </c>
    </row>
    <row r="237" spans="1:10" ht="15" customHeight="1">
      <c r="A237" s="5" t="s">
        <v>80</v>
      </c>
      <c r="B237" s="5" t="s">
        <v>27</v>
      </c>
      <c r="C237" s="5" t="s">
        <v>16</v>
      </c>
      <c r="D237" s="5">
        <v>0</v>
      </c>
      <c r="E237" s="5">
        <v>0</v>
      </c>
      <c r="F237" s="5">
        <v>1</v>
      </c>
      <c r="G237" s="5">
        <v>0</v>
      </c>
      <c r="H237" s="5">
        <v>0</v>
      </c>
      <c r="I237" s="5">
        <v>1</v>
      </c>
      <c r="J237" s="5">
        <v>658072.14</v>
      </c>
    </row>
    <row r="238" spans="1:10" ht="15" customHeight="1">
      <c r="A238" s="5" t="s">
        <v>80</v>
      </c>
      <c r="B238" s="5" t="s">
        <v>27</v>
      </c>
      <c r="C238" s="5" t="s">
        <v>16</v>
      </c>
      <c r="D238" s="5">
        <v>0</v>
      </c>
      <c r="E238" s="5">
        <v>0</v>
      </c>
      <c r="F238" s="5">
        <v>1</v>
      </c>
      <c r="G238" s="5">
        <v>0</v>
      </c>
      <c r="H238" s="5">
        <v>0</v>
      </c>
      <c r="I238" s="5">
        <v>1</v>
      </c>
      <c r="J238" s="5">
        <v>723305.11</v>
      </c>
    </row>
    <row r="239" spans="1:10" ht="15" customHeight="1">
      <c r="A239" s="5" t="s">
        <v>80</v>
      </c>
      <c r="B239" s="5" t="s">
        <v>27</v>
      </c>
      <c r="C239" s="5" t="s">
        <v>16</v>
      </c>
      <c r="D239" s="5">
        <v>0</v>
      </c>
      <c r="E239" s="5">
        <v>0</v>
      </c>
      <c r="F239" s="5">
        <v>1</v>
      </c>
      <c r="G239" s="5">
        <v>0</v>
      </c>
      <c r="H239" s="5">
        <v>0</v>
      </c>
      <c r="I239" s="5">
        <v>1</v>
      </c>
      <c r="J239" s="5">
        <v>640666.53</v>
      </c>
    </row>
    <row r="240" spans="1:10" ht="15" customHeight="1">
      <c r="A240" s="5" t="s">
        <v>80</v>
      </c>
      <c r="B240" s="5" t="s">
        <v>27</v>
      </c>
      <c r="C240" s="5" t="s">
        <v>16</v>
      </c>
      <c r="D240" s="5">
        <v>0</v>
      </c>
      <c r="E240" s="5">
        <v>0</v>
      </c>
      <c r="F240" s="5">
        <v>1</v>
      </c>
      <c r="G240" s="5">
        <v>0</v>
      </c>
      <c r="H240" s="5">
        <v>0</v>
      </c>
      <c r="I240" s="5">
        <v>1</v>
      </c>
      <c r="J240" s="5">
        <v>670629.48</v>
      </c>
    </row>
    <row r="241" spans="1:10" ht="15" customHeight="1">
      <c r="A241" s="5" t="s">
        <v>81</v>
      </c>
      <c r="B241" s="5" t="s">
        <v>27</v>
      </c>
      <c r="C241" s="5" t="s">
        <v>28</v>
      </c>
      <c r="D241" s="5">
        <v>0</v>
      </c>
      <c r="E241" s="5">
        <v>1</v>
      </c>
      <c r="F241" s="5">
        <v>0</v>
      </c>
      <c r="G241" s="5">
        <v>0</v>
      </c>
      <c r="H241" s="5">
        <v>0</v>
      </c>
      <c r="I241" s="5">
        <v>1</v>
      </c>
      <c r="J241" s="5">
        <v>721079.35</v>
      </c>
    </row>
    <row r="242" spans="1:10" ht="15" customHeight="1">
      <c r="A242" s="5" t="s">
        <v>81</v>
      </c>
      <c r="B242" s="5" t="s">
        <v>27</v>
      </c>
      <c r="C242" s="5" t="s">
        <v>28</v>
      </c>
      <c r="D242" s="5">
        <v>0</v>
      </c>
      <c r="E242" s="5">
        <v>1</v>
      </c>
      <c r="F242" s="5">
        <v>0</v>
      </c>
      <c r="G242" s="5">
        <v>0</v>
      </c>
      <c r="H242" s="5">
        <v>0</v>
      </c>
      <c r="I242" s="5">
        <v>1</v>
      </c>
      <c r="J242" s="5">
        <v>810355.02</v>
      </c>
    </row>
    <row r="243" spans="1:10" ht="15" customHeight="1">
      <c r="A243" s="5" t="s">
        <v>81</v>
      </c>
      <c r="B243" s="5" t="s">
        <v>27</v>
      </c>
      <c r="C243" s="5" t="s">
        <v>28</v>
      </c>
      <c r="D243" s="5">
        <v>0</v>
      </c>
      <c r="E243" s="5">
        <v>1</v>
      </c>
      <c r="F243" s="5">
        <v>0</v>
      </c>
      <c r="G243" s="5">
        <v>0</v>
      </c>
      <c r="H243" s="5">
        <v>0</v>
      </c>
      <c r="I243" s="5">
        <v>1</v>
      </c>
      <c r="J243" s="5">
        <v>761919.25</v>
      </c>
    </row>
    <row r="244" spans="1:10" ht="15" customHeight="1">
      <c r="A244" s="5" t="s">
        <v>81</v>
      </c>
      <c r="B244" s="5" t="s">
        <v>27</v>
      </c>
      <c r="C244" s="5" t="s">
        <v>28</v>
      </c>
      <c r="D244" s="5">
        <v>0</v>
      </c>
      <c r="E244" s="5">
        <v>1</v>
      </c>
      <c r="F244" s="5">
        <v>0</v>
      </c>
      <c r="G244" s="5">
        <v>0</v>
      </c>
      <c r="H244" s="5">
        <v>0</v>
      </c>
      <c r="I244" s="5">
        <v>1</v>
      </c>
      <c r="J244" s="5">
        <v>737070.18</v>
      </c>
    </row>
    <row r="245" spans="1:10" ht="15" customHeight="1">
      <c r="A245" s="5" t="s">
        <v>82</v>
      </c>
      <c r="B245" s="5" t="s">
        <v>24</v>
      </c>
      <c r="C245" s="5" t="s">
        <v>21</v>
      </c>
      <c r="D245" s="5">
        <v>1</v>
      </c>
      <c r="E245" s="5">
        <v>0</v>
      </c>
      <c r="F245" s="5">
        <v>0</v>
      </c>
      <c r="G245" s="5">
        <v>0</v>
      </c>
      <c r="H245" s="5">
        <v>1</v>
      </c>
      <c r="I245" s="5">
        <v>0</v>
      </c>
      <c r="J245" s="5">
        <v>776992.93</v>
      </c>
    </row>
    <row r="246" spans="1:10" ht="15" customHeight="1">
      <c r="A246" s="5" t="s">
        <v>82</v>
      </c>
      <c r="B246" s="5" t="s">
        <v>24</v>
      </c>
      <c r="C246" s="5" t="s">
        <v>21</v>
      </c>
      <c r="D246" s="5">
        <v>1</v>
      </c>
      <c r="E246" s="5">
        <v>0</v>
      </c>
      <c r="F246" s="5">
        <v>0</v>
      </c>
      <c r="G246" s="5">
        <v>0</v>
      </c>
      <c r="H246" s="5">
        <v>1</v>
      </c>
      <c r="I246" s="5">
        <v>0</v>
      </c>
      <c r="J246" s="5">
        <v>676337.41</v>
      </c>
    </row>
    <row r="247" spans="1:10" ht="15" customHeight="1">
      <c r="A247" s="5" t="s">
        <v>82</v>
      </c>
      <c r="B247" s="5" t="s">
        <v>24</v>
      </c>
      <c r="C247" s="5" t="s">
        <v>21</v>
      </c>
      <c r="D247" s="5">
        <v>1</v>
      </c>
      <c r="E247" s="5">
        <v>0</v>
      </c>
      <c r="F247" s="5">
        <v>0</v>
      </c>
      <c r="G247" s="5">
        <v>0</v>
      </c>
      <c r="H247" s="5">
        <v>1</v>
      </c>
      <c r="I247" s="5">
        <v>0</v>
      </c>
      <c r="J247" s="5">
        <v>828219.67</v>
      </c>
    </row>
    <row r="248" spans="1:10" ht="15" customHeight="1">
      <c r="A248" s="5" t="s">
        <v>82</v>
      </c>
      <c r="B248" s="5" t="s">
        <v>24</v>
      </c>
      <c r="C248" s="5" t="s">
        <v>21</v>
      </c>
      <c r="D248" s="5">
        <v>1</v>
      </c>
      <c r="E248" s="5">
        <v>0</v>
      </c>
      <c r="F248" s="5">
        <v>0</v>
      </c>
      <c r="G248" s="5">
        <v>0</v>
      </c>
      <c r="H248" s="5">
        <v>1</v>
      </c>
      <c r="I248" s="5">
        <v>0</v>
      </c>
      <c r="J248" s="5">
        <v>763159.92</v>
      </c>
    </row>
    <row r="249" spans="1:10" ht="15" customHeight="1">
      <c r="A249" s="5" t="s">
        <v>83</v>
      </c>
      <c r="B249" s="5" t="s">
        <v>15</v>
      </c>
      <c r="C249" s="5" t="s">
        <v>18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802001.68</v>
      </c>
    </row>
    <row r="250" spans="1:10" ht="15" customHeight="1">
      <c r="A250" s="5" t="s">
        <v>83</v>
      </c>
      <c r="B250" s="5" t="s">
        <v>15</v>
      </c>
      <c r="C250" s="5" t="s">
        <v>18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750471.34</v>
      </c>
    </row>
    <row r="251" spans="1:10" ht="15" customHeight="1">
      <c r="A251" s="5" t="s">
        <v>83</v>
      </c>
      <c r="B251" s="5" t="s">
        <v>15</v>
      </c>
      <c r="C251" s="5" t="s">
        <v>18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679230.86</v>
      </c>
    </row>
    <row r="252" spans="1:10" ht="15" customHeight="1">
      <c r="A252" s="5" t="s">
        <v>83</v>
      </c>
      <c r="B252" s="5" t="s">
        <v>15</v>
      </c>
      <c r="C252" s="5" t="s">
        <v>18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679888.74</v>
      </c>
    </row>
    <row r="253" spans="1:10" ht="15" customHeight="1">
      <c r="A253" s="5" t="s">
        <v>84</v>
      </c>
      <c r="B253" s="5" t="s">
        <v>20</v>
      </c>
      <c r="C253" s="5" t="s">
        <v>18</v>
      </c>
      <c r="D253" s="5">
        <v>0</v>
      </c>
      <c r="E253" s="5">
        <v>0</v>
      </c>
      <c r="F253" s="5">
        <v>0</v>
      </c>
      <c r="G253" s="5">
        <v>1</v>
      </c>
      <c r="H253" s="5">
        <v>0</v>
      </c>
      <c r="I253" s="5">
        <v>0</v>
      </c>
      <c r="J253" s="5">
        <v>606783.67000000004</v>
      </c>
    </row>
    <row r="254" spans="1:10" ht="15" customHeight="1">
      <c r="A254" s="5" t="s">
        <v>84</v>
      </c>
      <c r="B254" s="5" t="s">
        <v>20</v>
      </c>
      <c r="C254" s="5" t="s">
        <v>18</v>
      </c>
      <c r="D254" s="5">
        <v>0</v>
      </c>
      <c r="E254" s="5">
        <v>0</v>
      </c>
      <c r="F254" s="5">
        <v>0</v>
      </c>
      <c r="G254" s="5">
        <v>1</v>
      </c>
      <c r="H254" s="5">
        <v>0</v>
      </c>
      <c r="I254" s="5">
        <v>0</v>
      </c>
      <c r="J254" s="5">
        <v>642751.42000000004</v>
      </c>
    </row>
    <row r="255" spans="1:10" ht="15" customHeight="1">
      <c r="A255" s="5" t="s">
        <v>84</v>
      </c>
      <c r="B255" s="5" t="s">
        <v>20</v>
      </c>
      <c r="C255" s="5" t="s">
        <v>18</v>
      </c>
      <c r="D255" s="5">
        <v>0</v>
      </c>
      <c r="E255" s="5">
        <v>0</v>
      </c>
      <c r="F255" s="5">
        <v>0</v>
      </c>
      <c r="G255" s="5">
        <v>1</v>
      </c>
      <c r="H255" s="5">
        <v>0</v>
      </c>
      <c r="I255" s="5">
        <v>0</v>
      </c>
      <c r="J255" s="5">
        <v>647953.78</v>
      </c>
    </row>
    <row r="256" spans="1:10" ht="15" customHeight="1">
      <c r="A256" s="5" t="s">
        <v>84</v>
      </c>
      <c r="B256" s="5" t="s">
        <v>20</v>
      </c>
      <c r="C256" s="5" t="s">
        <v>18</v>
      </c>
      <c r="D256" s="5">
        <v>0</v>
      </c>
      <c r="E256" s="5">
        <v>0</v>
      </c>
      <c r="F256" s="5">
        <v>0</v>
      </c>
      <c r="G256" s="5">
        <v>1</v>
      </c>
      <c r="H256" s="5">
        <v>0</v>
      </c>
      <c r="I256" s="5">
        <v>0</v>
      </c>
      <c r="J256" s="5">
        <v>729440.45</v>
      </c>
    </row>
    <row r="257" spans="1:10" ht="15" customHeight="1">
      <c r="A257" s="5" t="s">
        <v>85</v>
      </c>
      <c r="B257" s="5" t="s">
        <v>24</v>
      </c>
      <c r="C257" s="5" t="s">
        <v>21</v>
      </c>
      <c r="D257" s="5">
        <v>1</v>
      </c>
      <c r="E257" s="5">
        <v>0</v>
      </c>
      <c r="F257" s="5">
        <v>0</v>
      </c>
      <c r="G257" s="5">
        <v>0</v>
      </c>
      <c r="H257" s="5">
        <v>1</v>
      </c>
      <c r="I257" s="5">
        <v>0</v>
      </c>
      <c r="J257" s="5">
        <v>764949</v>
      </c>
    </row>
    <row r="258" spans="1:10" ht="15" customHeight="1">
      <c r="A258" s="5" t="s">
        <v>85</v>
      </c>
      <c r="B258" s="5" t="s">
        <v>24</v>
      </c>
      <c r="C258" s="5" t="s">
        <v>21</v>
      </c>
      <c r="D258" s="5">
        <v>1</v>
      </c>
      <c r="E258" s="5">
        <v>0</v>
      </c>
      <c r="F258" s="5">
        <v>0</v>
      </c>
      <c r="G258" s="5">
        <v>0</v>
      </c>
      <c r="H258" s="5">
        <v>1</v>
      </c>
      <c r="I258" s="5">
        <v>0</v>
      </c>
      <c r="J258" s="5">
        <v>799046.94</v>
      </c>
    </row>
    <row r="259" spans="1:10" ht="15" customHeight="1">
      <c r="A259" s="5" t="s">
        <v>85</v>
      </c>
      <c r="B259" s="5" t="s">
        <v>24</v>
      </c>
      <c r="C259" s="5" t="s">
        <v>21</v>
      </c>
      <c r="D259" s="5">
        <v>1</v>
      </c>
      <c r="E259" s="5">
        <v>0</v>
      </c>
      <c r="F259" s="5">
        <v>0</v>
      </c>
      <c r="G259" s="5">
        <v>0</v>
      </c>
      <c r="H259" s="5">
        <v>1</v>
      </c>
      <c r="I259" s="5">
        <v>0</v>
      </c>
      <c r="J259" s="5">
        <v>720079.54</v>
      </c>
    </row>
    <row r="260" spans="1:10" ht="15" customHeight="1">
      <c r="A260" s="5" t="s">
        <v>85</v>
      </c>
      <c r="B260" s="5" t="s">
        <v>24</v>
      </c>
      <c r="C260" s="5" t="s">
        <v>21</v>
      </c>
      <c r="D260" s="5">
        <v>1</v>
      </c>
      <c r="E260" s="5">
        <v>0</v>
      </c>
      <c r="F260" s="5">
        <v>0</v>
      </c>
      <c r="G260" s="5">
        <v>0</v>
      </c>
      <c r="H260" s="5">
        <v>1</v>
      </c>
      <c r="I260" s="5">
        <v>0</v>
      </c>
      <c r="J260" s="5">
        <v>612390.14</v>
      </c>
    </row>
    <row r="261" spans="1:10" ht="15" customHeight="1">
      <c r="A261" s="5" t="s">
        <v>86</v>
      </c>
      <c r="B261" s="5" t="s">
        <v>24</v>
      </c>
      <c r="C261" s="5" t="s">
        <v>28</v>
      </c>
      <c r="D261" s="5">
        <v>0</v>
      </c>
      <c r="E261" s="5">
        <v>1</v>
      </c>
      <c r="F261" s="5">
        <v>0</v>
      </c>
      <c r="G261" s="5">
        <v>0</v>
      </c>
      <c r="H261" s="5">
        <v>1</v>
      </c>
      <c r="I261" s="5">
        <v>0</v>
      </c>
      <c r="J261" s="5">
        <v>840108.12</v>
      </c>
    </row>
    <row r="262" spans="1:10" ht="15" customHeight="1">
      <c r="A262" s="5" t="s">
        <v>86</v>
      </c>
      <c r="B262" s="5" t="s">
        <v>24</v>
      </c>
      <c r="C262" s="5" t="s">
        <v>28</v>
      </c>
      <c r="D262" s="5">
        <v>0</v>
      </c>
      <c r="E262" s="5">
        <v>1</v>
      </c>
      <c r="F262" s="5">
        <v>0</v>
      </c>
      <c r="G262" s="5">
        <v>0</v>
      </c>
      <c r="H262" s="5">
        <v>1</v>
      </c>
      <c r="I262" s="5">
        <v>0</v>
      </c>
      <c r="J262" s="5">
        <v>697888.09</v>
      </c>
    </row>
    <row r="263" spans="1:10" ht="15" customHeight="1">
      <c r="A263" s="5" t="s">
        <v>86</v>
      </c>
      <c r="B263" s="5" t="s">
        <v>24</v>
      </c>
      <c r="C263" s="5" t="s">
        <v>28</v>
      </c>
      <c r="D263" s="5">
        <v>0</v>
      </c>
      <c r="E263" s="5">
        <v>1</v>
      </c>
      <c r="F263" s="5">
        <v>0</v>
      </c>
      <c r="G263" s="5">
        <v>0</v>
      </c>
      <c r="H263" s="5">
        <v>1</v>
      </c>
      <c r="I263" s="5">
        <v>0</v>
      </c>
      <c r="J263" s="5">
        <v>746115.59</v>
      </c>
    </row>
    <row r="264" spans="1:10" ht="15" customHeight="1">
      <c r="A264" s="5" t="s">
        <v>86</v>
      </c>
      <c r="B264" s="5" t="s">
        <v>24</v>
      </c>
      <c r="C264" s="5" t="s">
        <v>28</v>
      </c>
      <c r="D264" s="5">
        <v>0</v>
      </c>
      <c r="E264" s="5">
        <v>1</v>
      </c>
      <c r="F264" s="5">
        <v>0</v>
      </c>
      <c r="G264" s="5">
        <v>0</v>
      </c>
      <c r="H264" s="5">
        <v>1</v>
      </c>
      <c r="I264" s="5">
        <v>0</v>
      </c>
      <c r="J264" s="5">
        <v>776110.32</v>
      </c>
    </row>
    <row r="265" spans="1:10" ht="15" customHeight="1">
      <c r="A265" s="5" t="s">
        <v>87</v>
      </c>
      <c r="B265" s="5" t="s">
        <v>27</v>
      </c>
      <c r="C265" s="5" t="s">
        <v>18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1</v>
      </c>
      <c r="J265" s="5">
        <v>528852.62</v>
      </c>
    </row>
    <row r="266" spans="1:10" ht="15" customHeight="1">
      <c r="A266" s="5" t="s">
        <v>87</v>
      </c>
      <c r="B266" s="5" t="s">
        <v>27</v>
      </c>
      <c r="C266" s="5" t="s">
        <v>18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1</v>
      </c>
      <c r="J266" s="5">
        <v>605751.32999999996</v>
      </c>
    </row>
    <row r="267" spans="1:10" ht="15" customHeight="1">
      <c r="A267" s="5" t="s">
        <v>87</v>
      </c>
      <c r="B267" s="5" t="s">
        <v>27</v>
      </c>
      <c r="C267" s="5" t="s">
        <v>18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1</v>
      </c>
      <c r="J267" s="5">
        <v>677640.65</v>
      </c>
    </row>
    <row r="268" spans="1:10" ht="15" customHeight="1">
      <c r="A268" s="5" t="s">
        <v>87</v>
      </c>
      <c r="B268" s="5" t="s">
        <v>27</v>
      </c>
      <c r="C268" s="5" t="s">
        <v>18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1</v>
      </c>
      <c r="J268" s="5">
        <v>636613.23</v>
      </c>
    </row>
    <row r="269" spans="1:10" ht="15" customHeight="1">
      <c r="A269" s="5" t="s">
        <v>88</v>
      </c>
      <c r="B269" s="5" t="s">
        <v>15</v>
      </c>
      <c r="C269" s="5" t="s">
        <v>18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708985.19</v>
      </c>
    </row>
    <row r="270" spans="1:10" ht="15" customHeight="1">
      <c r="A270" s="5" t="s">
        <v>88</v>
      </c>
      <c r="B270" s="5" t="s">
        <v>15</v>
      </c>
      <c r="C270" s="5" t="s">
        <v>18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767792.94</v>
      </c>
    </row>
    <row r="271" spans="1:10" ht="15" customHeight="1">
      <c r="A271" s="5" t="s">
        <v>88</v>
      </c>
      <c r="B271" s="5" t="s">
        <v>15</v>
      </c>
      <c r="C271" s="5" t="s">
        <v>18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745580.51</v>
      </c>
    </row>
    <row r="272" spans="1:10" ht="15" customHeight="1">
      <c r="A272" s="5" t="s">
        <v>88</v>
      </c>
      <c r="B272" s="5" t="s">
        <v>15</v>
      </c>
      <c r="C272" s="5" t="s">
        <v>18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762328.31</v>
      </c>
    </row>
    <row r="273" spans="1:10" ht="15" customHeight="1">
      <c r="A273" s="5" t="s">
        <v>89</v>
      </c>
      <c r="B273" s="5" t="s">
        <v>15</v>
      </c>
      <c r="C273" s="5" t="s">
        <v>28</v>
      </c>
      <c r="D273" s="5">
        <v>0</v>
      </c>
      <c r="E273" s="5">
        <v>1</v>
      </c>
      <c r="F273" s="5">
        <v>0</v>
      </c>
      <c r="G273" s="5">
        <v>0</v>
      </c>
      <c r="H273" s="5">
        <v>0</v>
      </c>
      <c r="I273" s="5">
        <v>0</v>
      </c>
      <c r="J273" s="5">
        <v>660633.99</v>
      </c>
    </row>
    <row r="274" spans="1:10" ht="15" customHeight="1">
      <c r="A274" s="5" t="s">
        <v>89</v>
      </c>
      <c r="B274" s="5" t="s">
        <v>15</v>
      </c>
      <c r="C274" s="5" t="s">
        <v>28</v>
      </c>
      <c r="D274" s="5">
        <v>0</v>
      </c>
      <c r="E274" s="5">
        <v>1</v>
      </c>
      <c r="F274" s="5">
        <v>0</v>
      </c>
      <c r="G274" s="5">
        <v>0</v>
      </c>
      <c r="H274" s="5">
        <v>0</v>
      </c>
      <c r="I274" s="5">
        <v>0</v>
      </c>
      <c r="J274" s="5">
        <v>739374.56</v>
      </c>
    </row>
    <row r="275" spans="1:10" ht="15" customHeight="1">
      <c r="A275" s="5" t="s">
        <v>89</v>
      </c>
      <c r="B275" s="5" t="s">
        <v>15</v>
      </c>
      <c r="C275" s="5" t="s">
        <v>28</v>
      </c>
      <c r="D275" s="5">
        <v>0</v>
      </c>
      <c r="E275" s="5">
        <v>1</v>
      </c>
      <c r="F275" s="5">
        <v>0</v>
      </c>
      <c r="G275" s="5">
        <v>0</v>
      </c>
      <c r="H275" s="5">
        <v>0</v>
      </c>
      <c r="I275" s="5">
        <v>0</v>
      </c>
      <c r="J275" s="5">
        <v>799756.46</v>
      </c>
    </row>
    <row r="276" spans="1:10" ht="15" customHeight="1">
      <c r="A276" s="5" t="s">
        <v>89</v>
      </c>
      <c r="B276" s="5" t="s">
        <v>15</v>
      </c>
      <c r="C276" s="5" t="s">
        <v>28</v>
      </c>
      <c r="D276" s="5">
        <v>0</v>
      </c>
      <c r="E276" s="5">
        <v>1</v>
      </c>
      <c r="F276" s="5">
        <v>0</v>
      </c>
      <c r="G276" s="5">
        <v>0</v>
      </c>
      <c r="H276" s="5">
        <v>0</v>
      </c>
      <c r="I276" s="5">
        <v>0</v>
      </c>
      <c r="J276" s="5">
        <v>593343</v>
      </c>
    </row>
    <row r="277" spans="1:10" ht="15" customHeight="1">
      <c r="A277" s="5" t="s">
        <v>90</v>
      </c>
      <c r="B277" s="5" t="s">
        <v>27</v>
      </c>
      <c r="C277" s="5" t="s">
        <v>18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1</v>
      </c>
      <c r="J277" s="5">
        <v>645039.97</v>
      </c>
    </row>
    <row r="278" spans="1:10" ht="15" customHeight="1">
      <c r="A278" s="5" t="s">
        <v>90</v>
      </c>
      <c r="B278" s="5" t="s">
        <v>27</v>
      </c>
      <c r="C278" s="5" t="s">
        <v>18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1</v>
      </c>
      <c r="J278" s="5">
        <v>561597.32999999996</v>
      </c>
    </row>
    <row r="279" spans="1:10" ht="15" customHeight="1">
      <c r="A279" s="5" t="s">
        <v>90</v>
      </c>
      <c r="B279" s="5" t="s">
        <v>27</v>
      </c>
      <c r="C279" s="5" t="s">
        <v>18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1</v>
      </c>
      <c r="J279" s="5">
        <v>635837.74</v>
      </c>
    </row>
    <row r="280" spans="1:10" ht="15" customHeight="1">
      <c r="A280" s="5" t="s">
        <v>90</v>
      </c>
      <c r="B280" s="5" t="s">
        <v>27</v>
      </c>
      <c r="C280" s="5" t="s">
        <v>18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1</v>
      </c>
      <c r="J280" s="5">
        <v>686737.87</v>
      </c>
    </row>
    <row r="281" spans="1:10" ht="15" customHeight="1">
      <c r="A281" s="5" t="s">
        <v>91</v>
      </c>
      <c r="B281" s="5" t="s">
        <v>24</v>
      </c>
      <c r="C281" s="5" t="s">
        <v>16</v>
      </c>
      <c r="D281" s="5">
        <v>0</v>
      </c>
      <c r="E281" s="5">
        <v>0</v>
      </c>
      <c r="F281" s="5">
        <v>1</v>
      </c>
      <c r="G281" s="5">
        <v>0</v>
      </c>
      <c r="H281" s="5">
        <v>1</v>
      </c>
      <c r="I281" s="5">
        <v>0</v>
      </c>
      <c r="J281" s="5">
        <v>673076.34</v>
      </c>
    </row>
    <row r="282" spans="1:10" ht="15" customHeight="1">
      <c r="A282" s="5" t="s">
        <v>91</v>
      </c>
      <c r="B282" s="5" t="s">
        <v>24</v>
      </c>
      <c r="C282" s="5" t="s">
        <v>16</v>
      </c>
      <c r="D282" s="5">
        <v>0</v>
      </c>
      <c r="E282" s="5">
        <v>0</v>
      </c>
      <c r="F282" s="5">
        <v>1</v>
      </c>
      <c r="G282" s="5">
        <v>0</v>
      </c>
      <c r="H282" s="5">
        <v>1</v>
      </c>
      <c r="I282" s="5">
        <v>0</v>
      </c>
      <c r="J282" s="5">
        <v>738548.42</v>
      </c>
    </row>
    <row r="283" spans="1:10" ht="15" customHeight="1">
      <c r="A283" s="5" t="s">
        <v>91</v>
      </c>
      <c r="B283" s="5" t="s">
        <v>24</v>
      </c>
      <c r="C283" s="5" t="s">
        <v>16</v>
      </c>
      <c r="D283" s="5">
        <v>0</v>
      </c>
      <c r="E283" s="5">
        <v>0</v>
      </c>
      <c r="F283" s="5">
        <v>1</v>
      </c>
      <c r="G283" s="5">
        <v>0</v>
      </c>
      <c r="H283" s="5">
        <v>1</v>
      </c>
      <c r="I283" s="5">
        <v>0</v>
      </c>
      <c r="J283" s="5">
        <v>756619.77</v>
      </c>
    </row>
    <row r="284" spans="1:10" ht="15" customHeight="1">
      <c r="A284" s="5" t="s">
        <v>91</v>
      </c>
      <c r="B284" s="5" t="s">
        <v>24</v>
      </c>
      <c r="C284" s="5" t="s">
        <v>16</v>
      </c>
      <c r="D284" s="5">
        <v>0</v>
      </c>
      <c r="E284" s="5">
        <v>0</v>
      </c>
      <c r="F284" s="5">
        <v>1</v>
      </c>
      <c r="G284" s="5">
        <v>0</v>
      </c>
      <c r="H284" s="5">
        <v>1</v>
      </c>
      <c r="I284" s="5">
        <v>0</v>
      </c>
      <c r="J284" s="5">
        <v>761122.42</v>
      </c>
    </row>
    <row r="285" spans="1:10" ht="15" customHeight="1">
      <c r="A285" s="5" t="s">
        <v>92</v>
      </c>
      <c r="B285" s="5" t="s">
        <v>24</v>
      </c>
      <c r="C285" s="5" t="s">
        <v>18</v>
      </c>
      <c r="D285" s="5">
        <v>0</v>
      </c>
      <c r="E285" s="5">
        <v>0</v>
      </c>
      <c r="F285" s="5">
        <v>0</v>
      </c>
      <c r="G285" s="5">
        <v>0</v>
      </c>
      <c r="H285" s="5">
        <v>1</v>
      </c>
      <c r="I285" s="5">
        <v>0</v>
      </c>
      <c r="J285" s="5">
        <v>524899.56999999995</v>
      </c>
    </row>
    <row r="286" spans="1:10" ht="15" customHeight="1">
      <c r="A286" s="5" t="s">
        <v>92</v>
      </c>
      <c r="B286" s="5" t="s">
        <v>24</v>
      </c>
      <c r="C286" s="5" t="s">
        <v>18</v>
      </c>
      <c r="D286" s="5">
        <v>0</v>
      </c>
      <c r="E286" s="5">
        <v>0</v>
      </c>
      <c r="F286" s="5">
        <v>0</v>
      </c>
      <c r="G286" s="5">
        <v>0</v>
      </c>
      <c r="H286" s="5">
        <v>1</v>
      </c>
      <c r="I286" s="5">
        <v>0</v>
      </c>
      <c r="J286" s="5">
        <v>555557.77</v>
      </c>
    </row>
    <row r="287" spans="1:10" ht="15" customHeight="1">
      <c r="A287" s="5" t="s">
        <v>92</v>
      </c>
      <c r="B287" s="5" t="s">
        <v>24</v>
      </c>
      <c r="C287" s="5" t="s">
        <v>18</v>
      </c>
      <c r="D287" s="5">
        <v>0</v>
      </c>
      <c r="E287" s="5">
        <v>0</v>
      </c>
      <c r="F287" s="5">
        <v>0</v>
      </c>
      <c r="G287" s="5">
        <v>0</v>
      </c>
      <c r="H287" s="5">
        <v>1</v>
      </c>
      <c r="I287" s="5">
        <v>0</v>
      </c>
      <c r="J287" s="5">
        <v>714083.68</v>
      </c>
    </row>
    <row r="288" spans="1:10" ht="15" customHeight="1">
      <c r="A288" s="5" t="s">
        <v>92</v>
      </c>
      <c r="B288" s="5" t="s">
        <v>24</v>
      </c>
      <c r="C288" s="5" t="s">
        <v>18</v>
      </c>
      <c r="D288" s="5">
        <v>0</v>
      </c>
      <c r="E288" s="5">
        <v>0</v>
      </c>
      <c r="F288" s="5">
        <v>0</v>
      </c>
      <c r="G288" s="5">
        <v>0</v>
      </c>
      <c r="H288" s="5">
        <v>1</v>
      </c>
      <c r="I288" s="5">
        <v>0</v>
      </c>
      <c r="J288" s="5">
        <v>497439.82</v>
      </c>
    </row>
    <row r="289" spans="1:10" ht="15" customHeight="1">
      <c r="A289" s="5" t="s">
        <v>93</v>
      </c>
      <c r="B289" s="5" t="s">
        <v>27</v>
      </c>
      <c r="C289" s="5" t="s">
        <v>16</v>
      </c>
      <c r="D289" s="5">
        <v>0</v>
      </c>
      <c r="E289" s="5">
        <v>0</v>
      </c>
      <c r="F289" s="5">
        <v>1</v>
      </c>
      <c r="G289" s="5">
        <v>0</v>
      </c>
      <c r="H289" s="5">
        <v>0</v>
      </c>
      <c r="I289" s="5">
        <v>1</v>
      </c>
      <c r="J289" s="5">
        <v>636775.66</v>
      </c>
    </row>
    <row r="290" spans="1:10" ht="15" customHeight="1">
      <c r="A290" s="5" t="s">
        <v>93</v>
      </c>
      <c r="B290" s="5" t="s">
        <v>27</v>
      </c>
      <c r="C290" s="5" t="s">
        <v>16</v>
      </c>
      <c r="D290" s="5">
        <v>0</v>
      </c>
      <c r="E290" s="5">
        <v>0</v>
      </c>
      <c r="F290" s="5">
        <v>1</v>
      </c>
      <c r="G290" s="5">
        <v>0</v>
      </c>
      <c r="H290" s="5">
        <v>0</v>
      </c>
      <c r="I290" s="5">
        <v>1</v>
      </c>
      <c r="J290" s="5">
        <v>633009.53</v>
      </c>
    </row>
    <row r="291" spans="1:10" ht="15" customHeight="1">
      <c r="A291" s="5" t="s">
        <v>93</v>
      </c>
      <c r="B291" s="5" t="s">
        <v>27</v>
      </c>
      <c r="C291" s="5" t="s">
        <v>16</v>
      </c>
      <c r="D291" s="5">
        <v>0</v>
      </c>
      <c r="E291" s="5">
        <v>0</v>
      </c>
      <c r="F291" s="5">
        <v>1</v>
      </c>
      <c r="G291" s="5">
        <v>0</v>
      </c>
      <c r="H291" s="5">
        <v>0</v>
      </c>
      <c r="I291" s="5">
        <v>1</v>
      </c>
      <c r="J291" s="5">
        <v>609949</v>
      </c>
    </row>
    <row r="292" spans="1:10" ht="15" customHeight="1">
      <c r="A292" s="5" t="s">
        <v>93</v>
      </c>
      <c r="B292" s="5" t="s">
        <v>27</v>
      </c>
      <c r="C292" s="5" t="s">
        <v>16</v>
      </c>
      <c r="D292" s="5">
        <v>0</v>
      </c>
      <c r="E292" s="5">
        <v>0</v>
      </c>
      <c r="F292" s="5">
        <v>1</v>
      </c>
      <c r="G292" s="5">
        <v>0</v>
      </c>
      <c r="H292" s="5">
        <v>0</v>
      </c>
      <c r="I292" s="5">
        <v>1</v>
      </c>
      <c r="J292" s="5">
        <v>548103.69999999995</v>
      </c>
    </row>
    <row r="293" spans="1:10" ht="15" customHeight="1">
      <c r="A293" s="5" t="s">
        <v>94</v>
      </c>
      <c r="B293" s="5" t="s">
        <v>15</v>
      </c>
      <c r="C293" s="5" t="s">
        <v>16</v>
      </c>
      <c r="D293" s="5">
        <v>0</v>
      </c>
      <c r="E293" s="5">
        <v>0</v>
      </c>
      <c r="F293" s="5">
        <v>1</v>
      </c>
      <c r="G293" s="5">
        <v>0</v>
      </c>
      <c r="H293" s="5">
        <v>0</v>
      </c>
      <c r="I293" s="5">
        <v>0</v>
      </c>
      <c r="J293" s="5">
        <v>729424.42</v>
      </c>
    </row>
    <row r="294" spans="1:10" ht="15" customHeight="1">
      <c r="A294" s="5" t="s">
        <v>94</v>
      </c>
      <c r="B294" s="5" t="s">
        <v>15</v>
      </c>
      <c r="C294" s="5" t="s">
        <v>16</v>
      </c>
      <c r="D294" s="5">
        <v>0</v>
      </c>
      <c r="E294" s="5">
        <v>0</v>
      </c>
      <c r="F294" s="5">
        <v>1</v>
      </c>
      <c r="G294" s="5">
        <v>0</v>
      </c>
      <c r="H294" s="5">
        <v>0</v>
      </c>
      <c r="I294" s="5">
        <v>0</v>
      </c>
      <c r="J294" s="5">
        <v>696261.49</v>
      </c>
    </row>
    <row r="295" spans="1:10" ht="15" customHeight="1">
      <c r="A295" s="5" t="s">
        <v>94</v>
      </c>
      <c r="B295" s="5" t="s">
        <v>15</v>
      </c>
      <c r="C295" s="5" t="s">
        <v>16</v>
      </c>
      <c r="D295" s="5">
        <v>0</v>
      </c>
      <c r="E295" s="5">
        <v>0</v>
      </c>
      <c r="F295" s="5">
        <v>1</v>
      </c>
      <c r="G295" s="5">
        <v>0</v>
      </c>
      <c r="H295" s="5">
        <v>0</v>
      </c>
      <c r="I295" s="5">
        <v>0</v>
      </c>
      <c r="J295" s="5">
        <v>813316.71</v>
      </c>
    </row>
    <row r="296" spans="1:10" ht="15" customHeight="1">
      <c r="A296" s="5" t="s">
        <v>94</v>
      </c>
      <c r="B296" s="5" t="s">
        <v>15</v>
      </c>
      <c r="C296" s="5" t="s">
        <v>16</v>
      </c>
      <c r="D296" s="5">
        <v>0</v>
      </c>
      <c r="E296" s="5">
        <v>0</v>
      </c>
      <c r="F296" s="5">
        <v>1</v>
      </c>
      <c r="G296" s="5">
        <v>0</v>
      </c>
      <c r="H296" s="5">
        <v>0</v>
      </c>
      <c r="I296" s="5">
        <v>0</v>
      </c>
      <c r="J296" s="5">
        <v>702068.92</v>
      </c>
    </row>
    <row r="297" spans="1:10" ht="15" customHeight="1">
      <c r="A297" s="5" t="s">
        <v>95</v>
      </c>
      <c r="B297" s="5" t="s">
        <v>27</v>
      </c>
      <c r="C297" s="5" t="s">
        <v>18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1</v>
      </c>
      <c r="J297" s="5">
        <v>546223.69999999995</v>
      </c>
    </row>
    <row r="298" spans="1:10" ht="15" customHeight="1">
      <c r="A298" s="5" t="s">
        <v>95</v>
      </c>
      <c r="B298" s="5" t="s">
        <v>27</v>
      </c>
      <c r="C298" s="5" t="s">
        <v>18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1</v>
      </c>
      <c r="J298" s="5">
        <v>533121.26</v>
      </c>
    </row>
    <row r="299" spans="1:10" ht="15" customHeight="1">
      <c r="A299" s="5" t="s">
        <v>95</v>
      </c>
      <c r="B299" s="5" t="s">
        <v>27</v>
      </c>
      <c r="C299" s="5" t="s">
        <v>18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1</v>
      </c>
      <c r="J299" s="5">
        <v>498970.32</v>
      </c>
    </row>
    <row r="300" spans="1:10" ht="15" customHeight="1">
      <c r="A300" s="5" t="s">
        <v>95</v>
      </c>
      <c r="B300" s="5" t="s">
        <v>27</v>
      </c>
      <c r="C300" s="5" t="s">
        <v>18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1</v>
      </c>
      <c r="J300" s="5">
        <v>487738.26</v>
      </c>
    </row>
    <row r="301" spans="1:10" ht="15" customHeight="1">
      <c r="A301" s="5" t="s">
        <v>96</v>
      </c>
      <c r="B301" s="5" t="s">
        <v>27</v>
      </c>
      <c r="C301" s="5" t="s">
        <v>18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1</v>
      </c>
      <c r="J301" s="5">
        <v>668459.37</v>
      </c>
    </row>
    <row r="302" spans="1:10" ht="15" customHeight="1">
      <c r="A302" s="5" t="s">
        <v>96</v>
      </c>
      <c r="B302" s="5" t="s">
        <v>27</v>
      </c>
      <c r="C302" s="5" t="s">
        <v>18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1</v>
      </c>
      <c r="J302" s="5">
        <v>763162.45</v>
      </c>
    </row>
    <row r="303" spans="1:10" ht="15" customHeight="1">
      <c r="A303" s="5" t="s">
        <v>96</v>
      </c>
      <c r="B303" s="5" t="s">
        <v>27</v>
      </c>
      <c r="C303" s="5" t="s">
        <v>18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1</v>
      </c>
      <c r="J303" s="5">
        <v>599017.32999999996</v>
      </c>
    </row>
    <row r="304" spans="1:10" ht="15" customHeight="1">
      <c r="A304" s="5" t="s">
        <v>96</v>
      </c>
      <c r="B304" s="5" t="s">
        <v>27</v>
      </c>
      <c r="C304" s="5" t="s">
        <v>18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1</v>
      </c>
      <c r="J304" s="5">
        <v>401582.58</v>
      </c>
    </row>
    <row r="305" spans="1:10" ht="15" customHeight="1">
      <c r="A305" s="5" t="s">
        <v>97</v>
      </c>
      <c r="B305" s="5" t="s">
        <v>20</v>
      </c>
      <c r="C305" s="5" t="s">
        <v>28</v>
      </c>
      <c r="D305" s="5">
        <v>0</v>
      </c>
      <c r="E305" s="5">
        <v>1</v>
      </c>
      <c r="F305" s="5">
        <v>0</v>
      </c>
      <c r="G305" s="5">
        <v>1</v>
      </c>
      <c r="H305" s="5">
        <v>0</v>
      </c>
      <c r="I305" s="5">
        <v>0</v>
      </c>
      <c r="J305" s="5">
        <v>703812.99</v>
      </c>
    </row>
    <row r="306" spans="1:10" ht="15" customHeight="1">
      <c r="A306" s="5" t="s">
        <v>97</v>
      </c>
      <c r="B306" s="5" t="s">
        <v>20</v>
      </c>
      <c r="C306" s="5" t="s">
        <v>28</v>
      </c>
      <c r="D306" s="5">
        <v>0</v>
      </c>
      <c r="E306" s="5">
        <v>1</v>
      </c>
      <c r="F306" s="5">
        <v>0</v>
      </c>
      <c r="G306" s="5">
        <v>1</v>
      </c>
      <c r="H306" s="5">
        <v>0</v>
      </c>
      <c r="I306" s="5">
        <v>0</v>
      </c>
      <c r="J306" s="5">
        <v>724346.73</v>
      </c>
    </row>
    <row r="307" spans="1:10" ht="15" customHeight="1">
      <c r="A307" s="5" t="s">
        <v>97</v>
      </c>
      <c r="B307" s="5" t="s">
        <v>20</v>
      </c>
      <c r="C307" s="5" t="s">
        <v>28</v>
      </c>
      <c r="D307" s="5">
        <v>0</v>
      </c>
      <c r="E307" s="5">
        <v>1</v>
      </c>
      <c r="F307" s="5">
        <v>0</v>
      </c>
      <c r="G307" s="5">
        <v>1</v>
      </c>
      <c r="H307" s="5">
        <v>0</v>
      </c>
      <c r="I307" s="5">
        <v>0</v>
      </c>
      <c r="J307" s="5">
        <v>730890.01</v>
      </c>
    </row>
    <row r="308" spans="1:10" ht="15" customHeight="1">
      <c r="A308" s="5" t="s">
        <v>97</v>
      </c>
      <c r="B308" s="5" t="s">
        <v>20</v>
      </c>
      <c r="C308" s="5" t="s">
        <v>28</v>
      </c>
      <c r="D308" s="5">
        <v>0</v>
      </c>
      <c r="E308" s="5">
        <v>1</v>
      </c>
      <c r="F308" s="5">
        <v>0</v>
      </c>
      <c r="G308" s="5">
        <v>1</v>
      </c>
      <c r="H308" s="5">
        <v>0</v>
      </c>
      <c r="I308" s="5">
        <v>0</v>
      </c>
      <c r="J308" s="5">
        <v>780580.95</v>
      </c>
    </row>
    <row r="309" spans="1:10" ht="15" customHeight="1">
      <c r="A309" s="5" t="s">
        <v>98</v>
      </c>
      <c r="B309" s="5" t="s">
        <v>24</v>
      </c>
      <c r="C309" s="5" t="s">
        <v>16</v>
      </c>
      <c r="D309" s="5">
        <v>0</v>
      </c>
      <c r="E309" s="5">
        <v>0</v>
      </c>
      <c r="F309" s="5">
        <v>1</v>
      </c>
      <c r="G309" s="5">
        <v>0</v>
      </c>
      <c r="H309" s="5">
        <v>1</v>
      </c>
      <c r="I309" s="5">
        <v>0</v>
      </c>
      <c r="J309" s="5">
        <v>727957.48</v>
      </c>
    </row>
    <row r="310" spans="1:10" ht="15" customHeight="1">
      <c r="A310" s="5" t="s">
        <v>98</v>
      </c>
      <c r="B310" s="5" t="s">
        <v>24</v>
      </c>
      <c r="C310" s="5" t="s">
        <v>16</v>
      </c>
      <c r="D310" s="5">
        <v>0</v>
      </c>
      <c r="E310" s="5">
        <v>0</v>
      </c>
      <c r="F310" s="5">
        <v>1</v>
      </c>
      <c r="G310" s="5">
        <v>0</v>
      </c>
      <c r="H310" s="5">
        <v>1</v>
      </c>
      <c r="I310" s="5">
        <v>0</v>
      </c>
      <c r="J310" s="5">
        <v>538376</v>
      </c>
    </row>
    <row r="311" spans="1:10" ht="15" customHeight="1">
      <c r="A311" s="5" t="s">
        <v>98</v>
      </c>
      <c r="B311" s="5" t="s">
        <v>24</v>
      </c>
      <c r="C311" s="5" t="s">
        <v>16</v>
      </c>
      <c r="D311" s="5">
        <v>0</v>
      </c>
      <c r="E311" s="5">
        <v>0</v>
      </c>
      <c r="F311" s="5">
        <v>1</v>
      </c>
      <c r="G311" s="5">
        <v>0</v>
      </c>
      <c r="H311" s="5">
        <v>1</v>
      </c>
      <c r="I311" s="5">
        <v>0</v>
      </c>
      <c r="J311" s="5">
        <v>665342.49</v>
      </c>
    </row>
    <row r="312" spans="1:10" ht="15" customHeight="1">
      <c r="A312" s="5" t="s">
        <v>98</v>
      </c>
      <c r="B312" s="5" t="s">
        <v>24</v>
      </c>
      <c r="C312" s="5" t="s">
        <v>16</v>
      </c>
      <c r="D312" s="5">
        <v>0</v>
      </c>
      <c r="E312" s="5">
        <v>0</v>
      </c>
      <c r="F312" s="5">
        <v>1</v>
      </c>
      <c r="G312" s="5">
        <v>0</v>
      </c>
      <c r="H312" s="5">
        <v>1</v>
      </c>
      <c r="I312" s="5">
        <v>0</v>
      </c>
      <c r="J312" s="5">
        <v>651164.18000000005</v>
      </c>
    </row>
    <row r="313" spans="1:10" ht="15" customHeight="1">
      <c r="A313" s="5" t="s">
        <v>99</v>
      </c>
      <c r="B313" s="5" t="s">
        <v>24</v>
      </c>
      <c r="C313" s="5" t="s">
        <v>18</v>
      </c>
      <c r="D313" s="5">
        <v>0</v>
      </c>
      <c r="E313" s="5">
        <v>0</v>
      </c>
      <c r="F313" s="5">
        <v>0</v>
      </c>
      <c r="G313" s="5">
        <v>0</v>
      </c>
      <c r="H313" s="5">
        <v>1</v>
      </c>
      <c r="I313" s="5">
        <v>0</v>
      </c>
      <c r="J313" s="5">
        <v>628538.30000000005</v>
      </c>
    </row>
    <row r="314" spans="1:10" ht="15" customHeight="1">
      <c r="A314" s="5" t="s">
        <v>99</v>
      </c>
      <c r="B314" s="5" t="s">
        <v>24</v>
      </c>
      <c r="C314" s="5" t="s">
        <v>18</v>
      </c>
      <c r="D314" s="5">
        <v>0</v>
      </c>
      <c r="E314" s="5">
        <v>0</v>
      </c>
      <c r="F314" s="5">
        <v>0</v>
      </c>
      <c r="G314" s="5">
        <v>0</v>
      </c>
      <c r="H314" s="5">
        <v>1</v>
      </c>
      <c r="I314" s="5">
        <v>0</v>
      </c>
      <c r="J314" s="5">
        <v>536524.84</v>
      </c>
    </row>
    <row r="315" spans="1:10" ht="15" customHeight="1">
      <c r="A315" s="5" t="s">
        <v>99</v>
      </c>
      <c r="B315" s="5" t="s">
        <v>24</v>
      </c>
      <c r="C315" s="5" t="s">
        <v>18</v>
      </c>
      <c r="D315" s="5">
        <v>0</v>
      </c>
      <c r="E315" s="5">
        <v>0</v>
      </c>
      <c r="F315" s="5">
        <v>0</v>
      </c>
      <c r="G315" s="5">
        <v>0</v>
      </c>
      <c r="H315" s="5">
        <v>1</v>
      </c>
      <c r="I315" s="5">
        <v>0</v>
      </c>
      <c r="J315" s="5">
        <v>621677.30000000005</v>
      </c>
    </row>
    <row r="316" spans="1:10" ht="15" customHeight="1">
      <c r="A316" s="5" t="s">
        <v>99</v>
      </c>
      <c r="B316" s="5" t="s">
        <v>24</v>
      </c>
      <c r="C316" s="5" t="s">
        <v>18</v>
      </c>
      <c r="D316" s="5">
        <v>0</v>
      </c>
      <c r="E316" s="5">
        <v>0</v>
      </c>
      <c r="F316" s="5">
        <v>0</v>
      </c>
      <c r="G316" s="5">
        <v>0</v>
      </c>
      <c r="H316" s="5">
        <v>1</v>
      </c>
      <c r="I316" s="5">
        <v>0</v>
      </c>
      <c r="J316" s="5">
        <v>771129.07</v>
      </c>
    </row>
    <row r="317" spans="1:10" ht="15" customHeight="1">
      <c r="A317" s="5" t="s">
        <v>100</v>
      </c>
      <c r="B317" s="5" t="s">
        <v>20</v>
      </c>
      <c r="C317" s="5" t="s">
        <v>16</v>
      </c>
      <c r="D317" s="5">
        <v>0</v>
      </c>
      <c r="E317" s="5">
        <v>0</v>
      </c>
      <c r="F317" s="5">
        <v>1</v>
      </c>
      <c r="G317" s="5">
        <v>1</v>
      </c>
      <c r="H317" s="5">
        <v>0</v>
      </c>
      <c r="I317" s="5">
        <v>0</v>
      </c>
      <c r="J317" s="5">
        <v>702052.47</v>
      </c>
    </row>
    <row r="318" spans="1:10" ht="15" customHeight="1">
      <c r="A318" s="5" t="s">
        <v>100</v>
      </c>
      <c r="B318" s="5" t="s">
        <v>20</v>
      </c>
      <c r="C318" s="5" t="s">
        <v>16</v>
      </c>
      <c r="D318" s="5">
        <v>0</v>
      </c>
      <c r="E318" s="5">
        <v>0</v>
      </c>
      <c r="F318" s="5">
        <v>1</v>
      </c>
      <c r="G318" s="5">
        <v>1</v>
      </c>
      <c r="H318" s="5">
        <v>0</v>
      </c>
      <c r="I318" s="5">
        <v>0</v>
      </c>
      <c r="J318" s="5">
        <v>688368.46</v>
      </c>
    </row>
    <row r="319" spans="1:10" ht="15" customHeight="1">
      <c r="A319" s="5" t="s">
        <v>100</v>
      </c>
      <c r="B319" s="5" t="s">
        <v>20</v>
      </c>
      <c r="C319" s="5" t="s">
        <v>16</v>
      </c>
      <c r="D319" s="5">
        <v>0</v>
      </c>
      <c r="E319" s="5">
        <v>0</v>
      </c>
      <c r="F319" s="5">
        <v>1</v>
      </c>
      <c r="G319" s="5">
        <v>1</v>
      </c>
      <c r="H319" s="5">
        <v>0</v>
      </c>
      <c r="I319" s="5">
        <v>0</v>
      </c>
      <c r="J319" s="5">
        <v>712375.77</v>
      </c>
    </row>
    <row r="320" spans="1:10" ht="15" customHeight="1">
      <c r="A320" s="5" t="s">
        <v>100</v>
      </c>
      <c r="B320" s="5" t="s">
        <v>20</v>
      </c>
      <c r="C320" s="5" t="s">
        <v>16</v>
      </c>
      <c r="D320" s="5">
        <v>0</v>
      </c>
      <c r="E320" s="5">
        <v>0</v>
      </c>
      <c r="F320" s="5">
        <v>1</v>
      </c>
      <c r="G320" s="5">
        <v>1</v>
      </c>
      <c r="H320" s="5">
        <v>0</v>
      </c>
      <c r="I320" s="5">
        <v>0</v>
      </c>
      <c r="J320" s="5">
        <v>844710.67</v>
      </c>
    </row>
    <row r="321" spans="1:10" ht="15" customHeight="1">
      <c r="A321" s="5" t="s">
        <v>101</v>
      </c>
      <c r="B321" s="5" t="s">
        <v>15</v>
      </c>
      <c r="C321" s="5" t="s">
        <v>16</v>
      </c>
      <c r="D321" s="5">
        <v>0</v>
      </c>
      <c r="E321" s="5">
        <v>0</v>
      </c>
      <c r="F321" s="5">
        <v>1</v>
      </c>
      <c r="G321" s="5">
        <v>0</v>
      </c>
      <c r="H321" s="5">
        <v>0</v>
      </c>
      <c r="I321" s="5">
        <v>0</v>
      </c>
      <c r="J321" s="5">
        <v>620264.19999999995</v>
      </c>
    </row>
    <row r="322" spans="1:10" ht="15" customHeight="1">
      <c r="A322" s="5" t="s">
        <v>101</v>
      </c>
      <c r="B322" s="5" t="s">
        <v>15</v>
      </c>
      <c r="C322" s="5" t="s">
        <v>16</v>
      </c>
      <c r="D322" s="5">
        <v>0</v>
      </c>
      <c r="E322" s="5">
        <v>0</v>
      </c>
      <c r="F322" s="5">
        <v>1</v>
      </c>
      <c r="G322" s="5">
        <v>0</v>
      </c>
      <c r="H322" s="5">
        <v>0</v>
      </c>
      <c r="I322" s="5">
        <v>0</v>
      </c>
      <c r="J322" s="5">
        <v>536845.42000000004</v>
      </c>
    </row>
    <row r="323" spans="1:10" ht="15" customHeight="1">
      <c r="A323" s="5" t="s">
        <v>101</v>
      </c>
      <c r="B323" s="5" t="s">
        <v>15</v>
      </c>
      <c r="C323" s="5" t="s">
        <v>16</v>
      </c>
      <c r="D323" s="5">
        <v>0</v>
      </c>
      <c r="E323" s="5">
        <v>0</v>
      </c>
      <c r="F323" s="5">
        <v>1</v>
      </c>
      <c r="G323" s="5">
        <v>0</v>
      </c>
      <c r="H323" s="5">
        <v>0</v>
      </c>
      <c r="I323" s="5">
        <v>0</v>
      </c>
      <c r="J323" s="5">
        <v>726776.22</v>
      </c>
    </row>
    <row r="324" spans="1:10" ht="15" customHeight="1">
      <c r="A324" s="5" t="s">
        <v>101</v>
      </c>
      <c r="B324" s="5" t="s">
        <v>15</v>
      </c>
      <c r="C324" s="5" t="s">
        <v>16</v>
      </c>
      <c r="D324" s="5">
        <v>0</v>
      </c>
      <c r="E324" s="5">
        <v>0</v>
      </c>
      <c r="F324" s="5">
        <v>1</v>
      </c>
      <c r="G324" s="5">
        <v>0</v>
      </c>
      <c r="H324" s="5">
        <v>0</v>
      </c>
      <c r="I324" s="5">
        <v>0</v>
      </c>
      <c r="J324" s="5">
        <v>559660.84</v>
      </c>
    </row>
  </sheetData>
  <mergeCells count="1"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G16" sqref="G16"/>
    </sheetView>
  </sheetViews>
  <sheetFormatPr defaultColWidth="8.6640625" defaultRowHeight="14.4"/>
  <cols>
    <col min="1" max="1" width="28" style="1" customWidth="1"/>
    <col min="2" max="2" width="16" style="1" customWidth="1"/>
    <col min="3" max="6" width="6" style="1" customWidth="1"/>
  </cols>
  <sheetData>
    <row r="1" spans="1:6" ht="15.75" customHeight="1">
      <c r="A1" s="2" t="s">
        <v>112</v>
      </c>
    </row>
    <row r="2" spans="1:6" ht="15" customHeight="1">
      <c r="A2" s="37"/>
      <c r="B2" s="37"/>
      <c r="C2" s="37"/>
      <c r="D2" s="37"/>
      <c r="E2" s="37"/>
      <c r="F2" s="37"/>
    </row>
    <row r="4" spans="1:6" ht="15" customHeight="1">
      <c r="A4" s="7" t="s">
        <v>113</v>
      </c>
    </row>
    <row r="5" spans="1:6" ht="15" customHeight="1">
      <c r="A5" s="8" t="s">
        <v>114</v>
      </c>
      <c r="B5" s="9" t="s">
        <v>5</v>
      </c>
    </row>
    <row r="6" spans="1:6" ht="15" customHeight="1">
      <c r="A6" s="8" t="s">
        <v>115</v>
      </c>
      <c r="B6" s="10">
        <f>SLOPE(cleaned_data!$M$5:$M$324,cleaned_data!$F$5:$F$324)</f>
        <v>35.678031072640493</v>
      </c>
    </row>
    <row r="7" spans="1:6" ht="15" customHeight="1">
      <c r="A7" s="8" t="s">
        <v>116</v>
      </c>
      <c r="B7" s="11">
        <f>INTERCEPT(cleaned_data!$M$5:$M$324,cleaned_data!$F$5:$F$324)</f>
        <v>446410.58293395321</v>
      </c>
    </row>
    <row r="8" spans="1:6" ht="15" customHeight="1">
      <c r="A8" s="8" t="s">
        <v>117</v>
      </c>
      <c r="B8" s="10">
        <f>RSQ(cleaned_data!$M$5:$M$324,cleaned_data!$F$5:$F$324)</f>
        <v>0.73628534000331169</v>
      </c>
    </row>
    <row r="9" spans="1:6" ht="15" customHeight="1">
      <c r="A9" s="8" t="s">
        <v>118</v>
      </c>
      <c r="B9" s="10">
        <f>CORREL(cleaned_data!$M$5:$M$324,cleaned_data!$F$5:$F$324)</f>
        <v>0.85807070804410501</v>
      </c>
    </row>
    <row r="10" spans="1:6" ht="15" customHeight="1">
      <c r="A10" s="8" t="s">
        <v>119</v>
      </c>
      <c r="B10" s="10">
        <f>INDEX(LINEST(cleaned_data!$M$5:$M$324,cleaned_data!$F$5:$F$324,TRUE(),TRUE()),2,1)</f>
        <v>1.1973782890340829</v>
      </c>
    </row>
    <row r="11" spans="1:6" ht="15" customHeight="1">
      <c r="A11" s="8" t="s">
        <v>120</v>
      </c>
      <c r="B11" s="12">
        <f>INDEX(LINEST(cleaned_data!$M$5:$M$324,cleaned_data!$F$5:$F$324,TRUE(),TRUE()),1,1)/INDEX(LINEST(cleaned_data!$M$5:$M$324,cleaned_data!$F$5:$F$324,TRUE(),TRUE()),2,1)</f>
        <v>29.796791372776369</v>
      </c>
    </row>
    <row r="12" spans="1:6" ht="15" customHeight="1">
      <c r="A12" s="8" t="s">
        <v>121</v>
      </c>
      <c r="B12" s="13">
        <f>TDIST(ABS(INDEX(LINEST(cleaned_data!$M$5:$M$324,cleaned_data!$F$5:$F$324,TRUE(),TRUE()),1,1)/INDEX(LINEST(cleaned_data!$M$5:$M$324,cleaned_data!$F$5:$F$324,TRUE(),TRUE()),2,1)),COUNT(cleaned_data!$F$5:$F$324)-2,2)</f>
        <v>4.750361508698423E-94</v>
      </c>
    </row>
    <row r="13" spans="1:6" ht="15" customHeight="1">
      <c r="A13" s="8" t="s">
        <v>122</v>
      </c>
      <c r="B13" s="9">
        <f>COUNT(cleaned_data!$F$5:$F$324)</f>
        <v>320</v>
      </c>
    </row>
    <row r="15" spans="1:6" ht="15" customHeight="1">
      <c r="A15" s="7" t="s">
        <v>123</v>
      </c>
    </row>
    <row r="16" spans="1:6" ht="15" customHeight="1">
      <c r="A16" s="8" t="s">
        <v>114</v>
      </c>
      <c r="B16" s="9" t="s">
        <v>4</v>
      </c>
    </row>
    <row r="17" spans="1:2" ht="15" customHeight="1">
      <c r="A17" s="8" t="s">
        <v>115</v>
      </c>
      <c r="B17" s="10">
        <f>SLOPE(cleaned_data!$M$5:$M$324,cleaned_data!$E$5:$E$324)</f>
        <v>2.1295753275898295</v>
      </c>
    </row>
    <row r="18" spans="1:2" ht="15" customHeight="1">
      <c r="A18" s="8" t="s">
        <v>116</v>
      </c>
      <c r="B18" s="11">
        <f>INTERCEPT(cleaned_data!$M$5:$M$324,cleaned_data!$E$5:$E$324)</f>
        <v>560777.34544943692</v>
      </c>
    </row>
    <row r="19" spans="1:2" ht="15" customHeight="1">
      <c r="A19" s="8" t="s">
        <v>117</v>
      </c>
      <c r="B19" s="10">
        <f>RSQ(cleaned_data!$M$5:$M$324,cleaned_data!$E$5:$E$324)</f>
        <v>0.16724469112486992</v>
      </c>
    </row>
    <row r="20" spans="1:2" ht="15" customHeight="1">
      <c r="A20" s="8" t="s">
        <v>118</v>
      </c>
      <c r="B20" s="10">
        <f>CORREL(cleaned_data!$M$5:$M$324,cleaned_data!$E$5:$E$324)</f>
        <v>0.40895561021322341</v>
      </c>
    </row>
    <row r="21" spans="1:2" ht="15" customHeight="1">
      <c r="A21" s="8" t="s">
        <v>119</v>
      </c>
      <c r="B21" s="10">
        <f>INDEX(LINEST(cleaned_data!$M$5:$M$324,cleaned_data!$E$5:$E$324,TRUE(),TRUE()),2,1)</f>
        <v>0.26647838106932376</v>
      </c>
    </row>
    <row r="22" spans="1:2" ht="15" customHeight="1">
      <c r="A22" s="8" t="s">
        <v>120</v>
      </c>
      <c r="B22" s="12">
        <f>INDEX(LINEST(cleaned_data!$M$5:$M$324,cleaned_data!$E$5:$E$324,TRUE(),TRUE()),1,1)/INDEX(LINEST(cleaned_data!$M$5:$M$324,cleaned_data!$E$5:$E$324,TRUE(),TRUE()),2,1)</f>
        <v>7.9915500801388655</v>
      </c>
    </row>
    <row r="23" spans="1:2" ht="15" customHeight="1">
      <c r="A23" s="8" t="s">
        <v>121</v>
      </c>
      <c r="B23" s="13">
        <f>TDIST(ABS(INDEX(LINEST(cleaned_data!$M$5:$M$324,cleaned_data!$E$5:$E$324,TRUE(),TRUE()),1,1)/INDEX(LINEST(cleaned_data!$M$5:$M$324,cleaned_data!$E$5:$E$324,TRUE(),TRUE()),2,1)),COUNT(cleaned_data!$E$5:$E$324)-2,2)</f>
        <v>2.4800615098735745E-14</v>
      </c>
    </row>
    <row r="24" spans="1:2" ht="15" customHeight="1">
      <c r="A24" s="8" t="s">
        <v>122</v>
      </c>
      <c r="B24" s="9">
        <f>COUNT(cleaned_data!$E$5:$E$324)</f>
        <v>320</v>
      </c>
    </row>
    <row r="26" spans="1:2" ht="15" customHeight="1">
      <c r="A26" s="7" t="s">
        <v>124</v>
      </c>
    </row>
    <row r="27" spans="1:2" ht="15" customHeight="1">
      <c r="A27" s="8" t="s">
        <v>114</v>
      </c>
      <c r="B27" s="9" t="s">
        <v>7</v>
      </c>
    </row>
    <row r="28" spans="1:2" ht="15" customHeight="1">
      <c r="A28" s="8" t="s">
        <v>115</v>
      </c>
      <c r="B28" s="10">
        <f>SLOPE(cleaned_data!$M$5:$M$324,cleaned_data!$H$5:$H$324)</f>
        <v>16984.02876022577</v>
      </c>
    </row>
    <row r="29" spans="1:2" ht="15" customHeight="1">
      <c r="A29" s="8" t="s">
        <v>116</v>
      </c>
      <c r="B29" s="11">
        <f>INTERCEPT(cleaned_data!$M$5:$M$324,cleaned_data!$H$5:$H$324)</f>
        <v>400551.46860090148</v>
      </c>
    </row>
    <row r="30" spans="1:2" ht="15" customHeight="1">
      <c r="A30" s="8" t="s">
        <v>117</v>
      </c>
      <c r="B30" s="10">
        <f>RSQ(cleaned_data!$M$5:$M$324,cleaned_data!$H$5:$H$324)</f>
        <v>0.65229044698823802</v>
      </c>
    </row>
    <row r="31" spans="1:2" ht="15" customHeight="1">
      <c r="A31" s="8" t="s">
        <v>118</v>
      </c>
      <c r="B31" s="10">
        <f>CORREL(cleaned_data!$M$5:$M$324,cleaned_data!$H$5:$H$324)</f>
        <v>0.80764500059632516</v>
      </c>
    </row>
    <row r="32" spans="1:2" ht="15" customHeight="1">
      <c r="A32" s="8" t="s">
        <v>119</v>
      </c>
      <c r="B32" s="10">
        <f>INDEX(LINEST(cleaned_data!$M$5:$M$324,cleaned_data!$H$5:$H$324,TRUE(),TRUE()),2,1)</f>
        <v>695.36841269714296</v>
      </c>
    </row>
    <row r="33" spans="1:2" ht="15" customHeight="1">
      <c r="A33" s="8" t="s">
        <v>120</v>
      </c>
      <c r="B33" s="12">
        <f>INDEX(LINEST(cleaned_data!$M$5:$M$324,cleaned_data!$H$5:$H$324,TRUE(),TRUE()),1,1)/INDEX(LINEST(cleaned_data!$M$5:$M$324,cleaned_data!$H$5:$H$324,TRUE(),TRUE()),2,1)</f>
        <v>24.424504262926451</v>
      </c>
    </row>
    <row r="34" spans="1:2" ht="15" customHeight="1">
      <c r="A34" s="8" t="s">
        <v>121</v>
      </c>
      <c r="B34" s="13">
        <f>TDIST(ABS(INDEX(LINEST(cleaned_data!$M$5:$M$324,cleaned_data!$H$5:$H$324,TRUE(),TRUE()),1,1)/INDEX(LINEST(cleaned_data!$M$5:$M$324,cleaned_data!$H$5:$H$324,TRUE(),TRUE()),2,1)),COUNT(cleaned_data!$H$5:$H$324)-2,2)</f>
        <v>6.2501017890004913E-75</v>
      </c>
    </row>
    <row r="35" spans="1:2" ht="15" customHeight="1">
      <c r="A35" s="8" t="s">
        <v>122</v>
      </c>
      <c r="B35" s="9">
        <f>COUNT(cleaned_data!$H$5:$H$324)</f>
        <v>320</v>
      </c>
    </row>
    <row r="37" spans="1:2" ht="15" customHeight="1">
      <c r="A37" s="7" t="s">
        <v>125</v>
      </c>
    </row>
    <row r="38" spans="1:2" ht="15" customHeight="1">
      <c r="A38" s="8" t="s">
        <v>114</v>
      </c>
      <c r="B38" s="9" t="s">
        <v>6</v>
      </c>
    </row>
    <row r="39" spans="1:2" ht="15" customHeight="1">
      <c r="A39" s="8" t="s">
        <v>115</v>
      </c>
      <c r="B39" s="10">
        <f>SLOPE(cleaned_data!$M$5:$M$324,cleaned_data!$G$5:$G$324)</f>
        <v>-138730.45471638077</v>
      </c>
    </row>
    <row r="40" spans="1:2" ht="15" customHeight="1">
      <c r="A40" s="8" t="s">
        <v>116</v>
      </c>
      <c r="B40" s="11">
        <f>INTERCEPT(cleaned_data!$M$5:$M$324,cleaned_data!$G$5:$G$324)</f>
        <v>697835.62958654074</v>
      </c>
    </row>
    <row r="41" spans="1:2" ht="15" customHeight="1">
      <c r="A41" s="8" t="s">
        <v>117</v>
      </c>
      <c r="B41" s="10">
        <f>RSQ(cleaned_data!$M$5:$M$324,cleaned_data!$G$5:$G$324)</f>
        <v>8.2905030244003544E-3</v>
      </c>
    </row>
    <row r="42" spans="1:2" ht="15" customHeight="1">
      <c r="A42" s="8" t="s">
        <v>118</v>
      </c>
      <c r="B42" s="10">
        <f>CORREL(cleaned_data!$M$5:$M$324,cleaned_data!$G$5:$G$324)</f>
        <v>-9.1052199448450194E-2</v>
      </c>
    </row>
    <row r="43" spans="1:2" ht="15" customHeight="1">
      <c r="A43" s="8" t="s">
        <v>119</v>
      </c>
      <c r="B43" s="10">
        <f>INDEX(LINEST(cleaned_data!$M$5:$M$324,cleaned_data!$G$5:$G$324,TRUE(),TRUE()),2,1)</f>
        <v>85086.379579668472</v>
      </c>
    </row>
    <row r="44" spans="1:2" ht="15" customHeight="1">
      <c r="A44" s="8" t="s">
        <v>120</v>
      </c>
      <c r="B44" s="12">
        <f>INDEX(LINEST(cleaned_data!$M$5:$M$324,cleaned_data!$G$5:$G$324,TRUE(),TRUE()),1,1)/INDEX(LINEST(cleaned_data!$M$5:$M$324,cleaned_data!$G$5:$G$324,TRUE(),TRUE()),2,1)</f>
        <v>-1.6304660675623643</v>
      </c>
    </row>
    <row r="45" spans="1:2" ht="15" customHeight="1">
      <c r="A45" s="8" t="s">
        <v>121</v>
      </c>
      <c r="B45" s="13">
        <f>TDIST(ABS(INDEX(LINEST(cleaned_data!$M$5:$M$324,cleaned_data!$G$5:$G$324,TRUE(),TRUE()),1,1)/INDEX(LINEST(cleaned_data!$M$5:$M$324,cleaned_data!$G$5:$G$324,TRUE(),TRUE()),2,1)),COUNT(cleaned_data!$G$5:$G$324)-2,2)</f>
        <v>0.10399304650839758</v>
      </c>
    </row>
    <row r="46" spans="1:2" ht="15" customHeight="1">
      <c r="A46" s="8" t="s">
        <v>122</v>
      </c>
      <c r="B46" s="9">
        <f>COUNT(cleaned_data!$G$5:$G$324)</f>
        <v>320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X325"/>
  <sheetViews>
    <sheetView workbookViewId="0">
      <pane ySplit="5" topLeftCell="A6" activePane="bottomLeft" state="frozen"/>
      <selection pane="bottomLeft"/>
    </sheetView>
  </sheetViews>
  <sheetFormatPr defaultColWidth="8.6640625" defaultRowHeight="14.4"/>
  <cols>
    <col min="1" max="1" width="13" style="1" customWidth="1"/>
    <col min="2" max="2" width="9" style="1" customWidth="1"/>
    <col min="3" max="3" width="14" style="1" customWidth="1"/>
    <col min="4" max="4" width="18" style="1" customWidth="1"/>
    <col min="5" max="5" width="11" style="1" customWidth="1"/>
    <col min="6" max="6" width="9" style="1" customWidth="1"/>
    <col min="7" max="7" width="7" style="1" customWidth="1"/>
    <col min="8" max="8" width="12" style="1" customWidth="1"/>
    <col min="9" max="11" width="8" style="1" customWidth="1"/>
    <col min="12" max="12" width="3" style="1" customWidth="1"/>
    <col min="13" max="13" width="11" style="1" customWidth="1"/>
    <col min="14" max="14" width="14" style="1" customWidth="1"/>
    <col min="15" max="15" width="11" style="1" customWidth="1"/>
    <col min="16" max="16" width="9" style="1" customWidth="1"/>
    <col min="17" max="17" width="8" style="1" customWidth="1"/>
    <col min="18" max="18" width="9" style="1" customWidth="1"/>
  </cols>
  <sheetData>
    <row r="1" spans="1:24" ht="15.75" customHeight="1">
      <c r="A1" s="2" t="s">
        <v>126</v>
      </c>
    </row>
    <row r="2" spans="1:24" ht="15" customHeight="1">
      <c r="A2" s="37" t="s">
        <v>127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spans="1:24" ht="15" customHeight="1">
      <c r="A4" s="7" t="s">
        <v>128</v>
      </c>
    </row>
    <row r="5" spans="1:24" ht="23.25" customHeight="1">
      <c r="A5" s="4" t="s">
        <v>12</v>
      </c>
      <c r="B5" s="4" t="s">
        <v>5</v>
      </c>
      <c r="C5" s="4" t="s">
        <v>4</v>
      </c>
      <c r="D5" s="4" t="s">
        <v>8</v>
      </c>
      <c r="E5" s="4" t="s">
        <v>7</v>
      </c>
      <c r="F5" s="4" t="s">
        <v>106</v>
      </c>
      <c r="G5" s="4" t="s">
        <v>107</v>
      </c>
      <c r="H5" s="4" t="s">
        <v>108</v>
      </c>
      <c r="I5" s="4" t="s">
        <v>109</v>
      </c>
      <c r="J5" s="4" t="s">
        <v>110</v>
      </c>
      <c r="K5" s="4" t="s">
        <v>111</v>
      </c>
      <c r="N5" s="7" t="s">
        <v>129</v>
      </c>
    </row>
    <row r="6" spans="1:24" ht="15" customHeight="1">
      <c r="A6" s="14">
        <f>cleaned_data!$M$5</f>
        <v>658832.62</v>
      </c>
      <c r="B6" s="14">
        <f>cleaned_data!$F$5</f>
        <v>8302</v>
      </c>
      <c r="C6" s="14">
        <f>cleaned_data!$E$5</f>
        <v>70389.11</v>
      </c>
      <c r="D6" s="14">
        <f>cleaned_data!$I$5</f>
        <v>75</v>
      </c>
      <c r="E6" s="14">
        <f>cleaned_data!$H$5</f>
        <v>17</v>
      </c>
      <c r="F6" s="14">
        <f>dummy_variables!$D$5</f>
        <v>0</v>
      </c>
      <c r="G6" s="14">
        <f>dummy_variables!$E$5</f>
        <v>0</v>
      </c>
      <c r="H6" s="14">
        <f>dummy_variables!$F$5</f>
        <v>1</v>
      </c>
      <c r="I6" s="14">
        <f>dummy_variables!$G$5</f>
        <v>0</v>
      </c>
      <c r="J6" s="14">
        <f>dummy_variables!$H$5</f>
        <v>0</v>
      </c>
      <c r="K6" s="14">
        <f>dummy_variables!$I$5</f>
        <v>0</v>
      </c>
      <c r="N6" s="37" t="s">
        <v>130</v>
      </c>
      <c r="O6" s="37"/>
      <c r="P6" s="37"/>
    </row>
    <row r="7" spans="1:24" ht="15" customHeight="1">
      <c r="A7" s="14">
        <f>cleaned_data!$M$6</f>
        <v>634436</v>
      </c>
      <c r="B7" s="14">
        <f>cleaned_data!$F$6</f>
        <v>8487</v>
      </c>
      <c r="C7" s="14">
        <f>cleaned_data!$E$6</f>
        <v>43827.89</v>
      </c>
      <c r="D7" s="14">
        <f>cleaned_data!$I$6</f>
        <v>84.4</v>
      </c>
      <c r="E7" s="14">
        <f>cleaned_data!$H$6</f>
        <v>23</v>
      </c>
      <c r="F7" s="14">
        <f>dummy_variables!$D$6</f>
        <v>0</v>
      </c>
      <c r="G7" s="14">
        <f>dummy_variables!$E$6</f>
        <v>0</v>
      </c>
      <c r="H7" s="14">
        <f>dummy_variables!$F$6</f>
        <v>1</v>
      </c>
      <c r="I7" s="14">
        <f>dummy_variables!$G$6</f>
        <v>0</v>
      </c>
      <c r="J7" s="14">
        <f>dummy_variables!$H$6</f>
        <v>0</v>
      </c>
      <c r="K7" s="14">
        <f>dummy_variables!$I$6</f>
        <v>0</v>
      </c>
      <c r="N7" s="3" t="s">
        <v>111</v>
      </c>
      <c r="O7" s="3" t="s">
        <v>110</v>
      </c>
      <c r="P7" s="3" t="s">
        <v>109</v>
      </c>
      <c r="Q7" s="3" t="s">
        <v>108</v>
      </c>
      <c r="R7" s="3" t="s">
        <v>107</v>
      </c>
      <c r="S7" s="3" t="s">
        <v>106</v>
      </c>
      <c r="T7" s="3" t="s">
        <v>7</v>
      </c>
      <c r="U7" s="3" t="s">
        <v>131</v>
      </c>
      <c r="V7" s="3" t="s">
        <v>4</v>
      </c>
      <c r="W7" s="3" t="s">
        <v>5</v>
      </c>
      <c r="X7" s="3" t="s">
        <v>132</v>
      </c>
    </row>
    <row r="8" spans="1:24" ht="15" customHeight="1">
      <c r="A8" s="14">
        <f>cleaned_data!$M$7</f>
        <v>678722.06</v>
      </c>
      <c r="B8" s="14">
        <f>cleaned_data!$F$7</f>
        <v>9113</v>
      </c>
      <c r="C8" s="14">
        <f>cleaned_data!$E$7</f>
        <v>59921.75</v>
      </c>
      <c r="D8" s="14">
        <f>cleaned_data!$I$7</f>
        <v>88</v>
      </c>
      <c r="E8" s="14">
        <f>cleaned_data!$H$7</f>
        <v>20</v>
      </c>
      <c r="F8" s="14">
        <f>dummy_variables!$D$7</f>
        <v>0</v>
      </c>
      <c r="G8" s="14">
        <f>dummy_variables!$E$7</f>
        <v>0</v>
      </c>
      <c r="H8" s="14">
        <f>dummy_variables!$F$7</f>
        <v>1</v>
      </c>
      <c r="I8" s="14">
        <f>dummy_variables!$G$7</f>
        <v>0</v>
      </c>
      <c r="J8" s="14">
        <f>dummy_variables!$H$7</f>
        <v>0</v>
      </c>
      <c r="K8" s="14">
        <f>dummy_variables!$I$7</f>
        <v>0</v>
      </c>
      <c r="N8" s="15">
        <f t="array" ref="N8:X12">LINEST($A$6:$A$325,$B$6:$K$325,TRUE(),TRUE())</f>
        <v>18892.972486297844</v>
      </c>
      <c r="O8" s="15">
        <v>20900.935912220066</v>
      </c>
      <c r="P8" s="15">
        <v>7601.2301494810736</v>
      </c>
      <c r="Q8" s="15">
        <v>-17402.34800431351</v>
      </c>
      <c r="R8" s="15">
        <v>12191.541604355167</v>
      </c>
      <c r="S8" s="15">
        <v>22531.678817318316</v>
      </c>
      <c r="T8" s="15">
        <v>2790.4914707176736</v>
      </c>
      <c r="U8" s="15">
        <v>3003.3310642893739</v>
      </c>
      <c r="V8" s="15">
        <v>1.1736200680916793</v>
      </c>
      <c r="W8" s="15">
        <v>28.829085209275458</v>
      </c>
      <c r="X8" s="15">
        <v>103838.08970298003</v>
      </c>
    </row>
    <row r="9" spans="1:24" ht="15" customHeight="1">
      <c r="A9" s="14">
        <f>cleaned_data!$M$8</f>
        <v>658920.30000000005</v>
      </c>
      <c r="B9" s="14">
        <f>cleaned_data!$F$8</f>
        <v>9431</v>
      </c>
      <c r="C9" s="14">
        <f>cleaned_data!$E$8</f>
        <v>56856.63</v>
      </c>
      <c r="D9" s="14">
        <f>cleaned_data!$I$8</f>
        <v>86.9</v>
      </c>
      <c r="E9" s="14">
        <f>cleaned_data!$H$8</f>
        <v>23</v>
      </c>
      <c r="F9" s="14">
        <f>dummy_variables!$D$8</f>
        <v>0</v>
      </c>
      <c r="G9" s="14">
        <f>dummy_variables!$E$8</f>
        <v>0</v>
      </c>
      <c r="H9" s="14">
        <f>dummy_variables!$F$8</f>
        <v>1</v>
      </c>
      <c r="I9" s="14">
        <f>dummy_variables!$G$8</f>
        <v>0</v>
      </c>
      <c r="J9" s="14">
        <f>dummy_variables!$H$8</f>
        <v>0</v>
      </c>
      <c r="K9" s="14">
        <f>dummy_variables!$I$8</f>
        <v>0</v>
      </c>
      <c r="N9" s="15">
        <v>6280.398398121868</v>
      </c>
      <c r="O9" s="15">
        <v>7094.5214027938928</v>
      </c>
      <c r="P9" s="15">
        <v>7032.3393749582056</v>
      </c>
      <c r="Q9" s="15">
        <v>6006.0990319518269</v>
      </c>
      <c r="R9" s="15">
        <v>6510.451945369402</v>
      </c>
      <c r="S9" s="15">
        <v>9298.2819978512962</v>
      </c>
      <c r="T9" s="15">
        <v>1254.6297016720384</v>
      </c>
      <c r="U9" s="15">
        <v>458.63717481656857</v>
      </c>
      <c r="V9" s="15">
        <v>0.1262048795802789</v>
      </c>
      <c r="W9" s="15">
        <v>2.4804346001481341</v>
      </c>
      <c r="X9" s="15">
        <v>42406.374593130291</v>
      </c>
    </row>
    <row r="10" spans="1:24" ht="15" customHeight="1">
      <c r="A10" s="14">
        <f>cleaned_data!$M$9</f>
        <v>741341.44</v>
      </c>
      <c r="B10" s="14">
        <f>cleaned_data!$F$9</f>
        <v>9545</v>
      </c>
      <c r="C10" s="14">
        <f>cleaned_data!$E$9</f>
        <v>48412.639999999999</v>
      </c>
      <c r="D10" s="14">
        <f>cleaned_data!$I$9</f>
        <v>97.6</v>
      </c>
      <c r="E10" s="14">
        <f>cleaned_data!$H$9</f>
        <v>21</v>
      </c>
      <c r="F10" s="14">
        <f>dummy_variables!$D$9</f>
        <v>0</v>
      </c>
      <c r="G10" s="14">
        <f>dummy_variables!$E$9</f>
        <v>0</v>
      </c>
      <c r="H10" s="14">
        <f>dummy_variables!$F$9</f>
        <v>0</v>
      </c>
      <c r="I10" s="14">
        <f>dummy_variables!$G$9</f>
        <v>0</v>
      </c>
      <c r="J10" s="14">
        <f>dummy_variables!$H$9</f>
        <v>0</v>
      </c>
      <c r="K10" s="14">
        <f>dummy_variables!$I$9</f>
        <v>0</v>
      </c>
      <c r="N10" s="15">
        <v>0.82955522891971933</v>
      </c>
      <c r="O10" s="15">
        <v>43529.795937265852</v>
      </c>
      <c r="P10" s="15" t="e">
        <v>#N/A</v>
      </c>
      <c r="Q10" s="15" t="e">
        <v>#N/A</v>
      </c>
      <c r="R10" s="15" t="e">
        <v>#N/A</v>
      </c>
      <c r="S10" s="15" t="e">
        <v>#N/A</v>
      </c>
      <c r="T10" s="15" t="e">
        <v>#N/A</v>
      </c>
      <c r="U10" s="15" t="e">
        <v>#N/A</v>
      </c>
      <c r="V10" s="15" t="e">
        <v>#N/A</v>
      </c>
      <c r="W10" s="15" t="e">
        <v>#N/A</v>
      </c>
      <c r="X10" s="15" t="e">
        <v>#N/A</v>
      </c>
    </row>
    <row r="11" spans="1:24" ht="15" customHeight="1">
      <c r="A11" s="14">
        <f>cleaned_data!$M$10</f>
        <v>761835.34</v>
      </c>
      <c r="B11" s="14">
        <f>cleaned_data!$F$10</f>
        <v>9792</v>
      </c>
      <c r="C11" s="14">
        <f>cleaned_data!$E$10</f>
        <v>64811.21</v>
      </c>
      <c r="D11" s="14">
        <f>cleaned_data!$I$10</f>
        <v>84.2</v>
      </c>
      <c r="E11" s="14">
        <f>cleaned_data!$H$10</f>
        <v>20</v>
      </c>
      <c r="F11" s="14">
        <f>dummy_variables!$D$10</f>
        <v>0</v>
      </c>
      <c r="G11" s="14">
        <f>dummy_variables!$E$10</f>
        <v>0</v>
      </c>
      <c r="H11" s="14">
        <f>dummy_variables!$F$10</f>
        <v>0</v>
      </c>
      <c r="I11" s="14">
        <f>dummy_variables!$G$10</f>
        <v>0</v>
      </c>
      <c r="J11" s="14">
        <f>dummy_variables!$H$10</f>
        <v>0</v>
      </c>
      <c r="K11" s="14">
        <f>dummy_variables!$I$10</f>
        <v>0</v>
      </c>
      <c r="N11" s="15">
        <v>150.3903957343806</v>
      </c>
      <c r="O11" s="15">
        <v>309</v>
      </c>
      <c r="P11" s="15" t="e">
        <v>#N/A</v>
      </c>
      <c r="Q11" s="15" t="e">
        <v>#N/A</v>
      </c>
      <c r="R11" s="15" t="e">
        <v>#N/A</v>
      </c>
      <c r="S11" s="15" t="e">
        <v>#N/A</v>
      </c>
      <c r="T11" s="15" t="e">
        <v>#N/A</v>
      </c>
      <c r="U11" s="15" t="e">
        <v>#N/A</v>
      </c>
      <c r="V11" s="15" t="e">
        <v>#N/A</v>
      </c>
      <c r="W11" s="15" t="e">
        <v>#N/A</v>
      </c>
      <c r="X11" s="15" t="e">
        <v>#N/A</v>
      </c>
    </row>
    <row r="12" spans="1:24" ht="15" customHeight="1">
      <c r="A12" s="14">
        <f>cleaned_data!$M$11</f>
        <v>806615.54</v>
      </c>
      <c r="B12" s="14">
        <f>cleaned_data!$F$11</f>
        <v>10616</v>
      </c>
      <c r="C12" s="14">
        <f>cleaned_data!$E$11</f>
        <v>46213.45</v>
      </c>
      <c r="D12" s="14">
        <f>cleaned_data!$I$11</f>
        <v>85.2</v>
      </c>
      <c r="E12" s="14">
        <f>cleaned_data!$H$11</f>
        <v>22</v>
      </c>
      <c r="F12" s="14">
        <f>dummy_variables!$D$11</f>
        <v>0</v>
      </c>
      <c r="G12" s="14">
        <f>dummy_variables!$E$11</f>
        <v>0</v>
      </c>
      <c r="H12" s="14">
        <f>dummy_variables!$F$11</f>
        <v>0</v>
      </c>
      <c r="I12" s="14">
        <f>dummy_variables!$G$11</f>
        <v>0</v>
      </c>
      <c r="J12" s="14">
        <f>dummy_variables!$H$11</f>
        <v>0</v>
      </c>
      <c r="K12" s="14">
        <f>dummy_variables!$I$11</f>
        <v>0</v>
      </c>
      <c r="N12" s="15">
        <v>2849662088279.6772</v>
      </c>
      <c r="O12" s="15">
        <v>585506528511.06213</v>
      </c>
      <c r="P12" s="15" t="e">
        <v>#N/A</v>
      </c>
      <c r="Q12" s="15" t="e">
        <v>#N/A</v>
      </c>
      <c r="R12" s="15" t="e">
        <v>#N/A</v>
      </c>
      <c r="S12" s="15" t="e">
        <v>#N/A</v>
      </c>
      <c r="T12" s="15" t="e">
        <v>#N/A</v>
      </c>
      <c r="U12" s="15" t="e">
        <v>#N/A</v>
      </c>
      <c r="V12" s="15" t="e">
        <v>#N/A</v>
      </c>
      <c r="W12" s="15" t="e">
        <v>#N/A</v>
      </c>
      <c r="X12" s="15" t="e">
        <v>#N/A</v>
      </c>
    </row>
    <row r="13" spans="1:24" ht="15" customHeight="1">
      <c r="A13" s="14">
        <f>cleaned_data!$M$12</f>
        <v>850164.26</v>
      </c>
      <c r="B13" s="14">
        <f>cleaned_data!$F$12</f>
        <v>8567</v>
      </c>
      <c r="C13" s="14">
        <f>cleaned_data!$E$12</f>
        <v>68148.52</v>
      </c>
      <c r="D13" s="14">
        <f>cleaned_data!$I$12</f>
        <v>95.6</v>
      </c>
      <c r="E13" s="14">
        <f>cleaned_data!$H$12</f>
        <v>23</v>
      </c>
      <c r="F13" s="14">
        <f>dummy_variables!$D$12</f>
        <v>0</v>
      </c>
      <c r="G13" s="14">
        <f>dummy_variables!$E$12</f>
        <v>0</v>
      </c>
      <c r="H13" s="14">
        <f>dummy_variables!$F$12</f>
        <v>0</v>
      </c>
      <c r="I13" s="14">
        <f>dummy_variables!$G$12</f>
        <v>0</v>
      </c>
      <c r="J13" s="14">
        <f>dummy_variables!$H$12</f>
        <v>0</v>
      </c>
      <c r="K13" s="14">
        <f>dummy_variables!$I$12</f>
        <v>0</v>
      </c>
      <c r="N13" s="16" t="s">
        <v>133</v>
      </c>
    </row>
    <row r="14" spans="1:24" ht="15" customHeight="1">
      <c r="A14" s="14">
        <f>cleaned_data!$M$13</f>
        <v>930581.7</v>
      </c>
      <c r="B14" s="14">
        <f>cleaned_data!$F$13</f>
        <v>10979</v>
      </c>
      <c r="C14" s="14">
        <f>cleaned_data!$E$13</f>
        <v>71838.86</v>
      </c>
      <c r="D14" s="14">
        <f>cleaned_data!$I$13</f>
        <v>88.6</v>
      </c>
      <c r="E14" s="14">
        <f>cleaned_data!$H$13</f>
        <v>26</v>
      </c>
      <c r="F14" s="14">
        <f>dummy_variables!$D$13</f>
        <v>1</v>
      </c>
      <c r="G14" s="14">
        <f>dummy_variables!$E$13</f>
        <v>0</v>
      </c>
      <c r="H14" s="14">
        <f>dummy_variables!$F$13</f>
        <v>0</v>
      </c>
      <c r="I14" s="14">
        <f>dummy_variables!$G$13</f>
        <v>1</v>
      </c>
      <c r="J14" s="14">
        <f>dummy_variables!$H$13</f>
        <v>0</v>
      </c>
      <c r="K14" s="14">
        <f>dummy_variables!$I$13</f>
        <v>0</v>
      </c>
      <c r="N14" s="37" t="s">
        <v>134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ht="15" customHeight="1">
      <c r="A15" s="14">
        <f>cleaned_data!$M$14</f>
        <v>779010.94</v>
      </c>
      <c r="B15" s="14">
        <f>cleaned_data!$F$14</f>
        <v>9459</v>
      </c>
      <c r="C15" s="14">
        <f>cleaned_data!$E$14</f>
        <v>68133.440000000002</v>
      </c>
      <c r="D15" s="14">
        <f>cleaned_data!$I$14</f>
        <v>85</v>
      </c>
      <c r="E15" s="14">
        <f>cleaned_data!$H$14</f>
        <v>21</v>
      </c>
      <c r="F15" s="14">
        <f>dummy_variables!$D$14</f>
        <v>1</v>
      </c>
      <c r="G15" s="14">
        <f>dummy_variables!$E$14</f>
        <v>0</v>
      </c>
      <c r="H15" s="14">
        <f>dummy_variables!$F$14</f>
        <v>0</v>
      </c>
      <c r="I15" s="14">
        <f>dummy_variables!$G$14</f>
        <v>1</v>
      </c>
      <c r="J15" s="14">
        <f>dummy_variables!$H$14</f>
        <v>0</v>
      </c>
      <c r="K15" s="14">
        <f>dummy_variables!$I$14</f>
        <v>0</v>
      </c>
    </row>
    <row r="16" spans="1:24" ht="15" customHeight="1">
      <c r="A16" s="14">
        <f>cleaned_data!$M$15</f>
        <v>723060.76</v>
      </c>
      <c r="B16" s="14">
        <f>cleaned_data!$F$15</f>
        <v>9172</v>
      </c>
      <c r="C16" s="14">
        <f>cleaned_data!$E$15</f>
        <v>34285.21</v>
      </c>
      <c r="D16" s="14">
        <f>cleaned_data!$I$15</f>
        <v>88.3</v>
      </c>
      <c r="E16" s="14">
        <f>cleaned_data!$H$15</f>
        <v>22</v>
      </c>
      <c r="F16" s="14">
        <f>dummy_variables!$D$15</f>
        <v>1</v>
      </c>
      <c r="G16" s="14">
        <f>dummy_variables!$E$15</f>
        <v>0</v>
      </c>
      <c r="H16" s="14">
        <f>dummy_variables!$F$15</f>
        <v>0</v>
      </c>
      <c r="I16" s="14">
        <f>dummy_variables!$G$15</f>
        <v>1</v>
      </c>
      <c r="J16" s="14">
        <f>dummy_variables!$H$15</f>
        <v>0</v>
      </c>
      <c r="K16" s="14">
        <f>dummy_variables!$I$15</f>
        <v>0</v>
      </c>
      <c r="N16" s="7" t="s">
        <v>135</v>
      </c>
    </row>
    <row r="17" spans="1:18" ht="15" customHeight="1">
      <c r="A17" s="14">
        <f>cleaned_data!$M$16</f>
        <v>910791.94</v>
      </c>
      <c r="B17" s="14">
        <f>cleaned_data!$F$16</f>
        <v>11230</v>
      </c>
      <c r="C17" s="14">
        <f>cleaned_data!$E$16</f>
        <v>67979.88</v>
      </c>
      <c r="D17" s="14">
        <f>cleaned_data!$I$16</f>
        <v>85.3</v>
      </c>
      <c r="E17" s="14">
        <f>cleaned_data!$H$16</f>
        <v>28</v>
      </c>
      <c r="F17" s="14">
        <f>dummy_variables!$D$16</f>
        <v>1</v>
      </c>
      <c r="G17" s="14">
        <f>dummy_variables!$E$16</f>
        <v>0</v>
      </c>
      <c r="H17" s="14">
        <f>dummy_variables!$F$16</f>
        <v>0</v>
      </c>
      <c r="I17" s="14">
        <f>dummy_variables!$G$16</f>
        <v>1</v>
      </c>
      <c r="J17" s="14">
        <f>dummy_variables!$H$16</f>
        <v>0</v>
      </c>
      <c r="K17" s="14">
        <f>dummy_variables!$I$16</f>
        <v>0</v>
      </c>
      <c r="N17" s="4" t="s">
        <v>136</v>
      </c>
      <c r="O17" s="4" t="s">
        <v>137</v>
      </c>
      <c r="P17" s="4" t="s">
        <v>138</v>
      </c>
      <c r="Q17" s="4" t="s">
        <v>120</v>
      </c>
      <c r="R17" s="4" t="s">
        <v>121</v>
      </c>
    </row>
    <row r="18" spans="1:18" ht="15" customHeight="1">
      <c r="A18" s="14">
        <f>cleaned_data!$M$17</f>
        <v>922168.6</v>
      </c>
      <c r="B18" s="14">
        <f>cleaned_data!$F$17</f>
        <v>12775</v>
      </c>
      <c r="C18" s="14">
        <f>cleaned_data!$E$17</f>
        <v>71828.259999999995</v>
      </c>
      <c r="D18" s="14">
        <f>cleaned_data!$I$17</f>
        <v>81.7</v>
      </c>
      <c r="E18" s="14">
        <f>cleaned_data!$H$17</f>
        <v>30</v>
      </c>
      <c r="F18" s="14">
        <f>dummy_variables!$D$17</f>
        <v>0</v>
      </c>
      <c r="G18" s="14">
        <f>dummy_variables!$E$17</f>
        <v>0</v>
      </c>
      <c r="H18" s="14">
        <f>dummy_variables!$F$17</f>
        <v>1</v>
      </c>
      <c r="I18" s="14">
        <f>dummy_variables!$G$17</f>
        <v>0</v>
      </c>
      <c r="J18" s="14">
        <f>dummy_variables!$H$17</f>
        <v>0</v>
      </c>
      <c r="K18" s="14">
        <f>dummy_variables!$I$17</f>
        <v>0</v>
      </c>
      <c r="N18" s="17" t="s">
        <v>116</v>
      </c>
      <c r="O18" s="18">
        <f>X$8</f>
        <v>103838.08970298003</v>
      </c>
      <c r="P18" s="18">
        <f>X$9</f>
        <v>42406.374593130291</v>
      </c>
      <c r="Q18" s="19">
        <f>X$8/X$9</f>
        <v>2.4486434103188226</v>
      </c>
      <c r="R18" s="20">
        <f>TDIST(ABS(X$8/X$9),309,2)</f>
        <v>1.4895056526239838E-2</v>
      </c>
    </row>
    <row r="19" spans="1:18" ht="15" customHeight="1">
      <c r="A19" s="14">
        <f>cleaned_data!$M$18</f>
        <v>726606.28</v>
      </c>
      <c r="B19" s="14">
        <f>cleaned_data!$F$18</f>
        <v>10054</v>
      </c>
      <c r="C19" s="14">
        <f>cleaned_data!$E$18</f>
        <v>55716.82</v>
      </c>
      <c r="D19" s="14">
        <f>cleaned_data!$I$18</f>
        <v>84.9</v>
      </c>
      <c r="E19" s="14">
        <f>cleaned_data!$H$18</f>
        <v>24</v>
      </c>
      <c r="F19" s="14">
        <f>dummy_variables!$D$18</f>
        <v>0</v>
      </c>
      <c r="G19" s="14">
        <f>dummy_variables!$E$18</f>
        <v>0</v>
      </c>
      <c r="H19" s="14">
        <f>dummy_variables!$F$18</f>
        <v>1</v>
      </c>
      <c r="I19" s="14">
        <f>dummy_variables!$G$18</f>
        <v>0</v>
      </c>
      <c r="J19" s="14">
        <f>dummy_variables!$H$18</f>
        <v>0</v>
      </c>
      <c r="K19" s="14">
        <f>dummy_variables!$I$18</f>
        <v>0</v>
      </c>
      <c r="N19" s="17" t="s">
        <v>5</v>
      </c>
      <c r="O19" s="18">
        <f>W$8</f>
        <v>28.829085209275458</v>
      </c>
      <c r="P19" s="18">
        <f>W$9</f>
        <v>2.4804346001481341</v>
      </c>
      <c r="Q19" s="19">
        <f>W$8/W$9</f>
        <v>11.62259436614606</v>
      </c>
      <c r="R19" s="20">
        <f>TDIST(ABS(W$8/W$9),309,2)</f>
        <v>3.77588376426527E-26</v>
      </c>
    </row>
    <row r="20" spans="1:18" ht="15" customHeight="1">
      <c r="A20" s="14">
        <f>cleaned_data!$M$19</f>
        <v>746501.09</v>
      </c>
      <c r="B20" s="14">
        <f>cleaned_data!$F$19</f>
        <v>8895</v>
      </c>
      <c r="C20" s="14">
        <f>cleaned_data!$E$19</f>
        <v>59909.51</v>
      </c>
      <c r="D20" s="14">
        <f>cleaned_data!$I$19</f>
        <v>88.8</v>
      </c>
      <c r="E20" s="14">
        <f>cleaned_data!$H$19</f>
        <v>23</v>
      </c>
      <c r="F20" s="14">
        <f>dummy_variables!$D$19</f>
        <v>0</v>
      </c>
      <c r="G20" s="14">
        <f>dummy_variables!$E$19</f>
        <v>0</v>
      </c>
      <c r="H20" s="14">
        <f>dummy_variables!$F$19</f>
        <v>1</v>
      </c>
      <c r="I20" s="14">
        <f>dummy_variables!$G$19</f>
        <v>0</v>
      </c>
      <c r="J20" s="14">
        <f>dummy_variables!$H$19</f>
        <v>0</v>
      </c>
      <c r="K20" s="14">
        <f>dummy_variables!$I$19</f>
        <v>0</v>
      </c>
      <c r="N20" s="17" t="s">
        <v>4</v>
      </c>
      <c r="O20" s="18">
        <f>V$8</f>
        <v>1.1736200680916793</v>
      </c>
      <c r="P20" s="18">
        <f>V$9</f>
        <v>0.1262048795802789</v>
      </c>
      <c r="Q20" s="19">
        <f>V$8/V$9</f>
        <v>9.2993240197589966</v>
      </c>
      <c r="R20" s="20">
        <f>TDIST(ABS(V$8/V$9),309,2)</f>
        <v>2.6616221944192685E-18</v>
      </c>
    </row>
    <row r="21" spans="1:18" ht="15" customHeight="1">
      <c r="A21" s="14">
        <f>cleaned_data!$M$20</f>
        <v>834017.02</v>
      </c>
      <c r="B21" s="14">
        <f>cleaned_data!$F$20</f>
        <v>10940</v>
      </c>
      <c r="C21" s="14">
        <f>cleaned_data!$E$20</f>
        <v>75305.710000000006</v>
      </c>
      <c r="D21" s="14">
        <f>cleaned_data!$I$20</f>
        <v>76.5</v>
      </c>
      <c r="E21" s="14">
        <f>cleaned_data!$H$20</f>
        <v>26</v>
      </c>
      <c r="F21" s="14">
        <f>dummy_variables!$D$20</f>
        <v>0</v>
      </c>
      <c r="G21" s="14">
        <f>dummy_variables!$E$20</f>
        <v>0</v>
      </c>
      <c r="H21" s="14">
        <f>dummy_variables!$F$20</f>
        <v>1</v>
      </c>
      <c r="I21" s="14">
        <f>dummy_variables!$G$20</f>
        <v>0</v>
      </c>
      <c r="J21" s="14">
        <f>dummy_variables!$H$20</f>
        <v>0</v>
      </c>
      <c r="K21" s="14">
        <f>dummy_variables!$I$20</f>
        <v>0</v>
      </c>
      <c r="N21" s="17" t="s">
        <v>8</v>
      </c>
      <c r="O21" s="18">
        <f>U$8</f>
        <v>3003.3310642893739</v>
      </c>
      <c r="P21" s="18">
        <f>U$9</f>
        <v>458.63717481656857</v>
      </c>
      <c r="Q21" s="19">
        <f>U$8/U$9</f>
        <v>6.5483812242009227</v>
      </c>
      <c r="R21" s="20">
        <f>TDIST(ABS(U$8/U$9),309,2)</f>
        <v>2.4238605481661807E-10</v>
      </c>
    </row>
    <row r="22" spans="1:18" ht="15" customHeight="1">
      <c r="A22" s="14">
        <f>cleaned_data!$M$21</f>
        <v>666152.52</v>
      </c>
      <c r="B22" s="14">
        <f>cleaned_data!$F$21</f>
        <v>7057</v>
      </c>
      <c r="C22" s="14">
        <f>cleaned_data!$E$21</f>
        <v>48804.22</v>
      </c>
      <c r="D22" s="14">
        <f>cleaned_data!$I$21</f>
        <v>87.7</v>
      </c>
      <c r="E22" s="14">
        <f>cleaned_data!$H$21</f>
        <v>15</v>
      </c>
      <c r="F22" s="14">
        <f>dummy_variables!$D$21</f>
        <v>0</v>
      </c>
      <c r="G22" s="14">
        <f>dummy_variables!$E$21</f>
        <v>0</v>
      </c>
      <c r="H22" s="14">
        <f>dummy_variables!$F$21</f>
        <v>1</v>
      </c>
      <c r="I22" s="14">
        <f>dummy_variables!$G$21</f>
        <v>0</v>
      </c>
      <c r="J22" s="14">
        <f>dummy_variables!$H$21</f>
        <v>1</v>
      </c>
      <c r="K22" s="14">
        <f>dummy_variables!$I$21</f>
        <v>0</v>
      </c>
      <c r="N22" s="17" t="s">
        <v>7</v>
      </c>
      <c r="O22" s="18">
        <f>T$8</f>
        <v>2790.4914707176736</v>
      </c>
      <c r="P22" s="18">
        <f>T$9</f>
        <v>1254.6297016720384</v>
      </c>
      <c r="Q22" s="19">
        <f>T$8/T$9</f>
        <v>2.2241554356626501</v>
      </c>
      <c r="R22" s="20">
        <f>TDIST(ABS(T$8/T$9),309,2)</f>
        <v>2.6860382653464986E-2</v>
      </c>
    </row>
    <row r="23" spans="1:18" ht="15" customHeight="1">
      <c r="A23" s="14">
        <f>cleaned_data!$M$22</f>
        <v>573155.18999999994</v>
      </c>
      <c r="B23" s="14">
        <f>cleaned_data!$F$22</f>
        <v>4263</v>
      </c>
      <c r="C23" s="14">
        <f>cleaned_data!$E$22</f>
        <v>59117.9</v>
      </c>
      <c r="D23" s="14">
        <f>cleaned_data!$I$22</f>
        <v>87.6</v>
      </c>
      <c r="E23" s="14">
        <f>cleaned_data!$H$22</f>
        <v>9</v>
      </c>
      <c r="F23" s="14">
        <f>dummy_variables!$D$22</f>
        <v>0</v>
      </c>
      <c r="G23" s="14">
        <f>dummy_variables!$E$22</f>
        <v>0</v>
      </c>
      <c r="H23" s="14">
        <f>dummy_variables!$F$22</f>
        <v>1</v>
      </c>
      <c r="I23" s="14">
        <f>dummy_variables!$G$22</f>
        <v>0</v>
      </c>
      <c r="J23" s="14">
        <f>dummy_variables!$H$22</f>
        <v>1</v>
      </c>
      <c r="K23" s="14">
        <f>dummy_variables!$I$22</f>
        <v>0</v>
      </c>
      <c r="N23" s="17" t="s">
        <v>106</v>
      </c>
      <c r="O23" s="18">
        <f>S$8</f>
        <v>22531.678817318316</v>
      </c>
      <c r="P23" s="18">
        <f>S$9</f>
        <v>9298.2819978512962</v>
      </c>
      <c r="Q23" s="19">
        <f>S$8/S$9</f>
        <v>2.4232088059412562</v>
      </c>
      <c r="R23" s="20">
        <f>TDIST(ABS(S$8/S$9),309,2)</f>
        <v>1.5958367828012618E-2</v>
      </c>
    </row>
    <row r="24" spans="1:18" ht="15" customHeight="1">
      <c r="A24" s="14">
        <f>cleaned_data!$M$23</f>
        <v>666573.19999999995</v>
      </c>
      <c r="B24" s="14">
        <f>cleaned_data!$F$23</f>
        <v>5538</v>
      </c>
      <c r="C24" s="14">
        <f>cleaned_data!$E$23</f>
        <v>78831.12</v>
      </c>
      <c r="D24" s="14">
        <f>cleaned_data!$I$23</f>
        <v>94.1</v>
      </c>
      <c r="E24" s="14">
        <f>cleaned_data!$H$23</f>
        <v>15</v>
      </c>
      <c r="F24" s="14">
        <f>dummy_variables!$D$23</f>
        <v>0</v>
      </c>
      <c r="G24" s="14">
        <f>dummy_variables!$E$23</f>
        <v>0</v>
      </c>
      <c r="H24" s="14">
        <f>dummy_variables!$F$23</f>
        <v>1</v>
      </c>
      <c r="I24" s="14">
        <f>dummy_variables!$G$23</f>
        <v>0</v>
      </c>
      <c r="J24" s="14">
        <f>dummy_variables!$H$23</f>
        <v>1</v>
      </c>
      <c r="K24" s="14">
        <f>dummy_variables!$I$23</f>
        <v>0</v>
      </c>
      <c r="N24" s="17" t="s">
        <v>107</v>
      </c>
      <c r="O24" s="18">
        <f>R$8</f>
        <v>12191.541604355167</v>
      </c>
      <c r="P24" s="18">
        <f>R$9</f>
        <v>6510.451945369402</v>
      </c>
      <c r="Q24" s="19">
        <f>R$8/R$9</f>
        <v>1.8726106431100338</v>
      </c>
      <c r="R24" s="20">
        <f>TDIST(ABS(R$8/R$9),309,2)</f>
        <v>6.2066335221989052E-2</v>
      </c>
    </row>
    <row r="25" spans="1:18" ht="15" customHeight="1">
      <c r="A25" s="14">
        <f>cleaned_data!$M$24</f>
        <v>591619.94999999995</v>
      </c>
      <c r="B25" s="14">
        <f>cleaned_data!$F$24</f>
        <v>4865</v>
      </c>
      <c r="C25" s="14">
        <f>cleaned_data!$E$24</f>
        <v>41441.93</v>
      </c>
      <c r="D25" s="14">
        <f>cleaned_data!$I$24</f>
        <v>88.3</v>
      </c>
      <c r="E25" s="14">
        <f>cleaned_data!$H$24</f>
        <v>16</v>
      </c>
      <c r="F25" s="14">
        <f>dummy_variables!$D$24</f>
        <v>0</v>
      </c>
      <c r="G25" s="14">
        <f>dummy_variables!$E$24</f>
        <v>0</v>
      </c>
      <c r="H25" s="14">
        <f>dummy_variables!$F$24</f>
        <v>1</v>
      </c>
      <c r="I25" s="14">
        <f>dummy_variables!$G$24</f>
        <v>0</v>
      </c>
      <c r="J25" s="14">
        <f>dummy_variables!$H$24</f>
        <v>1</v>
      </c>
      <c r="K25" s="14">
        <f>dummy_variables!$I$24</f>
        <v>0</v>
      </c>
      <c r="N25" s="17" t="s">
        <v>108</v>
      </c>
      <c r="O25" s="18">
        <f>Q$8</f>
        <v>-17402.34800431351</v>
      </c>
      <c r="P25" s="18">
        <f>Q$9</f>
        <v>6006.0990319518269</v>
      </c>
      <c r="Q25" s="19">
        <f>Q$8/Q$9</f>
        <v>-2.897446064697704</v>
      </c>
      <c r="R25" s="20">
        <f>TDIST(ABS(Q$8/Q$9),309,2)</f>
        <v>4.0309686683622009E-3</v>
      </c>
    </row>
    <row r="26" spans="1:18" ht="15" customHeight="1">
      <c r="A26" s="14">
        <f>cleaned_data!$M$25</f>
        <v>415721.82</v>
      </c>
      <c r="B26" s="14">
        <f>cleaned_data!$F$25</f>
        <v>2822</v>
      </c>
      <c r="C26" s="14">
        <f>cleaned_data!$E$25</f>
        <v>30356.28</v>
      </c>
      <c r="D26" s="14">
        <f>cleaned_data!$I$25</f>
        <v>84.8</v>
      </c>
      <c r="E26" s="14">
        <f>cleaned_data!$H$25</f>
        <v>9</v>
      </c>
      <c r="F26" s="14">
        <f>dummy_variables!$D$25</f>
        <v>0</v>
      </c>
      <c r="G26" s="14">
        <f>dummy_variables!$E$25</f>
        <v>0</v>
      </c>
      <c r="H26" s="14">
        <f>dummy_variables!$F$25</f>
        <v>1</v>
      </c>
      <c r="I26" s="14">
        <f>dummy_variables!$G$25</f>
        <v>1</v>
      </c>
      <c r="J26" s="14">
        <f>dummy_variables!$H$25</f>
        <v>0</v>
      </c>
      <c r="K26" s="14">
        <f>dummy_variables!$I$25</f>
        <v>0</v>
      </c>
      <c r="N26" s="17" t="s">
        <v>109</v>
      </c>
      <c r="O26" s="18">
        <f>P$8</f>
        <v>7601.2301494810736</v>
      </c>
      <c r="P26" s="18">
        <f>P$9</f>
        <v>7032.3393749582056</v>
      </c>
      <c r="Q26" s="19">
        <f>P$8/P$9</f>
        <v>1.0808963766095616</v>
      </c>
      <c r="R26" s="20">
        <f>TDIST(ABS(P$8/P$9),309,2)</f>
        <v>0.28058608598087731</v>
      </c>
    </row>
    <row r="27" spans="1:18" ht="15" customHeight="1">
      <c r="A27" s="14">
        <f>cleaned_data!$M$26</f>
        <v>491905.13</v>
      </c>
      <c r="B27" s="14">
        <f>cleaned_data!$F$26</f>
        <v>2121</v>
      </c>
      <c r="C27" s="14">
        <f>cleaned_data!$E$26</f>
        <v>33518.879999999997</v>
      </c>
      <c r="D27" s="14">
        <f>cleaned_data!$I$26</f>
        <v>88.5</v>
      </c>
      <c r="E27" s="14">
        <f>cleaned_data!$H$26</f>
        <v>8</v>
      </c>
      <c r="F27" s="14">
        <f>dummy_variables!$D$26</f>
        <v>0</v>
      </c>
      <c r="G27" s="14">
        <f>dummy_variables!$E$26</f>
        <v>0</v>
      </c>
      <c r="H27" s="14">
        <f>dummy_variables!$F$26</f>
        <v>1</v>
      </c>
      <c r="I27" s="14">
        <f>dummy_variables!$G$26</f>
        <v>1</v>
      </c>
      <c r="J27" s="14">
        <f>dummy_variables!$H$26</f>
        <v>0</v>
      </c>
      <c r="K27" s="14">
        <f>dummy_variables!$I$26</f>
        <v>0</v>
      </c>
      <c r="N27" s="17" t="s">
        <v>110</v>
      </c>
      <c r="O27" s="18">
        <f>O$8</f>
        <v>20900.935912220066</v>
      </c>
      <c r="P27" s="18">
        <f>O$9</f>
        <v>7094.5214027938928</v>
      </c>
      <c r="Q27" s="19">
        <f>O$8/O$9</f>
        <v>2.94606707423408</v>
      </c>
      <c r="R27" s="20">
        <f>TDIST(ABS(O$8/O$9),309,2)</f>
        <v>3.4631170716708224E-3</v>
      </c>
    </row>
    <row r="28" spans="1:18" ht="15" customHeight="1">
      <c r="A28" s="14">
        <f>cleaned_data!$M$27</f>
        <v>555929.4</v>
      </c>
      <c r="B28" s="14">
        <f>cleaned_data!$F$27</f>
        <v>3364</v>
      </c>
      <c r="C28" s="14">
        <f>cleaned_data!$E$27</f>
        <v>42267.37</v>
      </c>
      <c r="D28" s="14">
        <f>cleaned_data!$I$27</f>
        <v>82</v>
      </c>
      <c r="E28" s="14">
        <f>cleaned_data!$H$27</f>
        <v>13</v>
      </c>
      <c r="F28" s="14">
        <f>dummy_variables!$D$27</f>
        <v>0</v>
      </c>
      <c r="G28" s="14">
        <f>dummy_variables!$E$27</f>
        <v>0</v>
      </c>
      <c r="H28" s="14">
        <f>dummy_variables!$F$27</f>
        <v>1</v>
      </c>
      <c r="I28" s="14">
        <f>dummy_variables!$G$27</f>
        <v>1</v>
      </c>
      <c r="J28" s="14">
        <f>dummy_variables!$H$27</f>
        <v>0</v>
      </c>
      <c r="K28" s="14">
        <f>dummy_variables!$I$27</f>
        <v>0</v>
      </c>
      <c r="N28" s="17" t="s">
        <v>111</v>
      </c>
      <c r="O28" s="18">
        <f>N$8</f>
        <v>18892.972486297844</v>
      </c>
      <c r="P28" s="18">
        <f>N$9</f>
        <v>6280.398398121868</v>
      </c>
      <c r="Q28" s="19">
        <f>N$8/N$9</f>
        <v>3.0082442686992157</v>
      </c>
      <c r="R28" s="20">
        <f>TDIST(ABS(N$8/N$9),309,2)</f>
        <v>2.8436530757096025E-3</v>
      </c>
    </row>
    <row r="29" spans="1:18" ht="15" customHeight="1">
      <c r="A29" s="14">
        <f>cleaned_data!$M$28</f>
        <v>565810.99</v>
      </c>
      <c r="B29" s="14">
        <f>cleaned_data!$F$28</f>
        <v>2613</v>
      </c>
      <c r="C29" s="14">
        <f>cleaned_data!$E$28</f>
        <v>62060.43</v>
      </c>
      <c r="D29" s="14">
        <f>cleaned_data!$I$28</f>
        <v>92.1</v>
      </c>
      <c r="E29" s="14">
        <f>cleaned_data!$H$28</f>
        <v>12</v>
      </c>
      <c r="F29" s="14">
        <f>dummy_variables!$D$28</f>
        <v>0</v>
      </c>
      <c r="G29" s="14">
        <f>dummy_variables!$E$28</f>
        <v>0</v>
      </c>
      <c r="H29" s="14">
        <f>dummy_variables!$F$28</f>
        <v>1</v>
      </c>
      <c r="I29" s="14">
        <f>dummy_variables!$G$28</f>
        <v>1</v>
      </c>
      <c r="J29" s="14">
        <f>dummy_variables!$H$28</f>
        <v>0</v>
      </c>
      <c r="K29" s="14">
        <f>dummy_variables!$I$28</f>
        <v>0</v>
      </c>
    </row>
    <row r="30" spans="1:18" ht="15" customHeight="1">
      <c r="A30" s="14">
        <f>cleaned_data!$M$29</f>
        <v>811771.14</v>
      </c>
      <c r="B30" s="14">
        <f>cleaned_data!$F$29</f>
        <v>10218</v>
      </c>
      <c r="C30" s="14">
        <f>cleaned_data!$E$29</f>
        <v>57696.69</v>
      </c>
      <c r="D30" s="14">
        <f>cleaned_data!$I$29</f>
        <v>94.8</v>
      </c>
      <c r="E30" s="14">
        <f>cleaned_data!$H$29</f>
        <v>25</v>
      </c>
      <c r="F30" s="14">
        <f>dummy_variables!$D$29</f>
        <v>0</v>
      </c>
      <c r="G30" s="14">
        <f>dummy_variables!$E$29</f>
        <v>1</v>
      </c>
      <c r="H30" s="14">
        <f>dummy_variables!$F$29</f>
        <v>0</v>
      </c>
      <c r="I30" s="14">
        <f>dummy_variables!$G$29</f>
        <v>0</v>
      </c>
      <c r="J30" s="14">
        <f>dummy_variables!$H$29</f>
        <v>0</v>
      </c>
      <c r="K30" s="14">
        <f>dummy_variables!$I$29</f>
        <v>1</v>
      </c>
      <c r="N30" s="21" t="s">
        <v>117</v>
      </c>
      <c r="O30" s="22">
        <f>N10</f>
        <v>0.82955522891971933</v>
      </c>
    </row>
    <row r="31" spans="1:18" ht="15" customHeight="1">
      <c r="A31" s="14">
        <f>cleaned_data!$M$30</f>
        <v>800451.94</v>
      </c>
      <c r="B31" s="14">
        <f>cleaned_data!$F$30</f>
        <v>8927</v>
      </c>
      <c r="C31" s="14">
        <f>cleaned_data!$E$30</f>
        <v>172415.52</v>
      </c>
      <c r="D31" s="14">
        <f>cleaned_data!$I$30</f>
        <v>86.2</v>
      </c>
      <c r="E31" s="14">
        <f>cleaned_data!$H$30</f>
        <v>22</v>
      </c>
      <c r="F31" s="14">
        <f>dummy_variables!$D$30</f>
        <v>0</v>
      </c>
      <c r="G31" s="14">
        <f>dummy_variables!$E$30</f>
        <v>1</v>
      </c>
      <c r="H31" s="14">
        <f>dummy_variables!$F$30</f>
        <v>0</v>
      </c>
      <c r="I31" s="14">
        <f>dummy_variables!$G$30</f>
        <v>0</v>
      </c>
      <c r="J31" s="14">
        <f>dummy_variables!$H$30</f>
        <v>0</v>
      </c>
      <c r="K31" s="14">
        <f>dummy_variables!$I$30</f>
        <v>1</v>
      </c>
      <c r="N31" s="21" t="s">
        <v>139</v>
      </c>
      <c r="O31" s="23">
        <f>N11</f>
        <v>150.3903957343806</v>
      </c>
    </row>
    <row r="32" spans="1:18" ht="15" customHeight="1">
      <c r="A32" s="14">
        <f>cleaned_data!$M$31</f>
        <v>783672.82</v>
      </c>
      <c r="B32" s="14">
        <f>cleaned_data!$F$31</f>
        <v>9315</v>
      </c>
      <c r="C32" s="14">
        <f>cleaned_data!$E$31</f>
        <v>55270.52</v>
      </c>
      <c r="D32" s="14">
        <f>cleaned_data!$I$31</f>
        <v>91.9</v>
      </c>
      <c r="E32" s="14">
        <f>cleaned_data!$H$31</f>
        <v>23</v>
      </c>
      <c r="F32" s="14">
        <f>dummy_variables!$D$31</f>
        <v>0</v>
      </c>
      <c r="G32" s="14">
        <f>dummy_variables!$E$31</f>
        <v>1</v>
      </c>
      <c r="H32" s="14">
        <f>dummy_variables!$F$31</f>
        <v>0</v>
      </c>
      <c r="I32" s="14">
        <f>dummy_variables!$G$31</f>
        <v>0</v>
      </c>
      <c r="J32" s="14">
        <f>dummy_variables!$H$31</f>
        <v>0</v>
      </c>
      <c r="K32" s="14">
        <f>dummy_variables!$I$31</f>
        <v>1</v>
      </c>
      <c r="N32" s="21" t="s">
        <v>122</v>
      </c>
      <c r="O32" s="24">
        <f>320</f>
        <v>320</v>
      </c>
    </row>
    <row r="33" spans="1:15" ht="15" customHeight="1">
      <c r="A33" s="14">
        <f>cleaned_data!$M$32</f>
        <v>701641.97</v>
      </c>
      <c r="B33" s="14">
        <f>cleaned_data!$F$32</f>
        <v>7223</v>
      </c>
      <c r="C33" s="14">
        <f>cleaned_data!$E$32</f>
        <v>52715.1</v>
      </c>
      <c r="D33" s="14">
        <f>cleaned_data!$I$32</f>
        <v>84.2</v>
      </c>
      <c r="E33" s="14">
        <f>cleaned_data!$H$32</f>
        <v>16</v>
      </c>
      <c r="F33" s="14">
        <f>dummy_variables!$D$32</f>
        <v>0</v>
      </c>
      <c r="G33" s="14">
        <f>dummy_variables!$E$32</f>
        <v>1</v>
      </c>
      <c r="H33" s="14">
        <f>dummy_variables!$F$32</f>
        <v>0</v>
      </c>
      <c r="I33" s="14">
        <f>dummy_variables!$G$32</f>
        <v>0</v>
      </c>
      <c r="J33" s="14">
        <f>dummy_variables!$H$32</f>
        <v>0</v>
      </c>
      <c r="K33" s="14">
        <f>dummy_variables!$I$32</f>
        <v>1</v>
      </c>
      <c r="N33" s="21" t="s">
        <v>140</v>
      </c>
      <c r="O33" s="24">
        <f>10</f>
        <v>10</v>
      </c>
    </row>
    <row r="34" spans="1:15" ht="15" customHeight="1">
      <c r="A34" s="14">
        <f>cleaned_data!$M$33</f>
        <v>511844.41</v>
      </c>
      <c r="B34" s="14">
        <f>cleaned_data!$F$33</f>
        <v>3988</v>
      </c>
      <c r="C34" s="14">
        <f>cleaned_data!$E$33</f>
        <v>68600.62</v>
      </c>
      <c r="D34" s="14">
        <f>cleaned_data!$I$33</f>
        <v>85</v>
      </c>
      <c r="E34" s="14">
        <f>cleaned_data!$H$33</f>
        <v>11</v>
      </c>
      <c r="F34" s="14">
        <f>dummy_variables!$D$33</f>
        <v>0</v>
      </c>
      <c r="G34" s="14">
        <f>dummy_variables!$E$33</f>
        <v>0</v>
      </c>
      <c r="H34" s="14">
        <f>dummy_variables!$F$33</f>
        <v>1</v>
      </c>
      <c r="I34" s="14">
        <f>dummy_variables!$G$33</f>
        <v>0</v>
      </c>
      <c r="J34" s="14">
        <f>dummy_variables!$H$33</f>
        <v>0</v>
      </c>
      <c r="K34" s="14">
        <f>dummy_variables!$I$33</f>
        <v>0</v>
      </c>
    </row>
    <row r="35" spans="1:15" ht="15" customHeight="1">
      <c r="A35" s="14">
        <f>cleaned_data!$M$34</f>
        <v>537383.79</v>
      </c>
      <c r="B35" s="14">
        <f>cleaned_data!$F$34</f>
        <v>2390</v>
      </c>
      <c r="C35" s="14">
        <f>cleaned_data!$E$34</f>
        <v>63176.73</v>
      </c>
      <c r="D35" s="14">
        <f>cleaned_data!$I$34</f>
        <v>87.5</v>
      </c>
      <c r="E35" s="14">
        <f>cleaned_data!$H$34</f>
        <v>9</v>
      </c>
      <c r="F35" s="14">
        <f>dummy_variables!$D$34</f>
        <v>0</v>
      </c>
      <c r="G35" s="14">
        <f>dummy_variables!$E$34</f>
        <v>0</v>
      </c>
      <c r="H35" s="14">
        <f>dummy_variables!$F$34</f>
        <v>1</v>
      </c>
      <c r="I35" s="14">
        <f>dummy_variables!$G$34</f>
        <v>0</v>
      </c>
      <c r="J35" s="14">
        <f>dummy_variables!$H$34</f>
        <v>0</v>
      </c>
      <c r="K35" s="14">
        <f>dummy_variables!$I$34</f>
        <v>0</v>
      </c>
    </row>
    <row r="36" spans="1:15" ht="15" customHeight="1">
      <c r="A36" s="14">
        <f>cleaned_data!$M$35</f>
        <v>500173.02</v>
      </c>
      <c r="B36" s="14">
        <f>cleaned_data!$F$35</f>
        <v>2471</v>
      </c>
      <c r="C36" s="14">
        <f>cleaned_data!$E$35</f>
        <v>44970.080000000002</v>
      </c>
      <c r="D36" s="14">
        <f>cleaned_data!$I$35</f>
        <v>87.6</v>
      </c>
      <c r="E36" s="14">
        <f>cleaned_data!$H$35</f>
        <v>11</v>
      </c>
      <c r="F36" s="14">
        <f>dummy_variables!$D$35</f>
        <v>0</v>
      </c>
      <c r="G36" s="14">
        <f>dummy_variables!$E$35</f>
        <v>0</v>
      </c>
      <c r="H36" s="14">
        <f>dummy_variables!$F$35</f>
        <v>1</v>
      </c>
      <c r="I36" s="14">
        <f>dummy_variables!$G$35</f>
        <v>0</v>
      </c>
      <c r="J36" s="14">
        <f>dummy_variables!$H$35</f>
        <v>0</v>
      </c>
      <c r="K36" s="14">
        <f>dummy_variables!$I$35</f>
        <v>0</v>
      </c>
    </row>
    <row r="37" spans="1:15" ht="15" customHeight="1">
      <c r="A37" s="14">
        <f>cleaned_data!$M$36</f>
        <v>427917.38</v>
      </c>
      <c r="B37" s="14">
        <f>cleaned_data!$F$36</f>
        <v>971</v>
      </c>
      <c r="C37" s="14">
        <f>cleaned_data!$E$36</f>
        <v>69816.350000000006</v>
      </c>
      <c r="D37" s="14">
        <f>cleaned_data!$I$36</f>
        <v>89.9</v>
      </c>
      <c r="E37" s="14">
        <f>cleaned_data!$H$36</f>
        <v>5</v>
      </c>
      <c r="F37" s="14">
        <f>dummy_variables!$D$36</f>
        <v>0</v>
      </c>
      <c r="G37" s="14">
        <f>dummy_variables!$E$36</f>
        <v>0</v>
      </c>
      <c r="H37" s="14">
        <f>dummy_variables!$F$36</f>
        <v>1</v>
      </c>
      <c r="I37" s="14">
        <f>dummy_variables!$G$36</f>
        <v>0</v>
      </c>
      <c r="J37" s="14">
        <f>dummy_variables!$H$36</f>
        <v>0</v>
      </c>
      <c r="K37" s="14">
        <f>dummy_variables!$I$36</f>
        <v>0</v>
      </c>
    </row>
    <row r="38" spans="1:15" ht="15" customHeight="1">
      <c r="A38" s="14">
        <f>cleaned_data!$M$37</f>
        <v>641865.03</v>
      </c>
      <c r="B38" s="14">
        <f>cleaned_data!$F$37</f>
        <v>9429</v>
      </c>
      <c r="C38" s="14">
        <f>cleaned_data!$E$37</f>
        <v>54597.83</v>
      </c>
      <c r="D38" s="14">
        <f>cleaned_data!$I$37</f>
        <v>83.3</v>
      </c>
      <c r="E38" s="14">
        <f>cleaned_data!$H$37</f>
        <v>21</v>
      </c>
      <c r="F38" s="14">
        <f>dummy_variables!$D$37</f>
        <v>0</v>
      </c>
      <c r="G38" s="14">
        <f>dummy_variables!$E$37</f>
        <v>0</v>
      </c>
      <c r="H38" s="14">
        <f>dummy_variables!$F$37</f>
        <v>1</v>
      </c>
      <c r="I38" s="14">
        <f>dummy_variables!$G$37</f>
        <v>1</v>
      </c>
      <c r="J38" s="14">
        <f>dummy_variables!$H$37</f>
        <v>0</v>
      </c>
      <c r="K38" s="14">
        <f>dummy_variables!$I$37</f>
        <v>0</v>
      </c>
    </row>
    <row r="39" spans="1:15" ht="15" customHeight="1">
      <c r="A39" s="14">
        <f>cleaned_data!$M$38</f>
        <v>799477.76000000001</v>
      </c>
      <c r="B39" s="14">
        <f>cleaned_data!$F$38</f>
        <v>11695</v>
      </c>
      <c r="C39" s="14">
        <f>cleaned_data!$E$38</f>
        <v>73771.91</v>
      </c>
      <c r="D39" s="14">
        <f>cleaned_data!$I$38</f>
        <v>84.7</v>
      </c>
      <c r="E39" s="14">
        <f>cleaned_data!$H$38</f>
        <v>25</v>
      </c>
      <c r="F39" s="14">
        <f>dummy_variables!$D$38</f>
        <v>0</v>
      </c>
      <c r="G39" s="14">
        <f>dummy_variables!$E$38</f>
        <v>0</v>
      </c>
      <c r="H39" s="14">
        <f>dummy_variables!$F$38</f>
        <v>1</v>
      </c>
      <c r="I39" s="14">
        <f>dummy_variables!$G$38</f>
        <v>1</v>
      </c>
      <c r="J39" s="14">
        <f>dummy_variables!$H$38</f>
        <v>0</v>
      </c>
      <c r="K39" s="14">
        <f>dummy_variables!$I$38</f>
        <v>0</v>
      </c>
    </row>
    <row r="40" spans="1:15" ht="15" customHeight="1">
      <c r="A40" s="14">
        <f>cleaned_data!$M$39</f>
        <v>798952.17</v>
      </c>
      <c r="B40" s="14">
        <f>cleaned_data!$F$39</f>
        <v>9449</v>
      </c>
      <c r="C40" s="14">
        <f>cleaned_data!$E$39</f>
        <v>74413.88</v>
      </c>
      <c r="D40" s="14">
        <f>cleaned_data!$I$39</f>
        <v>92.1</v>
      </c>
      <c r="E40" s="14">
        <f>cleaned_data!$H$39</f>
        <v>23</v>
      </c>
      <c r="F40" s="14">
        <f>dummy_variables!$D$39</f>
        <v>0</v>
      </c>
      <c r="G40" s="14">
        <f>dummy_variables!$E$39</f>
        <v>0</v>
      </c>
      <c r="H40" s="14">
        <f>dummy_variables!$F$39</f>
        <v>1</v>
      </c>
      <c r="I40" s="14">
        <f>dummy_variables!$G$39</f>
        <v>1</v>
      </c>
      <c r="J40" s="14">
        <f>dummy_variables!$H$39</f>
        <v>0</v>
      </c>
      <c r="K40" s="14">
        <f>dummy_variables!$I$39</f>
        <v>0</v>
      </c>
    </row>
    <row r="41" spans="1:15" ht="15" customHeight="1">
      <c r="A41" s="14">
        <f>cleaned_data!$M$40</f>
        <v>800979.78</v>
      </c>
      <c r="B41" s="14">
        <f>cleaned_data!$F$40</f>
        <v>10453</v>
      </c>
      <c r="C41" s="14">
        <f>cleaned_data!$E$40</f>
        <v>52483.77</v>
      </c>
      <c r="D41" s="14">
        <f>cleaned_data!$I$40</f>
        <v>99</v>
      </c>
      <c r="E41" s="14">
        <f>cleaned_data!$H$40</f>
        <v>25</v>
      </c>
      <c r="F41" s="14">
        <f>dummy_variables!$D$40</f>
        <v>0</v>
      </c>
      <c r="G41" s="14">
        <f>dummy_variables!$E$40</f>
        <v>0</v>
      </c>
      <c r="H41" s="14">
        <f>dummy_variables!$F$40</f>
        <v>1</v>
      </c>
      <c r="I41" s="14">
        <f>dummy_variables!$G$40</f>
        <v>1</v>
      </c>
      <c r="J41" s="14">
        <f>dummy_variables!$H$40</f>
        <v>0</v>
      </c>
      <c r="K41" s="14">
        <f>dummy_variables!$I$40</f>
        <v>0</v>
      </c>
    </row>
    <row r="42" spans="1:15" ht="15" customHeight="1">
      <c r="A42" s="14">
        <f>cleaned_data!$M$41</f>
        <v>820593.93</v>
      </c>
      <c r="B42" s="14">
        <f>cleaned_data!$F$41</f>
        <v>8838</v>
      </c>
      <c r="C42" s="14">
        <f>cleaned_data!$E$41</f>
        <v>75269.87</v>
      </c>
      <c r="D42" s="14">
        <f>cleaned_data!$I$41</f>
        <v>83.1</v>
      </c>
      <c r="E42" s="14">
        <f>cleaned_data!$H$41</f>
        <v>21</v>
      </c>
      <c r="F42" s="14">
        <f>dummy_variables!$D$41</f>
        <v>0</v>
      </c>
      <c r="G42" s="14">
        <f>dummy_variables!$E$41</f>
        <v>1</v>
      </c>
      <c r="H42" s="14">
        <f>dummy_variables!$F$41</f>
        <v>0</v>
      </c>
      <c r="I42" s="14">
        <f>dummy_variables!$G$41</f>
        <v>1</v>
      </c>
      <c r="J42" s="14">
        <f>dummy_variables!$H$41</f>
        <v>0</v>
      </c>
      <c r="K42" s="14">
        <f>dummy_variables!$I$41</f>
        <v>0</v>
      </c>
    </row>
    <row r="43" spans="1:15" ht="15" customHeight="1">
      <c r="A43" s="14">
        <f>cleaned_data!$M$42</f>
        <v>718330.53</v>
      </c>
      <c r="B43" s="14">
        <f>cleaned_data!$F$42</f>
        <v>8156</v>
      </c>
      <c r="C43" s="14">
        <f>cleaned_data!$E$42</f>
        <v>61245.41</v>
      </c>
      <c r="D43" s="14">
        <f>cleaned_data!$I$42</f>
        <v>92.9</v>
      </c>
      <c r="E43" s="14">
        <f>cleaned_data!$H$42</f>
        <v>19</v>
      </c>
      <c r="F43" s="14">
        <f>dummy_variables!$D$42</f>
        <v>0</v>
      </c>
      <c r="G43" s="14">
        <f>dummy_variables!$E$42</f>
        <v>1</v>
      </c>
      <c r="H43" s="14">
        <f>dummy_variables!$F$42</f>
        <v>0</v>
      </c>
      <c r="I43" s="14">
        <f>dummy_variables!$G$42</f>
        <v>1</v>
      </c>
      <c r="J43" s="14">
        <f>dummy_variables!$H$42</f>
        <v>0</v>
      </c>
      <c r="K43" s="14">
        <f>dummy_variables!$I$42</f>
        <v>0</v>
      </c>
    </row>
    <row r="44" spans="1:15" ht="15" customHeight="1">
      <c r="A44" s="14">
        <f>cleaned_data!$M$43</f>
        <v>736633.4</v>
      </c>
      <c r="B44" s="14">
        <f>cleaned_data!$F$43</f>
        <v>7562</v>
      </c>
      <c r="C44" s="14">
        <f>cleaned_data!$E$43</f>
        <v>93381.26</v>
      </c>
      <c r="D44" s="14">
        <f>cleaned_data!$I$43</f>
        <v>82.9</v>
      </c>
      <c r="E44" s="14">
        <f>cleaned_data!$H$43</f>
        <v>19</v>
      </c>
      <c r="F44" s="14">
        <f>dummy_variables!$D$43</f>
        <v>0</v>
      </c>
      <c r="G44" s="14">
        <f>dummy_variables!$E$43</f>
        <v>1</v>
      </c>
      <c r="H44" s="14">
        <f>dummy_variables!$F$43</f>
        <v>0</v>
      </c>
      <c r="I44" s="14">
        <f>dummy_variables!$G$43</f>
        <v>1</v>
      </c>
      <c r="J44" s="14">
        <f>dummy_variables!$H$43</f>
        <v>0</v>
      </c>
      <c r="K44" s="14">
        <f>dummy_variables!$I$43</f>
        <v>0</v>
      </c>
    </row>
    <row r="45" spans="1:15" ht="15" customHeight="1">
      <c r="A45" s="14">
        <f>cleaned_data!$M$44</f>
        <v>828623.85</v>
      </c>
      <c r="B45" s="14">
        <f>cleaned_data!$F$44</f>
        <v>9598</v>
      </c>
      <c r="C45" s="14">
        <f>cleaned_data!$E$44</f>
        <v>65012.19</v>
      </c>
      <c r="D45" s="14">
        <f>cleaned_data!$I$44</f>
        <v>98.3</v>
      </c>
      <c r="E45" s="14">
        <f>cleaned_data!$H$44</f>
        <v>24</v>
      </c>
      <c r="F45" s="14">
        <f>dummy_variables!$D$44</f>
        <v>0</v>
      </c>
      <c r="G45" s="14">
        <f>dummy_variables!$E$44</f>
        <v>1</v>
      </c>
      <c r="H45" s="14">
        <f>dummy_variables!$F$44</f>
        <v>0</v>
      </c>
      <c r="I45" s="14">
        <f>dummy_variables!$G$44</f>
        <v>1</v>
      </c>
      <c r="J45" s="14">
        <f>dummy_variables!$H$44</f>
        <v>0</v>
      </c>
      <c r="K45" s="14">
        <f>dummy_variables!$I$44</f>
        <v>0</v>
      </c>
    </row>
    <row r="46" spans="1:15" ht="15" customHeight="1">
      <c r="A46" s="14">
        <f>cleaned_data!$M$45</f>
        <v>592195.85</v>
      </c>
      <c r="B46" s="14">
        <f>cleaned_data!$F$45</f>
        <v>3660</v>
      </c>
      <c r="C46" s="14">
        <f>cleaned_data!$E$45</f>
        <v>40462.94</v>
      </c>
      <c r="D46" s="14">
        <f>cleaned_data!$I$45</f>
        <v>95.2</v>
      </c>
      <c r="E46" s="14">
        <f>cleaned_data!$H$45</f>
        <v>11</v>
      </c>
      <c r="F46" s="14">
        <f>dummy_variables!$D$45</f>
        <v>0</v>
      </c>
      <c r="G46" s="14">
        <f>dummy_variables!$E$45</f>
        <v>1</v>
      </c>
      <c r="H46" s="14">
        <f>dummy_variables!$F$45</f>
        <v>0</v>
      </c>
      <c r="I46" s="14">
        <f>dummy_variables!$G$45</f>
        <v>0</v>
      </c>
      <c r="J46" s="14">
        <f>dummy_variables!$H$45</f>
        <v>0</v>
      </c>
      <c r="K46" s="14">
        <f>dummy_variables!$I$45</f>
        <v>0</v>
      </c>
    </row>
    <row r="47" spans="1:15" ht="15" customHeight="1">
      <c r="A47" s="14">
        <f>cleaned_data!$M$46</f>
        <v>532644.46</v>
      </c>
      <c r="B47" s="14">
        <f>cleaned_data!$F$46</f>
        <v>3227</v>
      </c>
      <c r="C47" s="14">
        <f>cleaned_data!$E$46</f>
        <v>46123.88</v>
      </c>
      <c r="D47" s="14">
        <f>cleaned_data!$I$46</f>
        <v>75.400000000000006</v>
      </c>
      <c r="E47" s="14">
        <f>cleaned_data!$H$46</f>
        <v>10</v>
      </c>
      <c r="F47" s="14">
        <f>dummy_variables!$D$46</f>
        <v>0</v>
      </c>
      <c r="G47" s="14">
        <f>dummy_variables!$E$46</f>
        <v>1</v>
      </c>
      <c r="H47" s="14">
        <f>dummy_variables!$F$46</f>
        <v>0</v>
      </c>
      <c r="I47" s="14">
        <f>dummy_variables!$G$46</f>
        <v>0</v>
      </c>
      <c r="J47" s="14">
        <f>dummy_variables!$H$46</f>
        <v>0</v>
      </c>
      <c r="K47" s="14">
        <f>dummy_variables!$I$46</f>
        <v>0</v>
      </c>
    </row>
    <row r="48" spans="1:15" ht="15" customHeight="1">
      <c r="A48" s="14">
        <f>cleaned_data!$M$47</f>
        <v>657429.18000000005</v>
      </c>
      <c r="B48" s="14">
        <f>cleaned_data!$F$47</f>
        <v>3360</v>
      </c>
      <c r="C48" s="14">
        <f>cleaned_data!$E$47</f>
        <v>68077.539999999994</v>
      </c>
      <c r="D48" s="14">
        <f>cleaned_data!$I$47</f>
        <v>88.2</v>
      </c>
      <c r="E48" s="14">
        <f>cleaned_data!$H$47</f>
        <v>14</v>
      </c>
      <c r="F48" s="14">
        <f>dummy_variables!$D$47</f>
        <v>0</v>
      </c>
      <c r="G48" s="14">
        <f>dummy_variables!$E$47</f>
        <v>1</v>
      </c>
      <c r="H48" s="14">
        <f>dummy_variables!$F$47</f>
        <v>0</v>
      </c>
      <c r="I48" s="14">
        <f>dummy_variables!$G$47</f>
        <v>0</v>
      </c>
      <c r="J48" s="14">
        <f>dummy_variables!$H$47</f>
        <v>0</v>
      </c>
      <c r="K48" s="14">
        <f>dummy_variables!$I$47</f>
        <v>0</v>
      </c>
    </row>
    <row r="49" spans="1:11" ht="15" customHeight="1">
      <c r="A49" s="14">
        <f>cleaned_data!$M$48</f>
        <v>605178</v>
      </c>
      <c r="B49" s="14">
        <f>cleaned_data!$F$48</f>
        <v>3642</v>
      </c>
      <c r="C49" s="14">
        <f>cleaned_data!$E$48</f>
        <v>64882.14</v>
      </c>
      <c r="D49" s="14">
        <f>cleaned_data!$I$48</f>
        <v>87.8</v>
      </c>
      <c r="E49" s="14">
        <f>cleaned_data!$H$48</f>
        <v>13</v>
      </c>
      <c r="F49" s="14">
        <f>dummy_variables!$D$48</f>
        <v>0</v>
      </c>
      <c r="G49" s="14">
        <f>dummy_variables!$E$48</f>
        <v>1</v>
      </c>
      <c r="H49" s="14">
        <f>dummy_variables!$F$48</f>
        <v>0</v>
      </c>
      <c r="I49" s="14">
        <f>dummy_variables!$G$48</f>
        <v>0</v>
      </c>
      <c r="J49" s="14">
        <f>dummy_variables!$H$48</f>
        <v>0</v>
      </c>
      <c r="K49" s="14">
        <f>dummy_variables!$I$48</f>
        <v>0</v>
      </c>
    </row>
    <row r="50" spans="1:11" ht="15" customHeight="1">
      <c r="A50" s="14">
        <f>cleaned_data!$M$49</f>
        <v>595467.6</v>
      </c>
      <c r="B50" s="14">
        <f>cleaned_data!$F$49</f>
        <v>5145</v>
      </c>
      <c r="C50" s="14">
        <f>cleaned_data!$E$49</f>
        <v>138855.51</v>
      </c>
      <c r="D50" s="14">
        <f>cleaned_data!$I$49</f>
        <v>88.2</v>
      </c>
      <c r="E50" s="14">
        <f>cleaned_data!$H$49</f>
        <v>17</v>
      </c>
      <c r="F50" s="14">
        <f>dummy_variables!$D$49</f>
        <v>0</v>
      </c>
      <c r="G50" s="14">
        <f>dummy_variables!$E$49</f>
        <v>0</v>
      </c>
      <c r="H50" s="14">
        <f>dummy_variables!$F$49</f>
        <v>1</v>
      </c>
      <c r="I50" s="14">
        <f>dummy_variables!$G$49</f>
        <v>0</v>
      </c>
      <c r="J50" s="14">
        <f>dummy_variables!$H$49</f>
        <v>0</v>
      </c>
      <c r="K50" s="14">
        <f>dummy_variables!$I$49</f>
        <v>1</v>
      </c>
    </row>
    <row r="51" spans="1:11" ht="15" customHeight="1">
      <c r="A51" s="14">
        <f>cleaned_data!$M$50</f>
        <v>599603.4</v>
      </c>
      <c r="B51" s="14">
        <f>cleaned_data!$F$50</f>
        <v>4460</v>
      </c>
      <c r="C51" s="14">
        <f>cleaned_data!$E$50</f>
        <v>63630.21</v>
      </c>
      <c r="D51" s="14">
        <f>cleaned_data!$I$50</f>
        <v>98.6</v>
      </c>
      <c r="E51" s="14">
        <f>cleaned_data!$H$50</f>
        <v>14</v>
      </c>
      <c r="F51" s="14">
        <f>dummy_variables!$D$50</f>
        <v>0</v>
      </c>
      <c r="G51" s="14">
        <f>dummy_variables!$E$50</f>
        <v>0</v>
      </c>
      <c r="H51" s="14">
        <f>dummy_variables!$F$50</f>
        <v>1</v>
      </c>
      <c r="I51" s="14">
        <f>dummy_variables!$G$50</f>
        <v>0</v>
      </c>
      <c r="J51" s="14">
        <f>dummy_variables!$H$50</f>
        <v>0</v>
      </c>
      <c r="K51" s="14">
        <f>dummy_variables!$I$50</f>
        <v>1</v>
      </c>
    </row>
    <row r="52" spans="1:11" ht="15" customHeight="1">
      <c r="A52" s="14">
        <f>cleaned_data!$M$51</f>
        <v>614800.09</v>
      </c>
      <c r="B52" s="14">
        <f>cleaned_data!$F$51</f>
        <v>3804</v>
      </c>
      <c r="C52" s="14">
        <f>cleaned_data!$E$51</f>
        <v>50043.65</v>
      </c>
      <c r="D52" s="14">
        <f>cleaned_data!$I$51</f>
        <v>90.9</v>
      </c>
      <c r="E52" s="14">
        <f>cleaned_data!$H$51</f>
        <v>11</v>
      </c>
      <c r="F52" s="14">
        <f>dummy_variables!$D$51</f>
        <v>0</v>
      </c>
      <c r="G52" s="14">
        <f>dummy_variables!$E$51</f>
        <v>0</v>
      </c>
      <c r="H52" s="14">
        <f>dummy_variables!$F$51</f>
        <v>1</v>
      </c>
      <c r="I52" s="14">
        <f>dummy_variables!$G$51</f>
        <v>0</v>
      </c>
      <c r="J52" s="14">
        <f>dummy_variables!$H$51</f>
        <v>0</v>
      </c>
      <c r="K52" s="14">
        <f>dummy_variables!$I$51</f>
        <v>1</v>
      </c>
    </row>
    <row r="53" spans="1:11" ht="15" customHeight="1">
      <c r="A53" s="14">
        <f>cleaned_data!$M$52</f>
        <v>585365.73</v>
      </c>
      <c r="B53" s="14">
        <f>cleaned_data!$F$52</f>
        <v>4074</v>
      </c>
      <c r="C53" s="14">
        <f>cleaned_data!$E$52</f>
        <v>42093.84</v>
      </c>
      <c r="D53" s="14">
        <f>cleaned_data!$I$52</f>
        <v>88</v>
      </c>
      <c r="E53" s="14">
        <f>cleaned_data!$H$52</f>
        <v>15</v>
      </c>
      <c r="F53" s="14">
        <f>dummy_variables!$D$52</f>
        <v>0</v>
      </c>
      <c r="G53" s="14">
        <f>dummy_variables!$E$52</f>
        <v>0</v>
      </c>
      <c r="H53" s="14">
        <f>dummy_variables!$F$52</f>
        <v>1</v>
      </c>
      <c r="I53" s="14">
        <f>dummy_variables!$G$52</f>
        <v>0</v>
      </c>
      <c r="J53" s="14">
        <f>dummy_variables!$H$52</f>
        <v>0</v>
      </c>
      <c r="K53" s="14">
        <f>dummy_variables!$I$52</f>
        <v>1</v>
      </c>
    </row>
    <row r="54" spans="1:11" ht="15" customHeight="1">
      <c r="A54" s="14">
        <f>cleaned_data!$M$53</f>
        <v>622811.74</v>
      </c>
      <c r="B54" s="14">
        <f>cleaned_data!$F$53</f>
        <v>5104</v>
      </c>
      <c r="C54" s="14">
        <f>cleaned_data!$E$53</f>
        <v>46624.05</v>
      </c>
      <c r="D54" s="14">
        <f>cleaned_data!$I$53</f>
        <v>97.3</v>
      </c>
      <c r="E54" s="14">
        <f>cleaned_data!$H$53</f>
        <v>11</v>
      </c>
      <c r="F54" s="14">
        <f>dummy_variables!$D$53</f>
        <v>0</v>
      </c>
      <c r="G54" s="14">
        <f>dummy_variables!$E$53</f>
        <v>1</v>
      </c>
      <c r="H54" s="14">
        <f>dummy_variables!$F$53</f>
        <v>0</v>
      </c>
      <c r="I54" s="14">
        <f>dummy_variables!$G$53</f>
        <v>1</v>
      </c>
      <c r="J54" s="14">
        <f>dummy_variables!$H$53</f>
        <v>0</v>
      </c>
      <c r="K54" s="14">
        <f>dummy_variables!$I$53</f>
        <v>0</v>
      </c>
    </row>
    <row r="55" spans="1:11" ht="15" customHeight="1">
      <c r="A55" s="14">
        <f>cleaned_data!$M$54</f>
        <v>603297.56999999995</v>
      </c>
      <c r="B55" s="14">
        <f>cleaned_data!$F$54</f>
        <v>5559</v>
      </c>
      <c r="C55" s="14">
        <f>cleaned_data!$E$54</f>
        <v>49710.29</v>
      </c>
      <c r="D55" s="14">
        <f>cleaned_data!$I$54</f>
        <v>71</v>
      </c>
      <c r="E55" s="14">
        <f>cleaned_data!$H$54</f>
        <v>14</v>
      </c>
      <c r="F55" s="14">
        <f>dummy_variables!$D$54</f>
        <v>0</v>
      </c>
      <c r="G55" s="14">
        <f>dummy_variables!$E$54</f>
        <v>1</v>
      </c>
      <c r="H55" s="14">
        <f>dummy_variables!$F$54</f>
        <v>0</v>
      </c>
      <c r="I55" s="14">
        <f>dummy_variables!$G$54</f>
        <v>1</v>
      </c>
      <c r="J55" s="14">
        <f>dummy_variables!$H$54</f>
        <v>0</v>
      </c>
      <c r="K55" s="14">
        <f>dummy_variables!$I$54</f>
        <v>0</v>
      </c>
    </row>
    <row r="56" spans="1:11" ht="15" customHeight="1">
      <c r="A56" s="14">
        <f>cleaned_data!$M$55</f>
        <v>625672.86</v>
      </c>
      <c r="B56" s="14">
        <f>cleaned_data!$F$55</f>
        <v>5150</v>
      </c>
      <c r="C56" s="14">
        <f>cleaned_data!$E$55</f>
        <v>48287.85</v>
      </c>
      <c r="D56" s="14">
        <f>cleaned_data!$I$55</f>
        <v>80.400000000000006</v>
      </c>
      <c r="E56" s="14">
        <f>cleaned_data!$H$55</f>
        <v>12</v>
      </c>
      <c r="F56" s="14">
        <f>dummy_variables!$D$55</f>
        <v>0</v>
      </c>
      <c r="G56" s="14">
        <f>dummy_variables!$E$55</f>
        <v>1</v>
      </c>
      <c r="H56" s="14">
        <f>dummy_variables!$F$55</f>
        <v>0</v>
      </c>
      <c r="I56" s="14">
        <f>dummy_variables!$G$55</f>
        <v>1</v>
      </c>
      <c r="J56" s="14">
        <f>dummy_variables!$H$55</f>
        <v>0</v>
      </c>
      <c r="K56" s="14">
        <f>dummy_variables!$I$55</f>
        <v>0</v>
      </c>
    </row>
    <row r="57" spans="1:11" ht="15" customHeight="1">
      <c r="A57" s="14">
        <f>cleaned_data!$M$56</f>
        <v>773815.14</v>
      </c>
      <c r="B57" s="14">
        <f>cleaned_data!$F$56</f>
        <v>7189</v>
      </c>
      <c r="C57" s="14">
        <f>cleaned_data!$E$56</f>
        <v>65312.49</v>
      </c>
      <c r="D57" s="14">
        <f>cleaned_data!$I$56</f>
        <v>93.7</v>
      </c>
      <c r="E57" s="14">
        <f>cleaned_data!$H$56</f>
        <v>19</v>
      </c>
      <c r="F57" s="14">
        <f>dummy_variables!$D$56</f>
        <v>0</v>
      </c>
      <c r="G57" s="14">
        <f>dummy_variables!$E$56</f>
        <v>1</v>
      </c>
      <c r="H57" s="14">
        <f>dummy_variables!$F$56</f>
        <v>0</v>
      </c>
      <c r="I57" s="14">
        <f>dummy_variables!$G$56</f>
        <v>1</v>
      </c>
      <c r="J57" s="14">
        <f>dummy_variables!$H$56</f>
        <v>0</v>
      </c>
      <c r="K57" s="14">
        <f>dummy_variables!$I$56</f>
        <v>0</v>
      </c>
    </row>
    <row r="58" spans="1:11" ht="15" customHeight="1">
      <c r="A58" s="14">
        <f>cleaned_data!$M$57</f>
        <v>463534.25</v>
      </c>
      <c r="B58" s="14">
        <f>cleaned_data!$F$57</f>
        <v>3279</v>
      </c>
      <c r="C58" s="14">
        <f>cleaned_data!$E$57</f>
        <v>53015.46</v>
      </c>
      <c r="D58" s="14">
        <f>cleaned_data!$I$57</f>
        <v>84.3</v>
      </c>
      <c r="E58" s="14">
        <f>cleaned_data!$H$57</f>
        <v>9</v>
      </c>
      <c r="F58" s="14">
        <f>dummy_variables!$D$57</f>
        <v>0</v>
      </c>
      <c r="G58" s="14">
        <f>dummy_variables!$E$57</f>
        <v>0</v>
      </c>
      <c r="H58" s="14">
        <f>dummy_variables!$F$57</f>
        <v>0</v>
      </c>
      <c r="I58" s="14">
        <f>dummy_variables!$G$57</f>
        <v>0</v>
      </c>
      <c r="J58" s="14">
        <f>dummy_variables!$H$57</f>
        <v>0</v>
      </c>
      <c r="K58" s="14">
        <f>dummy_variables!$I$57</f>
        <v>1</v>
      </c>
    </row>
    <row r="59" spans="1:11" ht="15" customHeight="1">
      <c r="A59" s="14">
        <f>cleaned_data!$M$58</f>
        <v>746677.75</v>
      </c>
      <c r="B59" s="14">
        <f>cleaned_data!$F$58</f>
        <v>5887</v>
      </c>
      <c r="C59" s="14">
        <f>cleaned_data!$E$58</f>
        <v>99874.01</v>
      </c>
      <c r="D59" s="14">
        <f>cleaned_data!$I$58</f>
        <v>88.7</v>
      </c>
      <c r="E59" s="14">
        <f>cleaned_data!$H$58</f>
        <v>14</v>
      </c>
      <c r="F59" s="14">
        <f>dummy_variables!$D$58</f>
        <v>0</v>
      </c>
      <c r="G59" s="14">
        <f>dummy_variables!$E$58</f>
        <v>0</v>
      </c>
      <c r="H59" s="14">
        <f>dummy_variables!$F$58</f>
        <v>0</v>
      </c>
      <c r="I59" s="14">
        <f>dummy_variables!$G$58</f>
        <v>0</v>
      </c>
      <c r="J59" s="14">
        <f>dummy_variables!$H$58</f>
        <v>0</v>
      </c>
      <c r="K59" s="14">
        <f>dummy_variables!$I$58</f>
        <v>1</v>
      </c>
    </row>
    <row r="60" spans="1:11" ht="15" customHeight="1">
      <c r="A60" s="14">
        <f>cleaned_data!$M$59</f>
        <v>720852.5</v>
      </c>
      <c r="B60" s="14">
        <f>cleaned_data!$F$59</f>
        <v>5516</v>
      </c>
      <c r="C60" s="14">
        <f>cleaned_data!$E$59</f>
        <v>81195.5</v>
      </c>
      <c r="D60" s="14">
        <f>cleaned_data!$I$59</f>
        <v>88</v>
      </c>
      <c r="E60" s="14">
        <f>cleaned_data!$H$59</f>
        <v>14</v>
      </c>
      <c r="F60" s="14">
        <f>dummy_variables!$D$59</f>
        <v>0</v>
      </c>
      <c r="G60" s="14">
        <f>dummy_variables!$E$59</f>
        <v>0</v>
      </c>
      <c r="H60" s="14">
        <f>dummy_variables!$F$59</f>
        <v>0</v>
      </c>
      <c r="I60" s="14">
        <f>dummy_variables!$G$59</f>
        <v>0</v>
      </c>
      <c r="J60" s="14">
        <f>dummy_variables!$H$59</f>
        <v>0</v>
      </c>
      <c r="K60" s="14">
        <f>dummy_variables!$I$59</f>
        <v>1</v>
      </c>
    </row>
    <row r="61" spans="1:11" ht="15" customHeight="1">
      <c r="A61" s="14">
        <f>cleaned_data!$M$60</f>
        <v>487464.91</v>
      </c>
      <c r="B61" s="14">
        <f>cleaned_data!$F$60</f>
        <v>2863</v>
      </c>
      <c r="C61" s="14">
        <f>cleaned_data!$E$60</f>
        <v>27808.6</v>
      </c>
      <c r="D61" s="14">
        <f>cleaned_data!$I$60</f>
        <v>89.3</v>
      </c>
      <c r="E61" s="14">
        <f>cleaned_data!$H$60</f>
        <v>13</v>
      </c>
      <c r="F61" s="14">
        <f>dummy_variables!$D$60</f>
        <v>0</v>
      </c>
      <c r="G61" s="14">
        <f>dummy_variables!$E$60</f>
        <v>0</v>
      </c>
      <c r="H61" s="14">
        <f>dummy_variables!$F$60</f>
        <v>0</v>
      </c>
      <c r="I61" s="14">
        <f>dummy_variables!$G$60</f>
        <v>0</v>
      </c>
      <c r="J61" s="14">
        <f>dummy_variables!$H$60</f>
        <v>0</v>
      </c>
      <c r="K61" s="14">
        <f>dummy_variables!$I$60</f>
        <v>1</v>
      </c>
    </row>
    <row r="62" spans="1:11" ht="15" customHeight="1">
      <c r="A62" s="14">
        <f>cleaned_data!$M$61</f>
        <v>518049.26</v>
      </c>
      <c r="B62" s="14">
        <f>cleaned_data!$F$61</f>
        <v>2378</v>
      </c>
      <c r="C62" s="14">
        <f>cleaned_data!$E$61</f>
        <v>19365.060000000001</v>
      </c>
      <c r="D62" s="14">
        <f>cleaned_data!$I$61</f>
        <v>94.8</v>
      </c>
      <c r="E62" s="14">
        <f>cleaned_data!$H$61</f>
        <v>12</v>
      </c>
      <c r="F62" s="14">
        <f>dummy_variables!$D$61</f>
        <v>1</v>
      </c>
      <c r="G62" s="14">
        <f>dummy_variables!$E$61</f>
        <v>0</v>
      </c>
      <c r="H62" s="14">
        <f>dummy_variables!$F$61</f>
        <v>0</v>
      </c>
      <c r="I62" s="14">
        <f>dummy_variables!$G$61</f>
        <v>0</v>
      </c>
      <c r="J62" s="14">
        <f>dummy_variables!$H$61</f>
        <v>0</v>
      </c>
      <c r="K62" s="14">
        <f>dummy_variables!$I$61</f>
        <v>0</v>
      </c>
    </row>
    <row r="63" spans="1:11" ht="15" customHeight="1">
      <c r="A63" s="14">
        <f>cleaned_data!$M$62</f>
        <v>500298.48</v>
      </c>
      <c r="B63" s="14">
        <f>cleaned_data!$F$62</f>
        <v>2515</v>
      </c>
      <c r="C63" s="14">
        <f>cleaned_data!$E$62</f>
        <v>59405.68</v>
      </c>
      <c r="D63" s="14">
        <f>cleaned_data!$I$62</f>
        <v>76</v>
      </c>
      <c r="E63" s="14">
        <f>cleaned_data!$H$62</f>
        <v>12</v>
      </c>
      <c r="F63" s="14">
        <f>dummy_variables!$D$62</f>
        <v>1</v>
      </c>
      <c r="G63" s="14">
        <f>dummy_variables!$E$62</f>
        <v>0</v>
      </c>
      <c r="H63" s="14">
        <f>dummy_variables!$F$62</f>
        <v>0</v>
      </c>
      <c r="I63" s="14">
        <f>dummy_variables!$G$62</f>
        <v>0</v>
      </c>
      <c r="J63" s="14">
        <f>dummy_variables!$H$62</f>
        <v>0</v>
      </c>
      <c r="K63" s="14">
        <f>dummy_variables!$I$62</f>
        <v>0</v>
      </c>
    </row>
    <row r="64" spans="1:11" ht="15" customHeight="1">
      <c r="A64" s="14">
        <f>cleaned_data!$M$63</f>
        <v>617291.15</v>
      </c>
      <c r="B64" s="14">
        <f>cleaned_data!$F$63</f>
        <v>4022</v>
      </c>
      <c r="C64" s="14">
        <f>cleaned_data!$E$63</f>
        <v>118910.48</v>
      </c>
      <c r="D64" s="14">
        <f>cleaned_data!$I$63</f>
        <v>87.1</v>
      </c>
      <c r="E64" s="14">
        <f>cleaned_data!$H$63</f>
        <v>11</v>
      </c>
      <c r="F64" s="14">
        <f>dummy_variables!$D$63</f>
        <v>1</v>
      </c>
      <c r="G64" s="14">
        <f>dummy_variables!$E$63</f>
        <v>0</v>
      </c>
      <c r="H64" s="14">
        <f>dummy_variables!$F$63</f>
        <v>0</v>
      </c>
      <c r="I64" s="14">
        <f>dummy_variables!$G$63</f>
        <v>0</v>
      </c>
      <c r="J64" s="14">
        <f>dummy_variables!$H$63</f>
        <v>0</v>
      </c>
      <c r="K64" s="14">
        <f>dummy_variables!$I$63</f>
        <v>0</v>
      </c>
    </row>
    <row r="65" spans="1:11" ht="15" customHeight="1">
      <c r="A65" s="14">
        <f>cleaned_data!$M$64</f>
        <v>553756.43000000005</v>
      </c>
      <c r="B65" s="14">
        <f>cleaned_data!$F$64</f>
        <v>4377</v>
      </c>
      <c r="C65" s="14">
        <f>cleaned_data!$E$64</f>
        <v>52952.12</v>
      </c>
      <c r="D65" s="14">
        <f>cleaned_data!$I$64</f>
        <v>88.6</v>
      </c>
      <c r="E65" s="14">
        <f>cleaned_data!$H$64</f>
        <v>14</v>
      </c>
      <c r="F65" s="14">
        <f>dummy_variables!$D$64</f>
        <v>1</v>
      </c>
      <c r="G65" s="14">
        <f>dummy_variables!$E$64</f>
        <v>0</v>
      </c>
      <c r="H65" s="14">
        <f>dummy_variables!$F$64</f>
        <v>0</v>
      </c>
      <c r="I65" s="14">
        <f>dummy_variables!$G$64</f>
        <v>0</v>
      </c>
      <c r="J65" s="14">
        <f>dummy_variables!$H$64</f>
        <v>0</v>
      </c>
      <c r="K65" s="14">
        <f>dummy_variables!$I$64</f>
        <v>0</v>
      </c>
    </row>
    <row r="66" spans="1:11" ht="15" customHeight="1">
      <c r="A66" s="14">
        <f>cleaned_data!$M$65</f>
        <v>749559.71</v>
      </c>
      <c r="B66" s="14">
        <f>cleaned_data!$F$65</f>
        <v>5306</v>
      </c>
      <c r="C66" s="14">
        <f>cleaned_data!$E$65</f>
        <v>74907.98</v>
      </c>
      <c r="D66" s="14">
        <f>cleaned_data!$I$65</f>
        <v>95.6</v>
      </c>
      <c r="E66" s="14">
        <f>cleaned_data!$H$65</f>
        <v>16</v>
      </c>
      <c r="F66" s="14">
        <f>dummy_variables!$D$65</f>
        <v>0</v>
      </c>
      <c r="G66" s="14">
        <f>dummy_variables!$E$65</f>
        <v>0</v>
      </c>
      <c r="H66" s="14">
        <f>dummy_variables!$F$65</f>
        <v>0</v>
      </c>
      <c r="I66" s="14">
        <f>dummy_variables!$G$65</f>
        <v>0</v>
      </c>
      <c r="J66" s="14">
        <f>dummy_variables!$H$65</f>
        <v>1</v>
      </c>
      <c r="K66" s="14">
        <f>dummy_variables!$I$65</f>
        <v>0</v>
      </c>
    </row>
    <row r="67" spans="1:11" ht="15" customHeight="1">
      <c r="A67" s="14">
        <f>cleaned_data!$M$66</f>
        <v>615966.48</v>
      </c>
      <c r="B67" s="14">
        <f>cleaned_data!$F$66</f>
        <v>3928</v>
      </c>
      <c r="C67" s="14">
        <f>cleaned_data!$E$66</f>
        <v>37284.660000000003</v>
      </c>
      <c r="D67" s="14">
        <f>cleaned_data!$I$66</f>
        <v>86.5</v>
      </c>
      <c r="E67" s="14">
        <f>cleaned_data!$H$66</f>
        <v>12</v>
      </c>
      <c r="F67" s="14">
        <f>dummy_variables!$D$66</f>
        <v>0</v>
      </c>
      <c r="G67" s="14">
        <f>dummy_variables!$E$66</f>
        <v>0</v>
      </c>
      <c r="H67" s="14">
        <f>dummy_variables!$F$66</f>
        <v>0</v>
      </c>
      <c r="I67" s="14">
        <f>dummy_variables!$G$66</f>
        <v>0</v>
      </c>
      <c r="J67" s="14">
        <f>dummy_variables!$H$66</f>
        <v>1</v>
      </c>
      <c r="K67" s="14">
        <f>dummy_variables!$I$66</f>
        <v>0</v>
      </c>
    </row>
    <row r="68" spans="1:11" ht="15" customHeight="1">
      <c r="A68" s="14">
        <f>cleaned_data!$M$67</f>
        <v>572011.19999999995</v>
      </c>
      <c r="B68" s="14">
        <f>cleaned_data!$F$67</f>
        <v>3845</v>
      </c>
      <c r="C68" s="14">
        <f>cleaned_data!$E$67</f>
        <v>50343.19</v>
      </c>
      <c r="D68" s="14">
        <f>cleaned_data!$I$67</f>
        <v>88.7</v>
      </c>
      <c r="E68" s="14">
        <f>cleaned_data!$H$67</f>
        <v>9</v>
      </c>
      <c r="F68" s="14">
        <f>dummy_variables!$D$67</f>
        <v>0</v>
      </c>
      <c r="G68" s="14">
        <f>dummy_variables!$E$67</f>
        <v>0</v>
      </c>
      <c r="H68" s="14">
        <f>dummy_variables!$F$67</f>
        <v>0</v>
      </c>
      <c r="I68" s="14">
        <f>dummy_variables!$G$67</f>
        <v>0</v>
      </c>
      <c r="J68" s="14">
        <f>dummy_variables!$H$67</f>
        <v>1</v>
      </c>
      <c r="K68" s="14">
        <f>dummy_variables!$I$67</f>
        <v>0</v>
      </c>
    </row>
    <row r="69" spans="1:11" ht="15" customHeight="1">
      <c r="A69" s="14">
        <f>cleaned_data!$M$68</f>
        <v>761860.19</v>
      </c>
      <c r="B69" s="14">
        <f>cleaned_data!$F$68</f>
        <v>6620</v>
      </c>
      <c r="C69" s="14">
        <f>cleaned_data!$E$68</f>
        <v>74954.47</v>
      </c>
      <c r="D69" s="14">
        <f>cleaned_data!$I$68</f>
        <v>91.1</v>
      </c>
      <c r="E69" s="14">
        <f>cleaned_data!$H$68</f>
        <v>17</v>
      </c>
      <c r="F69" s="14">
        <f>dummy_variables!$D$68</f>
        <v>0</v>
      </c>
      <c r="G69" s="14">
        <f>dummy_variables!$E$68</f>
        <v>0</v>
      </c>
      <c r="H69" s="14">
        <f>dummy_variables!$F$68</f>
        <v>0</v>
      </c>
      <c r="I69" s="14">
        <f>dummy_variables!$G$68</f>
        <v>0</v>
      </c>
      <c r="J69" s="14">
        <f>dummy_variables!$H$68</f>
        <v>1</v>
      </c>
      <c r="K69" s="14">
        <f>dummy_variables!$I$68</f>
        <v>0</v>
      </c>
    </row>
    <row r="70" spans="1:11" ht="15" customHeight="1">
      <c r="A70" s="14">
        <f>cleaned_data!$M$69</f>
        <v>784502.68</v>
      </c>
      <c r="B70" s="14">
        <f>cleaned_data!$F$69</f>
        <v>9175</v>
      </c>
      <c r="C70" s="14">
        <f>cleaned_data!$E$69</f>
        <v>70040.31</v>
      </c>
      <c r="D70" s="14">
        <f>cleaned_data!$I$69</f>
        <v>95.1</v>
      </c>
      <c r="E70" s="14">
        <f>cleaned_data!$H$69</f>
        <v>23</v>
      </c>
      <c r="F70" s="14">
        <f>dummy_variables!$D$69</f>
        <v>0</v>
      </c>
      <c r="G70" s="14">
        <f>dummy_variables!$E$69</f>
        <v>0</v>
      </c>
      <c r="H70" s="14">
        <f>dummy_variables!$F$69</f>
        <v>0</v>
      </c>
      <c r="I70" s="14">
        <f>dummy_variables!$G$69</f>
        <v>0</v>
      </c>
      <c r="J70" s="14">
        <f>dummy_variables!$H$69</f>
        <v>0</v>
      </c>
      <c r="K70" s="14">
        <f>dummy_variables!$I$69</f>
        <v>1</v>
      </c>
    </row>
    <row r="71" spans="1:11" ht="15" customHeight="1">
      <c r="A71" s="14">
        <f>cleaned_data!$M$70</f>
        <v>717141.55</v>
      </c>
      <c r="B71" s="14">
        <f>cleaned_data!$F$70</f>
        <v>7940</v>
      </c>
      <c r="C71" s="14">
        <f>cleaned_data!$E$70</f>
        <v>51148.69</v>
      </c>
      <c r="D71" s="14">
        <f>cleaned_data!$I$70</f>
        <v>93.3</v>
      </c>
      <c r="E71" s="14">
        <f>cleaned_data!$H$70</f>
        <v>18</v>
      </c>
      <c r="F71" s="14">
        <f>dummy_variables!$D$70</f>
        <v>0</v>
      </c>
      <c r="G71" s="14">
        <f>dummy_variables!$E$70</f>
        <v>0</v>
      </c>
      <c r="H71" s="14">
        <f>dummy_variables!$F$70</f>
        <v>0</v>
      </c>
      <c r="I71" s="14">
        <f>dummy_variables!$G$70</f>
        <v>0</v>
      </c>
      <c r="J71" s="14">
        <f>dummy_variables!$H$70</f>
        <v>0</v>
      </c>
      <c r="K71" s="14">
        <f>dummy_variables!$I$70</f>
        <v>1</v>
      </c>
    </row>
    <row r="72" spans="1:11" ht="15" customHeight="1">
      <c r="A72" s="14">
        <f>cleaned_data!$M$71</f>
        <v>685379.08</v>
      </c>
      <c r="B72" s="14">
        <f>cleaned_data!$F$71</f>
        <v>9628</v>
      </c>
      <c r="C72" s="14">
        <f>cleaned_data!$E$71</f>
        <v>79346.100000000006</v>
      </c>
      <c r="D72" s="14">
        <f>cleaned_data!$I$71</f>
        <v>99</v>
      </c>
      <c r="E72" s="14">
        <f>cleaned_data!$H$71</f>
        <v>20</v>
      </c>
      <c r="F72" s="14">
        <f>dummy_variables!$D$71</f>
        <v>0</v>
      </c>
      <c r="G72" s="14">
        <f>dummy_variables!$E$71</f>
        <v>0</v>
      </c>
      <c r="H72" s="14">
        <f>dummy_variables!$F$71</f>
        <v>0</v>
      </c>
      <c r="I72" s="14">
        <f>dummy_variables!$G$71</f>
        <v>0</v>
      </c>
      <c r="J72" s="14">
        <f>dummy_variables!$H$71</f>
        <v>0</v>
      </c>
      <c r="K72" s="14">
        <f>dummy_variables!$I$71</f>
        <v>1</v>
      </c>
    </row>
    <row r="73" spans="1:11" ht="15" customHeight="1">
      <c r="A73" s="14">
        <f>cleaned_data!$M$72</f>
        <v>740496.65</v>
      </c>
      <c r="B73" s="14">
        <f>cleaned_data!$F$72</f>
        <v>8296</v>
      </c>
      <c r="C73" s="14">
        <f>cleaned_data!$E$72</f>
        <v>42018.400000000001</v>
      </c>
      <c r="D73" s="14">
        <f>cleaned_data!$I$72</f>
        <v>91.8</v>
      </c>
      <c r="E73" s="14">
        <f>cleaned_data!$H$72</f>
        <v>17</v>
      </c>
      <c r="F73" s="14">
        <f>dummy_variables!$D$72</f>
        <v>0</v>
      </c>
      <c r="G73" s="14">
        <f>dummy_variables!$E$72</f>
        <v>0</v>
      </c>
      <c r="H73" s="14">
        <f>dummy_variables!$F$72</f>
        <v>0</v>
      </c>
      <c r="I73" s="14">
        <f>dummy_variables!$G$72</f>
        <v>0</v>
      </c>
      <c r="J73" s="14">
        <f>dummy_variables!$H$72</f>
        <v>0</v>
      </c>
      <c r="K73" s="14">
        <f>dummy_variables!$I$72</f>
        <v>1</v>
      </c>
    </row>
    <row r="74" spans="1:11" ht="15" customHeight="1">
      <c r="A74" s="14">
        <f>cleaned_data!$M$73</f>
        <v>661927.14</v>
      </c>
      <c r="B74" s="14">
        <f>cleaned_data!$F$73</f>
        <v>3595</v>
      </c>
      <c r="C74" s="14">
        <f>cleaned_data!$E$73</f>
        <v>70937.240000000005</v>
      </c>
      <c r="D74" s="14">
        <f>cleaned_data!$I$73</f>
        <v>88.9</v>
      </c>
      <c r="E74" s="14">
        <f>cleaned_data!$H$73</f>
        <v>11</v>
      </c>
      <c r="F74" s="14">
        <f>dummy_variables!$D$73</f>
        <v>0</v>
      </c>
      <c r="G74" s="14">
        <f>dummy_variables!$E$73</f>
        <v>0</v>
      </c>
      <c r="H74" s="14">
        <f>dummy_variables!$F$73</f>
        <v>0</v>
      </c>
      <c r="I74" s="14">
        <f>dummy_variables!$G$73</f>
        <v>0</v>
      </c>
      <c r="J74" s="14">
        <f>dummy_variables!$H$73</f>
        <v>0</v>
      </c>
      <c r="K74" s="14">
        <f>dummy_variables!$I$73</f>
        <v>0</v>
      </c>
    </row>
    <row r="75" spans="1:11" ht="15" customHeight="1">
      <c r="A75" s="14">
        <f>cleaned_data!$M$74</f>
        <v>479050.5</v>
      </c>
      <c r="B75" s="14">
        <f>cleaned_data!$F$74</f>
        <v>2834</v>
      </c>
      <c r="C75" s="14">
        <f>cleaned_data!$E$74</f>
        <v>36813.449999999997</v>
      </c>
      <c r="D75" s="14">
        <f>cleaned_data!$I$74</f>
        <v>81.8</v>
      </c>
      <c r="E75" s="14">
        <f>cleaned_data!$H$74</f>
        <v>11</v>
      </c>
      <c r="F75" s="14">
        <f>dummy_variables!$D$74</f>
        <v>0</v>
      </c>
      <c r="G75" s="14">
        <f>dummy_variables!$E$74</f>
        <v>0</v>
      </c>
      <c r="H75" s="14">
        <f>dummy_variables!$F$74</f>
        <v>0</v>
      </c>
      <c r="I75" s="14">
        <f>dummy_variables!$G$74</f>
        <v>0</v>
      </c>
      <c r="J75" s="14">
        <f>dummy_variables!$H$74</f>
        <v>0</v>
      </c>
      <c r="K75" s="14">
        <f>dummy_variables!$I$74</f>
        <v>0</v>
      </c>
    </row>
    <row r="76" spans="1:11" ht="15" customHeight="1">
      <c r="A76" s="14">
        <f>cleaned_data!$M$75</f>
        <v>605023.87</v>
      </c>
      <c r="B76" s="14">
        <f>cleaned_data!$F$75</f>
        <v>3193</v>
      </c>
      <c r="C76" s="14">
        <f>cleaned_data!$E$75</f>
        <v>60571.82</v>
      </c>
      <c r="D76" s="14">
        <f>cleaned_data!$I$75</f>
        <v>99</v>
      </c>
      <c r="E76" s="14">
        <f>cleaned_data!$H$75</f>
        <v>7</v>
      </c>
      <c r="F76" s="14">
        <f>dummy_variables!$D$75</f>
        <v>0</v>
      </c>
      <c r="G76" s="14">
        <f>dummy_variables!$E$75</f>
        <v>0</v>
      </c>
      <c r="H76" s="14">
        <f>dummy_variables!$F$75</f>
        <v>0</v>
      </c>
      <c r="I76" s="14">
        <f>dummy_variables!$G$75</f>
        <v>0</v>
      </c>
      <c r="J76" s="14">
        <f>dummy_variables!$H$75</f>
        <v>0</v>
      </c>
      <c r="K76" s="14">
        <f>dummy_variables!$I$75</f>
        <v>0</v>
      </c>
    </row>
    <row r="77" spans="1:11" ht="15" customHeight="1">
      <c r="A77" s="14">
        <f>cleaned_data!$M$76</f>
        <v>674774.09</v>
      </c>
      <c r="B77" s="14">
        <f>cleaned_data!$F$76</f>
        <v>5485</v>
      </c>
      <c r="C77" s="14">
        <f>cleaned_data!$E$76</f>
        <v>55081.16</v>
      </c>
      <c r="D77" s="14">
        <f>cleaned_data!$I$76</f>
        <v>88</v>
      </c>
      <c r="E77" s="14">
        <f>cleaned_data!$H$76</f>
        <v>12</v>
      </c>
      <c r="F77" s="14">
        <f>dummy_variables!$D$76</f>
        <v>0</v>
      </c>
      <c r="G77" s="14">
        <f>dummy_variables!$E$76</f>
        <v>0</v>
      </c>
      <c r="H77" s="14">
        <f>dummy_variables!$F$76</f>
        <v>0</v>
      </c>
      <c r="I77" s="14">
        <f>dummy_variables!$G$76</f>
        <v>0</v>
      </c>
      <c r="J77" s="14">
        <f>dummy_variables!$H$76</f>
        <v>0</v>
      </c>
      <c r="K77" s="14">
        <f>dummy_variables!$I$76</f>
        <v>0</v>
      </c>
    </row>
    <row r="78" spans="1:11" ht="15" customHeight="1">
      <c r="A78" s="14">
        <f>cleaned_data!$M$77</f>
        <v>616069.41</v>
      </c>
      <c r="B78" s="14">
        <f>cleaned_data!$F$77</f>
        <v>5918</v>
      </c>
      <c r="C78" s="14">
        <f>cleaned_data!$E$77</f>
        <v>46201.46</v>
      </c>
      <c r="D78" s="14">
        <f>cleaned_data!$I$77</f>
        <v>78.8</v>
      </c>
      <c r="E78" s="14">
        <f>cleaned_data!$H$77</f>
        <v>13</v>
      </c>
      <c r="F78" s="14">
        <f>dummy_variables!$D$77</f>
        <v>0</v>
      </c>
      <c r="G78" s="14">
        <f>dummy_variables!$E$77</f>
        <v>0</v>
      </c>
      <c r="H78" s="14">
        <f>dummy_variables!$F$77</f>
        <v>1</v>
      </c>
      <c r="I78" s="14">
        <f>dummy_variables!$G$77</f>
        <v>0</v>
      </c>
      <c r="J78" s="14">
        <f>dummy_variables!$H$77</f>
        <v>0</v>
      </c>
      <c r="K78" s="14">
        <f>dummy_variables!$I$77</f>
        <v>0</v>
      </c>
    </row>
    <row r="79" spans="1:11" ht="15" customHeight="1">
      <c r="A79" s="14">
        <f>cleaned_data!$M$78</f>
        <v>630829.93999999994</v>
      </c>
      <c r="B79" s="14">
        <f>cleaned_data!$F$78</f>
        <v>6821</v>
      </c>
      <c r="C79" s="14">
        <f>cleaned_data!$E$78</f>
        <v>53762.92</v>
      </c>
      <c r="D79" s="14">
        <f>cleaned_data!$I$78</f>
        <v>94.6</v>
      </c>
      <c r="E79" s="14">
        <f>cleaned_data!$H$78</f>
        <v>19</v>
      </c>
      <c r="F79" s="14">
        <f>dummy_variables!$D$78</f>
        <v>0</v>
      </c>
      <c r="G79" s="14">
        <f>dummy_variables!$E$78</f>
        <v>0</v>
      </c>
      <c r="H79" s="14">
        <f>dummy_variables!$F$78</f>
        <v>1</v>
      </c>
      <c r="I79" s="14">
        <f>dummy_variables!$G$78</f>
        <v>0</v>
      </c>
      <c r="J79" s="14">
        <f>dummy_variables!$H$78</f>
        <v>0</v>
      </c>
      <c r="K79" s="14">
        <f>dummy_variables!$I$78</f>
        <v>0</v>
      </c>
    </row>
    <row r="80" spans="1:11" ht="15" customHeight="1">
      <c r="A80" s="14">
        <f>cleaned_data!$M$79</f>
        <v>788087.68</v>
      </c>
      <c r="B80" s="14">
        <f>cleaned_data!$F$79</f>
        <v>6806</v>
      </c>
      <c r="C80" s="14">
        <f>cleaned_data!$E$79</f>
        <v>70144.78</v>
      </c>
      <c r="D80" s="14">
        <f>cleaned_data!$I$79</f>
        <v>93.1</v>
      </c>
      <c r="E80" s="14">
        <f>cleaned_data!$H$79</f>
        <v>20</v>
      </c>
      <c r="F80" s="14">
        <f>dummy_variables!$D$79</f>
        <v>0</v>
      </c>
      <c r="G80" s="14">
        <f>dummy_variables!$E$79</f>
        <v>0</v>
      </c>
      <c r="H80" s="14">
        <f>dummy_variables!$F$79</f>
        <v>1</v>
      </c>
      <c r="I80" s="14">
        <f>dummy_variables!$G$79</f>
        <v>0</v>
      </c>
      <c r="J80" s="14">
        <f>dummy_variables!$H$79</f>
        <v>0</v>
      </c>
      <c r="K80" s="14">
        <f>dummy_variables!$I$79</f>
        <v>0</v>
      </c>
    </row>
    <row r="81" spans="1:11" ht="15" customHeight="1">
      <c r="A81" s="14">
        <f>cleaned_data!$M$80</f>
        <v>680840.36</v>
      </c>
      <c r="B81" s="14">
        <f>cleaned_data!$F$80</f>
        <v>8252</v>
      </c>
      <c r="C81" s="14">
        <f>cleaned_data!$E$80</f>
        <v>58749.63</v>
      </c>
      <c r="D81" s="14">
        <f>cleaned_data!$I$80</f>
        <v>85.2</v>
      </c>
      <c r="E81" s="14">
        <f>cleaned_data!$H$80</f>
        <v>20</v>
      </c>
      <c r="F81" s="14">
        <f>dummy_variables!$D$80</f>
        <v>0</v>
      </c>
      <c r="G81" s="14">
        <f>dummy_variables!$E$80</f>
        <v>0</v>
      </c>
      <c r="H81" s="14">
        <f>dummy_variables!$F$80</f>
        <v>1</v>
      </c>
      <c r="I81" s="14">
        <f>dummy_variables!$G$80</f>
        <v>0</v>
      </c>
      <c r="J81" s="14">
        <f>dummy_variables!$H$80</f>
        <v>0</v>
      </c>
      <c r="K81" s="14">
        <f>dummy_variables!$I$80</f>
        <v>0</v>
      </c>
    </row>
    <row r="82" spans="1:11" ht="15" customHeight="1">
      <c r="A82" s="14">
        <f>cleaned_data!$M$81</f>
        <v>643657.47</v>
      </c>
      <c r="B82" s="14">
        <f>cleaned_data!$F$81</f>
        <v>6662</v>
      </c>
      <c r="C82" s="14">
        <f>cleaned_data!$E$81</f>
        <v>56973.18</v>
      </c>
      <c r="D82" s="14">
        <f>cleaned_data!$I$81</f>
        <v>77.7</v>
      </c>
      <c r="E82" s="14">
        <f>cleaned_data!$H$81</f>
        <v>15</v>
      </c>
      <c r="F82" s="14">
        <f>dummy_variables!$D$81</f>
        <v>0</v>
      </c>
      <c r="G82" s="14">
        <f>dummy_variables!$E$81</f>
        <v>0</v>
      </c>
      <c r="H82" s="14">
        <f>dummy_variables!$F$81</f>
        <v>0</v>
      </c>
      <c r="I82" s="14">
        <f>dummy_variables!$G$81</f>
        <v>0</v>
      </c>
      <c r="J82" s="14">
        <f>dummy_variables!$H$81</f>
        <v>1</v>
      </c>
      <c r="K82" s="14">
        <f>dummy_variables!$I$81</f>
        <v>0</v>
      </c>
    </row>
    <row r="83" spans="1:11" ht="15" customHeight="1">
      <c r="A83" s="14">
        <f>cleaned_data!$M$82</f>
        <v>691112.6</v>
      </c>
      <c r="B83" s="14">
        <f>cleaned_data!$F$82</f>
        <v>5962</v>
      </c>
      <c r="C83" s="14">
        <f>cleaned_data!$E$82</f>
        <v>54872.82</v>
      </c>
      <c r="D83" s="14">
        <f>cleaned_data!$I$82</f>
        <v>85.4</v>
      </c>
      <c r="E83" s="14">
        <f>cleaned_data!$H$82</f>
        <v>12</v>
      </c>
      <c r="F83" s="14">
        <f>dummy_variables!$D$82</f>
        <v>0</v>
      </c>
      <c r="G83" s="14">
        <f>dummy_variables!$E$82</f>
        <v>0</v>
      </c>
      <c r="H83" s="14">
        <f>dummy_variables!$F$82</f>
        <v>0</v>
      </c>
      <c r="I83" s="14">
        <f>dummy_variables!$G$82</f>
        <v>0</v>
      </c>
      <c r="J83" s="14">
        <f>dummy_variables!$H$82</f>
        <v>1</v>
      </c>
      <c r="K83" s="14">
        <f>dummy_variables!$I$82</f>
        <v>0</v>
      </c>
    </row>
    <row r="84" spans="1:11" ht="15" customHeight="1">
      <c r="A84" s="14">
        <f>cleaned_data!$M$83</f>
        <v>776922.17</v>
      </c>
      <c r="B84" s="14">
        <f>cleaned_data!$F$83</f>
        <v>7470</v>
      </c>
      <c r="C84" s="14">
        <f>cleaned_data!$E$83</f>
        <v>80562.81</v>
      </c>
      <c r="D84" s="14">
        <f>cleaned_data!$I$83</f>
        <v>83.5</v>
      </c>
      <c r="E84" s="14">
        <f>cleaned_data!$H$83</f>
        <v>16</v>
      </c>
      <c r="F84" s="14">
        <f>dummy_variables!$D$83</f>
        <v>0</v>
      </c>
      <c r="G84" s="14">
        <f>dummy_variables!$E$83</f>
        <v>0</v>
      </c>
      <c r="H84" s="14">
        <f>dummy_variables!$F$83</f>
        <v>0</v>
      </c>
      <c r="I84" s="14">
        <f>dummy_variables!$G$83</f>
        <v>0</v>
      </c>
      <c r="J84" s="14">
        <f>dummy_variables!$H$83</f>
        <v>1</v>
      </c>
      <c r="K84" s="14">
        <f>dummy_variables!$I$83</f>
        <v>0</v>
      </c>
    </row>
    <row r="85" spans="1:11" ht="15" customHeight="1">
      <c r="A85" s="14">
        <f>cleaned_data!$M$84</f>
        <v>636561.34</v>
      </c>
      <c r="B85" s="14">
        <f>cleaned_data!$F$84</f>
        <v>5974</v>
      </c>
      <c r="C85" s="14">
        <f>cleaned_data!$E$84</f>
        <v>77999.899999999994</v>
      </c>
      <c r="D85" s="14">
        <f>cleaned_data!$I$84</f>
        <v>81.3</v>
      </c>
      <c r="E85" s="14">
        <f>cleaned_data!$H$84</f>
        <v>14</v>
      </c>
      <c r="F85" s="14">
        <f>dummy_variables!$D$84</f>
        <v>0</v>
      </c>
      <c r="G85" s="14">
        <f>dummy_variables!$E$84</f>
        <v>0</v>
      </c>
      <c r="H85" s="14">
        <f>dummy_variables!$F$84</f>
        <v>0</v>
      </c>
      <c r="I85" s="14">
        <f>dummy_variables!$G$84</f>
        <v>0</v>
      </c>
      <c r="J85" s="14">
        <f>dummy_variables!$H$84</f>
        <v>1</v>
      </c>
      <c r="K85" s="14">
        <f>dummy_variables!$I$84</f>
        <v>0</v>
      </c>
    </row>
    <row r="86" spans="1:11" ht="15" customHeight="1">
      <c r="A86" s="14">
        <f>cleaned_data!$M$85</f>
        <v>621369.57999999996</v>
      </c>
      <c r="B86" s="14">
        <f>cleaned_data!$F$85</f>
        <v>5410</v>
      </c>
      <c r="C86" s="14">
        <f>cleaned_data!$E$85</f>
        <v>60881.01</v>
      </c>
      <c r="D86" s="14">
        <f>cleaned_data!$I$85</f>
        <v>83.9</v>
      </c>
      <c r="E86" s="14">
        <f>cleaned_data!$H$85</f>
        <v>15</v>
      </c>
      <c r="F86" s="14">
        <f>dummy_variables!$D$85</f>
        <v>0</v>
      </c>
      <c r="G86" s="14">
        <f>dummy_variables!$E$85</f>
        <v>1</v>
      </c>
      <c r="H86" s="14">
        <f>dummy_variables!$F$85</f>
        <v>0</v>
      </c>
      <c r="I86" s="14">
        <f>dummy_variables!$G$85</f>
        <v>0</v>
      </c>
      <c r="J86" s="14">
        <f>dummy_variables!$H$85</f>
        <v>0</v>
      </c>
      <c r="K86" s="14">
        <f>dummy_variables!$I$85</f>
        <v>1</v>
      </c>
    </row>
    <row r="87" spans="1:11" ht="15" customHeight="1">
      <c r="A87" s="14">
        <f>cleaned_data!$M$86</f>
        <v>682208.01</v>
      </c>
      <c r="B87" s="14">
        <f>cleaned_data!$F$86</f>
        <v>4451</v>
      </c>
      <c r="C87" s="14">
        <f>cleaned_data!$E$86</f>
        <v>60628.38</v>
      </c>
      <c r="D87" s="14">
        <f>cleaned_data!$I$86</f>
        <v>89.6</v>
      </c>
      <c r="E87" s="14">
        <f>cleaned_data!$H$86</f>
        <v>10</v>
      </c>
      <c r="F87" s="14">
        <f>dummy_variables!$D$86</f>
        <v>0</v>
      </c>
      <c r="G87" s="14">
        <f>dummy_variables!$E$86</f>
        <v>1</v>
      </c>
      <c r="H87" s="14">
        <f>dummy_variables!$F$86</f>
        <v>0</v>
      </c>
      <c r="I87" s="14">
        <f>dummy_variables!$G$86</f>
        <v>0</v>
      </c>
      <c r="J87" s="14">
        <f>dummy_variables!$H$86</f>
        <v>0</v>
      </c>
      <c r="K87" s="14">
        <f>dummy_variables!$I$86</f>
        <v>1</v>
      </c>
    </row>
    <row r="88" spans="1:11" ht="15" customHeight="1">
      <c r="A88" s="14">
        <f>cleaned_data!$M$87</f>
        <v>727241.86</v>
      </c>
      <c r="B88" s="14">
        <f>cleaned_data!$F$87</f>
        <v>4644</v>
      </c>
      <c r="C88" s="14">
        <f>cleaned_data!$E$87</f>
        <v>72731.14</v>
      </c>
      <c r="D88" s="14">
        <f>cleaned_data!$I$87</f>
        <v>87.1</v>
      </c>
      <c r="E88" s="14">
        <f>cleaned_data!$H$87</f>
        <v>15</v>
      </c>
      <c r="F88" s="14">
        <f>dummy_variables!$D$87</f>
        <v>0</v>
      </c>
      <c r="G88" s="14">
        <f>dummy_variables!$E$87</f>
        <v>1</v>
      </c>
      <c r="H88" s="14">
        <f>dummy_variables!$F$87</f>
        <v>0</v>
      </c>
      <c r="I88" s="14">
        <f>dummy_variables!$G$87</f>
        <v>0</v>
      </c>
      <c r="J88" s="14">
        <f>dummy_variables!$H$87</f>
        <v>0</v>
      </c>
      <c r="K88" s="14">
        <f>dummy_variables!$I$87</f>
        <v>1</v>
      </c>
    </row>
    <row r="89" spans="1:11" ht="15" customHeight="1">
      <c r="A89" s="14">
        <f>cleaned_data!$M$88</f>
        <v>569100.78</v>
      </c>
      <c r="B89" s="14">
        <f>cleaned_data!$F$88</f>
        <v>3559</v>
      </c>
      <c r="C89" s="14">
        <f>cleaned_data!$E$88</f>
        <v>36475.71</v>
      </c>
      <c r="D89" s="14">
        <f>cleaned_data!$I$88</f>
        <v>83.6</v>
      </c>
      <c r="E89" s="14">
        <f>cleaned_data!$H$88</f>
        <v>8</v>
      </c>
      <c r="F89" s="14">
        <f>dummy_variables!$D$88</f>
        <v>0</v>
      </c>
      <c r="G89" s="14">
        <f>dummy_variables!$E$88</f>
        <v>1</v>
      </c>
      <c r="H89" s="14">
        <f>dummy_variables!$F$88</f>
        <v>0</v>
      </c>
      <c r="I89" s="14">
        <f>dummy_variables!$G$88</f>
        <v>0</v>
      </c>
      <c r="J89" s="14">
        <f>dummy_variables!$H$88</f>
        <v>0</v>
      </c>
      <c r="K89" s="14">
        <f>dummy_variables!$I$88</f>
        <v>1</v>
      </c>
    </row>
    <row r="90" spans="1:11" ht="15" customHeight="1">
      <c r="A90" s="14">
        <f>cleaned_data!$M$89</f>
        <v>574436.29</v>
      </c>
      <c r="B90" s="14">
        <f>cleaned_data!$F$89</f>
        <v>3091</v>
      </c>
      <c r="C90" s="14">
        <f>cleaned_data!$E$89</f>
        <v>55388.11</v>
      </c>
      <c r="D90" s="14">
        <f>cleaned_data!$I$89</f>
        <v>85.4</v>
      </c>
      <c r="E90" s="14">
        <f>cleaned_data!$H$89</f>
        <v>7</v>
      </c>
      <c r="F90" s="14">
        <f>dummy_variables!$D$89</f>
        <v>0</v>
      </c>
      <c r="G90" s="14">
        <f>dummy_variables!$E$89</f>
        <v>0</v>
      </c>
      <c r="H90" s="14">
        <f>dummy_variables!$F$89</f>
        <v>0</v>
      </c>
      <c r="I90" s="14">
        <f>dummy_variables!$G$89</f>
        <v>0</v>
      </c>
      <c r="J90" s="14">
        <f>dummy_variables!$H$89</f>
        <v>0</v>
      </c>
      <c r="K90" s="14">
        <f>dummy_variables!$I$89</f>
        <v>1</v>
      </c>
    </row>
    <row r="91" spans="1:11" ht="15" customHeight="1">
      <c r="A91" s="14">
        <f>cleaned_data!$M$90</f>
        <v>611766.72</v>
      </c>
      <c r="B91" s="14">
        <f>cleaned_data!$F$90</f>
        <v>4004</v>
      </c>
      <c r="C91" s="14">
        <f>cleaned_data!$E$90</f>
        <v>88443.77</v>
      </c>
      <c r="D91" s="14">
        <f>cleaned_data!$I$90</f>
        <v>91.9</v>
      </c>
      <c r="E91" s="14">
        <f>cleaned_data!$H$90</f>
        <v>11</v>
      </c>
      <c r="F91" s="14">
        <f>dummy_variables!$D$90</f>
        <v>0</v>
      </c>
      <c r="G91" s="14">
        <f>dummy_variables!$E$90</f>
        <v>0</v>
      </c>
      <c r="H91" s="14">
        <f>dummy_variables!$F$90</f>
        <v>0</v>
      </c>
      <c r="I91" s="14">
        <f>dummy_variables!$G$90</f>
        <v>0</v>
      </c>
      <c r="J91" s="14">
        <f>dummy_variables!$H$90</f>
        <v>0</v>
      </c>
      <c r="K91" s="14">
        <f>dummy_variables!$I$90</f>
        <v>1</v>
      </c>
    </row>
    <row r="92" spans="1:11" ht="15" customHeight="1">
      <c r="A92" s="14">
        <f>cleaned_data!$M$91</f>
        <v>614596.31999999995</v>
      </c>
      <c r="B92" s="14">
        <f>cleaned_data!$F$91</f>
        <v>3788</v>
      </c>
      <c r="C92" s="14">
        <f>cleaned_data!$E$91</f>
        <v>78231.91</v>
      </c>
      <c r="D92" s="14">
        <f>cleaned_data!$I$91</f>
        <v>88.5</v>
      </c>
      <c r="E92" s="14">
        <f>cleaned_data!$H$91</f>
        <v>11</v>
      </c>
      <c r="F92" s="14">
        <f>dummy_variables!$D$91</f>
        <v>0</v>
      </c>
      <c r="G92" s="14">
        <f>dummy_variables!$E$91</f>
        <v>0</v>
      </c>
      <c r="H92" s="14">
        <f>dummy_variables!$F$91</f>
        <v>0</v>
      </c>
      <c r="I92" s="14">
        <f>dummy_variables!$G$91</f>
        <v>0</v>
      </c>
      <c r="J92" s="14">
        <f>dummy_variables!$H$91</f>
        <v>0</v>
      </c>
      <c r="K92" s="14">
        <f>dummy_variables!$I$91</f>
        <v>1</v>
      </c>
    </row>
    <row r="93" spans="1:11" ht="15" customHeight="1">
      <c r="A93" s="14">
        <f>cleaned_data!$M$92</f>
        <v>450711.92</v>
      </c>
      <c r="B93" s="14">
        <f>cleaned_data!$F$92</f>
        <v>1260</v>
      </c>
      <c r="C93" s="14">
        <f>cleaned_data!$E$92</f>
        <v>18996.32</v>
      </c>
      <c r="D93" s="14">
        <f>cleaned_data!$I$92</f>
        <v>86.4</v>
      </c>
      <c r="E93" s="14">
        <f>cleaned_data!$H$92</f>
        <v>9</v>
      </c>
      <c r="F93" s="14">
        <f>dummy_variables!$D$92</f>
        <v>0</v>
      </c>
      <c r="G93" s="14">
        <f>dummy_variables!$E$92</f>
        <v>0</v>
      </c>
      <c r="H93" s="14">
        <f>dummy_variables!$F$92</f>
        <v>0</v>
      </c>
      <c r="I93" s="14">
        <f>dummy_variables!$G$92</f>
        <v>0</v>
      </c>
      <c r="J93" s="14">
        <f>dummy_variables!$H$92</f>
        <v>0</v>
      </c>
      <c r="K93" s="14">
        <f>dummy_variables!$I$92</f>
        <v>1</v>
      </c>
    </row>
    <row r="94" spans="1:11" ht="15" customHeight="1">
      <c r="A94" s="14">
        <f>cleaned_data!$M$93</f>
        <v>711213.46</v>
      </c>
      <c r="B94" s="14">
        <f>cleaned_data!$F$93</f>
        <v>7024</v>
      </c>
      <c r="C94" s="14">
        <f>cleaned_data!$E$93</f>
        <v>50517.94</v>
      </c>
      <c r="D94" s="14">
        <f>cleaned_data!$I$93</f>
        <v>79.2</v>
      </c>
      <c r="E94" s="14">
        <f>cleaned_data!$H$93</f>
        <v>18</v>
      </c>
      <c r="F94" s="14">
        <f>dummy_variables!$D$93</f>
        <v>0</v>
      </c>
      <c r="G94" s="14">
        <f>dummy_variables!$E$93</f>
        <v>1</v>
      </c>
      <c r="H94" s="14">
        <f>dummy_variables!$F$93</f>
        <v>0</v>
      </c>
      <c r="I94" s="14">
        <f>dummy_variables!$G$93</f>
        <v>0</v>
      </c>
      <c r="J94" s="14">
        <f>dummy_variables!$H$93</f>
        <v>1</v>
      </c>
      <c r="K94" s="14">
        <f>dummy_variables!$I$93</f>
        <v>0</v>
      </c>
    </row>
    <row r="95" spans="1:11" ht="15" customHeight="1">
      <c r="A95" s="14">
        <f>cleaned_data!$M$94</f>
        <v>627171.9</v>
      </c>
      <c r="B95" s="14">
        <f>cleaned_data!$F$94</f>
        <v>5400</v>
      </c>
      <c r="C95" s="14">
        <f>cleaned_data!$E$94</f>
        <v>141540.29</v>
      </c>
      <c r="D95" s="14">
        <f>cleaned_data!$I$94</f>
        <v>87</v>
      </c>
      <c r="E95" s="14">
        <f>cleaned_data!$H$94</f>
        <v>12</v>
      </c>
      <c r="F95" s="14">
        <f>dummy_variables!$D$94</f>
        <v>0</v>
      </c>
      <c r="G95" s="14">
        <f>dummy_variables!$E$94</f>
        <v>1</v>
      </c>
      <c r="H95" s="14">
        <f>dummy_variables!$F$94</f>
        <v>0</v>
      </c>
      <c r="I95" s="14">
        <f>dummy_variables!$G$94</f>
        <v>0</v>
      </c>
      <c r="J95" s="14">
        <f>dummy_variables!$H$94</f>
        <v>1</v>
      </c>
      <c r="K95" s="14">
        <f>dummy_variables!$I$94</f>
        <v>0</v>
      </c>
    </row>
    <row r="96" spans="1:11" ht="15" customHeight="1">
      <c r="A96" s="14">
        <f>cleaned_data!$M$95</f>
        <v>739852.58</v>
      </c>
      <c r="B96" s="14">
        <f>cleaned_data!$F$95</f>
        <v>5988</v>
      </c>
      <c r="C96" s="14">
        <f>cleaned_data!$E$95</f>
        <v>82116.19</v>
      </c>
      <c r="D96" s="14">
        <f>cleaned_data!$I$95</f>
        <v>91.8</v>
      </c>
      <c r="E96" s="14">
        <f>cleaned_data!$H$95</f>
        <v>17</v>
      </c>
      <c r="F96" s="14">
        <f>dummy_variables!$D$95</f>
        <v>0</v>
      </c>
      <c r="G96" s="14">
        <f>dummy_variables!$E$95</f>
        <v>1</v>
      </c>
      <c r="H96" s="14">
        <f>dummy_variables!$F$95</f>
        <v>0</v>
      </c>
      <c r="I96" s="14">
        <f>dummy_variables!$G$95</f>
        <v>0</v>
      </c>
      <c r="J96" s="14">
        <f>dummy_variables!$H$95</f>
        <v>1</v>
      </c>
      <c r="K96" s="14">
        <f>dummy_variables!$I$95</f>
        <v>0</v>
      </c>
    </row>
    <row r="97" spans="1:11" ht="15" customHeight="1">
      <c r="A97" s="14">
        <f>cleaned_data!$M$96</f>
        <v>586307.22</v>
      </c>
      <c r="B97" s="14">
        <f>cleaned_data!$F$96</f>
        <v>3701</v>
      </c>
      <c r="C97" s="14">
        <f>cleaned_data!$E$96</f>
        <v>31207.51</v>
      </c>
      <c r="D97" s="14">
        <f>cleaned_data!$I$96</f>
        <v>84.7</v>
      </c>
      <c r="E97" s="14">
        <f>cleaned_data!$H$96</f>
        <v>11</v>
      </c>
      <c r="F97" s="14">
        <f>dummy_variables!$D$96</f>
        <v>0</v>
      </c>
      <c r="G97" s="14">
        <f>dummy_variables!$E$96</f>
        <v>1</v>
      </c>
      <c r="H97" s="14">
        <f>dummy_variables!$F$96</f>
        <v>0</v>
      </c>
      <c r="I97" s="14">
        <f>dummy_variables!$G$96</f>
        <v>0</v>
      </c>
      <c r="J97" s="14">
        <f>dummy_variables!$H$96</f>
        <v>1</v>
      </c>
      <c r="K97" s="14">
        <f>dummy_variables!$I$96</f>
        <v>0</v>
      </c>
    </row>
    <row r="98" spans="1:11" ht="15" customHeight="1">
      <c r="A98" s="14">
        <f>cleaned_data!$M$97</f>
        <v>585937.48</v>
      </c>
      <c r="B98" s="14">
        <f>cleaned_data!$F$97</f>
        <v>4509</v>
      </c>
      <c r="C98" s="14">
        <f>cleaned_data!$E$97</f>
        <v>38966.589999999997</v>
      </c>
      <c r="D98" s="14">
        <f>cleaned_data!$I$97</f>
        <v>91.1</v>
      </c>
      <c r="E98" s="14">
        <f>cleaned_data!$H$97</f>
        <v>14</v>
      </c>
      <c r="F98" s="14">
        <f>dummy_variables!$D$97</f>
        <v>0</v>
      </c>
      <c r="G98" s="14">
        <f>dummy_variables!$E$97</f>
        <v>0</v>
      </c>
      <c r="H98" s="14">
        <f>dummy_variables!$F$97</f>
        <v>1</v>
      </c>
      <c r="I98" s="14">
        <f>dummy_variables!$G$97</f>
        <v>0</v>
      </c>
      <c r="J98" s="14">
        <f>dummy_variables!$H$97</f>
        <v>0</v>
      </c>
      <c r="K98" s="14">
        <f>dummy_variables!$I$97</f>
        <v>1</v>
      </c>
    </row>
    <row r="99" spans="1:11" ht="15" customHeight="1">
      <c r="A99" s="14">
        <f>cleaned_data!$M$98</f>
        <v>753473.55</v>
      </c>
      <c r="B99" s="14">
        <f>cleaned_data!$F$98</f>
        <v>6477</v>
      </c>
      <c r="C99" s="14">
        <f>cleaned_data!$E$98</f>
        <v>67439.3</v>
      </c>
      <c r="D99" s="14">
        <f>cleaned_data!$I$98</f>
        <v>90.9</v>
      </c>
      <c r="E99" s="14">
        <f>cleaned_data!$H$98</f>
        <v>16</v>
      </c>
      <c r="F99" s="14">
        <f>dummy_variables!$D$98</f>
        <v>0</v>
      </c>
      <c r="G99" s="14">
        <f>dummy_variables!$E$98</f>
        <v>0</v>
      </c>
      <c r="H99" s="14">
        <f>dummy_variables!$F$98</f>
        <v>1</v>
      </c>
      <c r="I99" s="14">
        <f>dummy_variables!$G$98</f>
        <v>0</v>
      </c>
      <c r="J99" s="14">
        <f>dummy_variables!$H$98</f>
        <v>0</v>
      </c>
      <c r="K99" s="14">
        <f>dummy_variables!$I$98</f>
        <v>1</v>
      </c>
    </row>
    <row r="100" spans="1:11" ht="15" customHeight="1">
      <c r="A100" s="14">
        <f>cleaned_data!$M$99</f>
        <v>838250.32</v>
      </c>
      <c r="B100" s="14">
        <f>cleaned_data!$F$99</f>
        <v>7970</v>
      </c>
      <c r="C100" s="14">
        <f>cleaned_data!$E$99</f>
        <v>86421.88</v>
      </c>
      <c r="D100" s="14">
        <f>cleaned_data!$I$99</f>
        <v>91.3</v>
      </c>
      <c r="E100" s="14">
        <f>cleaned_data!$H$99</f>
        <v>17</v>
      </c>
      <c r="F100" s="14">
        <f>dummy_variables!$D$99</f>
        <v>0</v>
      </c>
      <c r="G100" s="14">
        <f>dummy_variables!$E$99</f>
        <v>0</v>
      </c>
      <c r="H100" s="14">
        <f>dummy_variables!$F$99</f>
        <v>1</v>
      </c>
      <c r="I100" s="14">
        <f>dummy_variables!$G$99</f>
        <v>0</v>
      </c>
      <c r="J100" s="14">
        <f>dummy_variables!$H$99</f>
        <v>0</v>
      </c>
      <c r="K100" s="14">
        <f>dummy_variables!$I$99</f>
        <v>1</v>
      </c>
    </row>
    <row r="101" spans="1:11" ht="15" customHeight="1">
      <c r="A101" s="14">
        <f>cleaned_data!$M$100</f>
        <v>607898.12</v>
      </c>
      <c r="B101" s="14">
        <f>cleaned_data!$F$100</f>
        <v>6057</v>
      </c>
      <c r="C101" s="14">
        <f>cleaned_data!$E$100</f>
        <v>9534.65</v>
      </c>
      <c r="D101" s="14">
        <f>cleaned_data!$I$100</f>
        <v>94.1</v>
      </c>
      <c r="E101" s="14">
        <f>cleaned_data!$H$100</f>
        <v>15</v>
      </c>
      <c r="F101" s="14">
        <f>dummy_variables!$D$100</f>
        <v>0</v>
      </c>
      <c r="G101" s="14">
        <f>dummy_variables!$E$100</f>
        <v>0</v>
      </c>
      <c r="H101" s="14">
        <f>dummy_variables!$F$100</f>
        <v>1</v>
      </c>
      <c r="I101" s="14">
        <f>dummy_variables!$G$100</f>
        <v>0</v>
      </c>
      <c r="J101" s="14">
        <f>dummy_variables!$H$100</f>
        <v>0</v>
      </c>
      <c r="K101" s="14">
        <f>dummy_variables!$I$100</f>
        <v>1</v>
      </c>
    </row>
    <row r="102" spans="1:11" ht="15" customHeight="1">
      <c r="A102" s="14">
        <f>cleaned_data!$M$101</f>
        <v>691113.62</v>
      </c>
      <c r="B102" s="14">
        <f>cleaned_data!$F$101</f>
        <v>6394</v>
      </c>
      <c r="C102" s="14">
        <f>cleaned_data!$E$101</f>
        <v>61132.07</v>
      </c>
      <c r="D102" s="14">
        <f>cleaned_data!$I$101</f>
        <v>91</v>
      </c>
      <c r="E102" s="14">
        <f>cleaned_data!$H$101</f>
        <v>19</v>
      </c>
      <c r="F102" s="14">
        <f>dummy_variables!$D$101</f>
        <v>0</v>
      </c>
      <c r="G102" s="14">
        <f>dummy_variables!$E$101</f>
        <v>1</v>
      </c>
      <c r="H102" s="14">
        <f>dummy_variables!$F$101</f>
        <v>0</v>
      </c>
      <c r="I102" s="14">
        <f>dummy_variables!$G$101</f>
        <v>0</v>
      </c>
      <c r="J102" s="14">
        <f>dummy_variables!$H$101</f>
        <v>0</v>
      </c>
      <c r="K102" s="14">
        <f>dummy_variables!$I$101</f>
        <v>1</v>
      </c>
    </row>
    <row r="103" spans="1:11" ht="15" customHeight="1">
      <c r="A103" s="14">
        <f>cleaned_data!$M$102</f>
        <v>735509.4</v>
      </c>
      <c r="B103" s="14">
        <f>cleaned_data!$F$102</f>
        <v>5150</v>
      </c>
      <c r="C103" s="14">
        <f>cleaned_data!$E$102</f>
        <v>78839.39</v>
      </c>
      <c r="D103" s="14">
        <f>cleaned_data!$I$102</f>
        <v>85.8</v>
      </c>
      <c r="E103" s="14">
        <f>cleaned_data!$H$102</f>
        <v>13</v>
      </c>
      <c r="F103" s="14">
        <f>dummy_variables!$D$102</f>
        <v>0</v>
      </c>
      <c r="G103" s="14">
        <f>dummy_variables!$E$102</f>
        <v>1</v>
      </c>
      <c r="H103" s="14">
        <f>dummy_variables!$F$102</f>
        <v>0</v>
      </c>
      <c r="I103" s="14">
        <f>dummy_variables!$G$102</f>
        <v>0</v>
      </c>
      <c r="J103" s="14">
        <f>dummy_variables!$H$102</f>
        <v>0</v>
      </c>
      <c r="K103" s="14">
        <f>dummy_variables!$I$102</f>
        <v>1</v>
      </c>
    </row>
    <row r="104" spans="1:11" ht="15" customHeight="1">
      <c r="A104" s="14">
        <f>cleaned_data!$M$103</f>
        <v>605775.32999999996</v>
      </c>
      <c r="B104" s="14">
        <f>cleaned_data!$F$103</f>
        <v>4712</v>
      </c>
      <c r="C104" s="14">
        <f>cleaned_data!$E$103</f>
        <v>38752.800000000003</v>
      </c>
      <c r="D104" s="14">
        <f>cleaned_data!$I$103</f>
        <v>89.7</v>
      </c>
      <c r="E104" s="14">
        <f>cleaned_data!$H$103</f>
        <v>15</v>
      </c>
      <c r="F104" s="14">
        <f>dummy_variables!$D$103</f>
        <v>0</v>
      </c>
      <c r="G104" s="14">
        <f>dummy_variables!$E$103</f>
        <v>1</v>
      </c>
      <c r="H104" s="14">
        <f>dummy_variables!$F$103</f>
        <v>0</v>
      </c>
      <c r="I104" s="14">
        <f>dummy_variables!$G$103</f>
        <v>0</v>
      </c>
      <c r="J104" s="14">
        <f>dummy_variables!$H$103</f>
        <v>0</v>
      </c>
      <c r="K104" s="14">
        <f>dummy_variables!$I$103</f>
        <v>1</v>
      </c>
    </row>
    <row r="105" spans="1:11" ht="15" customHeight="1">
      <c r="A105" s="14">
        <f>cleaned_data!$M$104</f>
        <v>675177.68</v>
      </c>
      <c r="B105" s="14">
        <f>cleaned_data!$F$104</f>
        <v>5281</v>
      </c>
      <c r="C105" s="14">
        <f>cleaned_data!$E$104</f>
        <v>55101.1</v>
      </c>
      <c r="D105" s="14">
        <f>cleaned_data!$I$104</f>
        <v>91</v>
      </c>
      <c r="E105" s="14">
        <f>cleaned_data!$H$104</f>
        <v>11</v>
      </c>
      <c r="F105" s="14">
        <f>dummy_variables!$D$104</f>
        <v>0</v>
      </c>
      <c r="G105" s="14">
        <f>dummy_variables!$E$104</f>
        <v>1</v>
      </c>
      <c r="H105" s="14">
        <f>dummy_variables!$F$104</f>
        <v>0</v>
      </c>
      <c r="I105" s="14">
        <f>dummy_variables!$G$104</f>
        <v>0</v>
      </c>
      <c r="J105" s="14">
        <f>dummy_variables!$H$104</f>
        <v>0</v>
      </c>
      <c r="K105" s="14">
        <f>dummy_variables!$I$104</f>
        <v>1</v>
      </c>
    </row>
    <row r="106" spans="1:11" ht="15" customHeight="1">
      <c r="A106" s="14">
        <f>cleaned_data!$M$105</f>
        <v>635181.35</v>
      </c>
      <c r="B106" s="14">
        <f>cleaned_data!$F$105</f>
        <v>3642</v>
      </c>
      <c r="C106" s="14">
        <f>cleaned_data!$E$105</f>
        <v>53084.76</v>
      </c>
      <c r="D106" s="14">
        <f>cleaned_data!$I$105</f>
        <v>91.4</v>
      </c>
      <c r="E106" s="14">
        <f>cleaned_data!$H$105</f>
        <v>12</v>
      </c>
      <c r="F106" s="14">
        <f>dummy_variables!$D$105</f>
        <v>0</v>
      </c>
      <c r="G106" s="14">
        <f>dummy_variables!$E$105</f>
        <v>1</v>
      </c>
      <c r="H106" s="14">
        <f>dummy_variables!$F$105</f>
        <v>0</v>
      </c>
      <c r="I106" s="14">
        <f>dummy_variables!$G$105</f>
        <v>0</v>
      </c>
      <c r="J106" s="14">
        <f>dummy_variables!$H$105</f>
        <v>0</v>
      </c>
      <c r="K106" s="14">
        <f>dummy_variables!$I$105</f>
        <v>0</v>
      </c>
    </row>
    <row r="107" spans="1:11" ht="15" customHeight="1">
      <c r="A107" s="14">
        <f>cleaned_data!$M$106</f>
        <v>586626.93999999994</v>
      </c>
      <c r="B107" s="14">
        <f>cleaned_data!$F$106</f>
        <v>4373</v>
      </c>
      <c r="C107" s="14">
        <f>cleaned_data!$E$106</f>
        <v>63101.59</v>
      </c>
      <c r="D107" s="14">
        <f>cleaned_data!$I$106</f>
        <v>90.4</v>
      </c>
      <c r="E107" s="14">
        <f>cleaned_data!$H$106</f>
        <v>14</v>
      </c>
      <c r="F107" s="14">
        <f>dummy_variables!$D$106</f>
        <v>0</v>
      </c>
      <c r="G107" s="14">
        <f>dummy_variables!$E$106</f>
        <v>1</v>
      </c>
      <c r="H107" s="14">
        <f>dummy_variables!$F$106</f>
        <v>0</v>
      </c>
      <c r="I107" s="14">
        <f>dummy_variables!$G$106</f>
        <v>0</v>
      </c>
      <c r="J107" s="14">
        <f>dummy_variables!$H$106</f>
        <v>0</v>
      </c>
      <c r="K107" s="14">
        <f>dummy_variables!$I$106</f>
        <v>0</v>
      </c>
    </row>
    <row r="108" spans="1:11" ht="15" customHeight="1">
      <c r="A108" s="14">
        <f>cleaned_data!$M$107</f>
        <v>740102.64</v>
      </c>
      <c r="B108" s="14">
        <f>cleaned_data!$F$107</f>
        <v>6832</v>
      </c>
      <c r="C108" s="14">
        <f>cleaned_data!$E$107</f>
        <v>90084.4</v>
      </c>
      <c r="D108" s="14">
        <f>cleaned_data!$I$107</f>
        <v>80.5</v>
      </c>
      <c r="E108" s="14">
        <f>cleaned_data!$H$107</f>
        <v>14</v>
      </c>
      <c r="F108" s="14">
        <f>dummy_variables!$D$107</f>
        <v>0</v>
      </c>
      <c r="G108" s="14">
        <f>dummy_variables!$E$107</f>
        <v>1</v>
      </c>
      <c r="H108" s="14">
        <f>dummy_variables!$F$107</f>
        <v>0</v>
      </c>
      <c r="I108" s="14">
        <f>dummy_variables!$G$107</f>
        <v>0</v>
      </c>
      <c r="J108" s="14">
        <f>dummy_variables!$H$107</f>
        <v>0</v>
      </c>
      <c r="K108" s="14">
        <f>dummy_variables!$I$107</f>
        <v>0</v>
      </c>
    </row>
    <row r="109" spans="1:11" ht="15" customHeight="1">
      <c r="A109" s="14">
        <f>cleaned_data!$M$108</f>
        <v>625514.04</v>
      </c>
      <c r="B109" s="14">
        <f>cleaned_data!$F$108</f>
        <v>2414</v>
      </c>
      <c r="C109" s="14">
        <f>cleaned_data!$E$108</f>
        <v>32266.639999999999</v>
      </c>
      <c r="D109" s="14">
        <f>cleaned_data!$I$108</f>
        <v>92.1</v>
      </c>
      <c r="E109" s="14">
        <f>cleaned_data!$H$108</f>
        <v>7</v>
      </c>
      <c r="F109" s="14">
        <f>dummy_variables!$D$108</f>
        <v>0</v>
      </c>
      <c r="G109" s="14">
        <f>dummy_variables!$E$108</f>
        <v>1</v>
      </c>
      <c r="H109" s="14">
        <f>dummy_variables!$F$108</f>
        <v>0</v>
      </c>
      <c r="I109" s="14">
        <f>dummy_variables!$G$108</f>
        <v>0</v>
      </c>
      <c r="J109" s="14">
        <f>dummy_variables!$H$108</f>
        <v>0</v>
      </c>
      <c r="K109" s="14">
        <f>dummy_variables!$I$108</f>
        <v>0</v>
      </c>
    </row>
    <row r="110" spans="1:11" ht="15" customHeight="1">
      <c r="A110" s="14">
        <f>cleaned_data!$M$109</f>
        <v>727227.2</v>
      </c>
      <c r="B110" s="14">
        <f>cleaned_data!$F$109</f>
        <v>7374</v>
      </c>
      <c r="C110" s="14">
        <f>cleaned_data!$E$109</f>
        <v>57919.07</v>
      </c>
      <c r="D110" s="14">
        <f>cleaned_data!$I$109</f>
        <v>82.3</v>
      </c>
      <c r="E110" s="14">
        <f>cleaned_data!$H$109</f>
        <v>21</v>
      </c>
      <c r="F110" s="14">
        <f>dummy_variables!$D$109</f>
        <v>0</v>
      </c>
      <c r="G110" s="14">
        <f>dummy_variables!$E$109</f>
        <v>0</v>
      </c>
      <c r="H110" s="14">
        <f>dummy_variables!$F$109</f>
        <v>0</v>
      </c>
      <c r="I110" s="14">
        <f>dummy_variables!$G$109</f>
        <v>0</v>
      </c>
      <c r="J110" s="14">
        <f>dummy_variables!$H$109</f>
        <v>0</v>
      </c>
      <c r="K110" s="14">
        <f>dummy_variables!$I$109</f>
        <v>1</v>
      </c>
    </row>
    <row r="111" spans="1:11" ht="15" customHeight="1">
      <c r="A111" s="14">
        <f>cleaned_data!$M$110</f>
        <v>783797.89</v>
      </c>
      <c r="B111" s="14">
        <f>cleaned_data!$F$110</f>
        <v>8739</v>
      </c>
      <c r="C111" s="14">
        <f>cleaned_data!$E$110</f>
        <v>74679.350000000006</v>
      </c>
      <c r="D111" s="14">
        <f>cleaned_data!$I$110</f>
        <v>91.8</v>
      </c>
      <c r="E111" s="14">
        <f>cleaned_data!$H$110</f>
        <v>21</v>
      </c>
      <c r="F111" s="14">
        <f>dummy_variables!$D$110</f>
        <v>0</v>
      </c>
      <c r="G111" s="14">
        <f>dummy_variables!$E$110</f>
        <v>0</v>
      </c>
      <c r="H111" s="14">
        <f>dummy_variables!$F$110</f>
        <v>0</v>
      </c>
      <c r="I111" s="14">
        <f>dummy_variables!$G$110</f>
        <v>0</v>
      </c>
      <c r="J111" s="14">
        <f>dummy_variables!$H$110</f>
        <v>0</v>
      </c>
      <c r="K111" s="14">
        <f>dummy_variables!$I$110</f>
        <v>1</v>
      </c>
    </row>
    <row r="112" spans="1:11" ht="15" customHeight="1">
      <c r="A112" s="14">
        <f>cleaned_data!$M$111</f>
        <v>795153.84</v>
      </c>
      <c r="B112" s="14">
        <f>cleaned_data!$F$111</f>
        <v>6992</v>
      </c>
      <c r="C112" s="14">
        <f>cleaned_data!$E$111</f>
        <v>64294.23</v>
      </c>
      <c r="D112" s="14">
        <f>cleaned_data!$I$111</f>
        <v>94.1</v>
      </c>
      <c r="E112" s="14">
        <f>cleaned_data!$H$111</f>
        <v>14</v>
      </c>
      <c r="F112" s="14">
        <f>dummy_variables!$D$111</f>
        <v>0</v>
      </c>
      <c r="G112" s="14">
        <f>dummy_variables!$E$111</f>
        <v>0</v>
      </c>
      <c r="H112" s="14">
        <f>dummy_variables!$F$111</f>
        <v>0</v>
      </c>
      <c r="I112" s="14">
        <f>dummy_variables!$G$111</f>
        <v>0</v>
      </c>
      <c r="J112" s="14">
        <f>dummy_variables!$H$111</f>
        <v>0</v>
      </c>
      <c r="K112" s="14">
        <f>dummy_variables!$I$111</f>
        <v>1</v>
      </c>
    </row>
    <row r="113" spans="1:11" ht="15" customHeight="1">
      <c r="A113" s="14">
        <f>cleaned_data!$M$112</f>
        <v>665594.93999999994</v>
      </c>
      <c r="B113" s="14">
        <f>cleaned_data!$F$112</f>
        <v>7107</v>
      </c>
      <c r="C113" s="14">
        <f>cleaned_data!$E$112</f>
        <v>31042.03</v>
      </c>
      <c r="D113" s="14">
        <f>cleaned_data!$I$112</f>
        <v>87</v>
      </c>
      <c r="E113" s="14">
        <f>cleaned_data!$H$112</f>
        <v>15</v>
      </c>
      <c r="F113" s="14">
        <f>dummy_variables!$D$112</f>
        <v>0</v>
      </c>
      <c r="G113" s="14">
        <f>dummy_variables!$E$112</f>
        <v>0</v>
      </c>
      <c r="H113" s="14">
        <f>dummy_variables!$F$112</f>
        <v>0</v>
      </c>
      <c r="I113" s="14">
        <f>dummy_variables!$G$112</f>
        <v>0</v>
      </c>
      <c r="J113" s="14">
        <f>dummy_variables!$H$112</f>
        <v>0</v>
      </c>
      <c r="K113" s="14">
        <f>dummy_variables!$I$112</f>
        <v>1</v>
      </c>
    </row>
    <row r="114" spans="1:11" ht="15" customHeight="1">
      <c r="A114" s="14">
        <f>cleaned_data!$M$113</f>
        <v>709478.39</v>
      </c>
      <c r="B114" s="14">
        <f>cleaned_data!$F$113</f>
        <v>6975</v>
      </c>
      <c r="C114" s="14">
        <f>cleaned_data!$E$113</f>
        <v>75265.02</v>
      </c>
      <c r="D114" s="14">
        <f>cleaned_data!$I$113</f>
        <v>73.8</v>
      </c>
      <c r="E114" s="14">
        <f>cleaned_data!$H$113</f>
        <v>20</v>
      </c>
      <c r="F114" s="14">
        <f>dummy_variables!$D$113</f>
        <v>0</v>
      </c>
      <c r="G114" s="14">
        <f>dummy_variables!$E$113</f>
        <v>1</v>
      </c>
      <c r="H114" s="14">
        <f>dummy_variables!$F$113</f>
        <v>0</v>
      </c>
      <c r="I114" s="14">
        <f>dummy_variables!$G$113</f>
        <v>0</v>
      </c>
      <c r="J114" s="14">
        <f>dummy_variables!$H$113</f>
        <v>0</v>
      </c>
      <c r="K114" s="14">
        <f>dummy_variables!$I$113</f>
        <v>0</v>
      </c>
    </row>
    <row r="115" spans="1:11" ht="15" customHeight="1">
      <c r="A115" s="14">
        <f>cleaned_data!$M$114</f>
        <v>664162.49</v>
      </c>
      <c r="B115" s="14">
        <f>cleaned_data!$F$114</f>
        <v>5493</v>
      </c>
      <c r="C115" s="14">
        <f>cleaned_data!$E$114</f>
        <v>69411.7</v>
      </c>
      <c r="D115" s="14">
        <f>cleaned_data!$I$114</f>
        <v>86.5</v>
      </c>
      <c r="E115" s="14">
        <f>cleaned_data!$H$114</f>
        <v>13</v>
      </c>
      <c r="F115" s="14">
        <f>dummy_variables!$D$114</f>
        <v>0</v>
      </c>
      <c r="G115" s="14">
        <f>dummy_variables!$E$114</f>
        <v>1</v>
      </c>
      <c r="H115" s="14">
        <f>dummy_variables!$F$114</f>
        <v>0</v>
      </c>
      <c r="I115" s="14">
        <f>dummy_variables!$G$114</f>
        <v>0</v>
      </c>
      <c r="J115" s="14">
        <f>dummy_variables!$H$114</f>
        <v>0</v>
      </c>
      <c r="K115" s="14">
        <f>dummy_variables!$I$114</f>
        <v>0</v>
      </c>
    </row>
    <row r="116" spans="1:11" ht="15" customHeight="1">
      <c r="A116" s="14">
        <f>cleaned_data!$M$115</f>
        <v>633494.21</v>
      </c>
      <c r="B116" s="14">
        <f>cleaned_data!$F$115</f>
        <v>5686</v>
      </c>
      <c r="C116" s="14">
        <f>cleaned_data!$E$115</f>
        <v>51056.15</v>
      </c>
      <c r="D116" s="14">
        <f>cleaned_data!$I$115</f>
        <v>89.9</v>
      </c>
      <c r="E116" s="14">
        <f>cleaned_data!$H$115</f>
        <v>13</v>
      </c>
      <c r="F116" s="14">
        <f>dummy_variables!$D$115</f>
        <v>0</v>
      </c>
      <c r="G116" s="14">
        <f>dummy_variables!$E$115</f>
        <v>1</v>
      </c>
      <c r="H116" s="14">
        <f>dummy_variables!$F$115</f>
        <v>0</v>
      </c>
      <c r="I116" s="14">
        <f>dummy_variables!$G$115</f>
        <v>0</v>
      </c>
      <c r="J116" s="14">
        <f>dummy_variables!$H$115</f>
        <v>0</v>
      </c>
      <c r="K116" s="14">
        <f>dummy_variables!$I$115</f>
        <v>0</v>
      </c>
    </row>
    <row r="117" spans="1:11" ht="15" customHeight="1">
      <c r="A117" s="14">
        <f>cleaned_data!$M$116</f>
        <v>713611.16</v>
      </c>
      <c r="B117" s="14">
        <f>cleaned_data!$F$116</f>
        <v>4063</v>
      </c>
      <c r="C117" s="14">
        <f>cleaned_data!$E$116</f>
        <v>52758.01</v>
      </c>
      <c r="D117" s="14">
        <f>cleaned_data!$I$116</f>
        <v>91.7</v>
      </c>
      <c r="E117" s="14">
        <f>cleaned_data!$H$116</f>
        <v>12</v>
      </c>
      <c r="F117" s="14">
        <f>dummy_variables!$D$116</f>
        <v>0</v>
      </c>
      <c r="G117" s="14">
        <f>dummy_variables!$E$116</f>
        <v>1</v>
      </c>
      <c r="H117" s="14">
        <f>dummy_variables!$F$116</f>
        <v>0</v>
      </c>
      <c r="I117" s="14">
        <f>dummy_variables!$G$116</f>
        <v>0</v>
      </c>
      <c r="J117" s="14">
        <f>dummy_variables!$H$116</f>
        <v>0</v>
      </c>
      <c r="K117" s="14">
        <f>dummy_variables!$I$116</f>
        <v>0</v>
      </c>
    </row>
    <row r="118" spans="1:11" ht="15" customHeight="1">
      <c r="A118" s="14">
        <f>cleaned_data!$M$117</f>
        <v>778397.97</v>
      </c>
      <c r="B118" s="14">
        <f>cleaned_data!$F$117</f>
        <v>8966</v>
      </c>
      <c r="C118" s="14">
        <f>cleaned_data!$E$117</f>
        <v>61426.04</v>
      </c>
      <c r="D118" s="14">
        <f>cleaned_data!$I$117</f>
        <v>76.400000000000006</v>
      </c>
      <c r="E118" s="14">
        <f>cleaned_data!$H$117</f>
        <v>22</v>
      </c>
      <c r="F118" s="14">
        <f>dummy_variables!$D$117</f>
        <v>0</v>
      </c>
      <c r="G118" s="14">
        <f>dummy_variables!$E$117</f>
        <v>1</v>
      </c>
      <c r="H118" s="14">
        <f>dummy_variables!$F$117</f>
        <v>0</v>
      </c>
      <c r="I118" s="14">
        <f>dummy_variables!$G$117</f>
        <v>0</v>
      </c>
      <c r="J118" s="14">
        <f>dummy_variables!$H$117</f>
        <v>0</v>
      </c>
      <c r="K118" s="14">
        <f>dummy_variables!$I$117</f>
        <v>1</v>
      </c>
    </row>
    <row r="119" spans="1:11" ht="15" customHeight="1">
      <c r="A119" s="14">
        <f>cleaned_data!$M$118</f>
        <v>873380.02</v>
      </c>
      <c r="B119" s="14">
        <f>cleaned_data!$F$118</f>
        <v>9489</v>
      </c>
      <c r="C119" s="14">
        <f>cleaned_data!$E$118</f>
        <v>80176.34</v>
      </c>
      <c r="D119" s="14">
        <f>cleaned_data!$I$118</f>
        <v>94.3</v>
      </c>
      <c r="E119" s="14">
        <f>cleaned_data!$H$118</f>
        <v>22</v>
      </c>
      <c r="F119" s="14">
        <f>dummy_variables!$D$118</f>
        <v>0</v>
      </c>
      <c r="G119" s="14">
        <f>dummy_variables!$E$118</f>
        <v>1</v>
      </c>
      <c r="H119" s="14">
        <f>dummy_variables!$F$118</f>
        <v>0</v>
      </c>
      <c r="I119" s="14">
        <f>dummy_variables!$G$118</f>
        <v>0</v>
      </c>
      <c r="J119" s="14">
        <f>dummy_variables!$H$118</f>
        <v>0</v>
      </c>
      <c r="K119" s="14">
        <f>dummy_variables!$I$118</f>
        <v>1</v>
      </c>
    </row>
    <row r="120" spans="1:11" ht="15" customHeight="1">
      <c r="A120" s="14">
        <f>cleaned_data!$M$119</f>
        <v>697287.9</v>
      </c>
      <c r="B120" s="14">
        <f>cleaned_data!$F$119</f>
        <v>9225</v>
      </c>
      <c r="C120" s="14">
        <f>cleaned_data!$E$119</f>
        <v>33605.18</v>
      </c>
      <c r="D120" s="14">
        <f>cleaned_data!$I$119</f>
        <v>88.4</v>
      </c>
      <c r="E120" s="14">
        <f>cleaned_data!$H$119</f>
        <v>23</v>
      </c>
      <c r="F120" s="14">
        <f>dummy_variables!$D$119</f>
        <v>0</v>
      </c>
      <c r="G120" s="14">
        <f>dummy_variables!$E$119</f>
        <v>1</v>
      </c>
      <c r="H120" s="14">
        <f>dummy_variables!$F$119</f>
        <v>0</v>
      </c>
      <c r="I120" s="14">
        <f>dummy_variables!$G$119</f>
        <v>0</v>
      </c>
      <c r="J120" s="14">
        <f>dummy_variables!$H$119</f>
        <v>0</v>
      </c>
      <c r="K120" s="14">
        <f>dummy_variables!$I$119</f>
        <v>1</v>
      </c>
    </row>
    <row r="121" spans="1:11" ht="15" customHeight="1">
      <c r="A121" s="14">
        <f>cleaned_data!$M$120</f>
        <v>718074.79</v>
      </c>
      <c r="B121" s="14">
        <f>cleaned_data!$F$120</f>
        <v>9249</v>
      </c>
      <c r="C121" s="14">
        <f>cleaned_data!$E$120</f>
        <v>25990.54</v>
      </c>
      <c r="D121" s="14">
        <f>cleaned_data!$I$120</f>
        <v>92.5</v>
      </c>
      <c r="E121" s="14">
        <f>cleaned_data!$H$120</f>
        <v>23</v>
      </c>
      <c r="F121" s="14">
        <f>dummy_variables!$D$120</f>
        <v>0</v>
      </c>
      <c r="G121" s="14">
        <f>dummy_variables!$E$120</f>
        <v>1</v>
      </c>
      <c r="H121" s="14">
        <f>dummy_variables!$F$120</f>
        <v>0</v>
      </c>
      <c r="I121" s="14">
        <f>dummy_variables!$G$120</f>
        <v>0</v>
      </c>
      <c r="J121" s="14">
        <f>dummy_variables!$H$120</f>
        <v>0</v>
      </c>
      <c r="K121" s="14">
        <f>dummy_variables!$I$120</f>
        <v>1</v>
      </c>
    </row>
    <row r="122" spans="1:11" ht="15" customHeight="1">
      <c r="A122" s="14">
        <f>cleaned_data!$M$121</f>
        <v>714942.43</v>
      </c>
      <c r="B122" s="14">
        <f>cleaned_data!$F$121</f>
        <v>7821</v>
      </c>
      <c r="C122" s="14">
        <f>cleaned_data!$E$121</f>
        <v>43685.14</v>
      </c>
      <c r="D122" s="14">
        <f>cleaned_data!$I$121</f>
        <v>91</v>
      </c>
      <c r="E122" s="14">
        <f>cleaned_data!$H$121</f>
        <v>17</v>
      </c>
      <c r="F122" s="14">
        <f>dummy_variables!$D$121</f>
        <v>0</v>
      </c>
      <c r="G122" s="14">
        <f>dummy_variables!$E$121</f>
        <v>0</v>
      </c>
      <c r="H122" s="14">
        <f>dummy_variables!$F$121</f>
        <v>1</v>
      </c>
      <c r="I122" s="14">
        <f>dummy_variables!$G$121</f>
        <v>0</v>
      </c>
      <c r="J122" s="14">
        <f>dummy_variables!$H$121</f>
        <v>0</v>
      </c>
      <c r="K122" s="14">
        <f>dummy_variables!$I$121</f>
        <v>1</v>
      </c>
    </row>
    <row r="123" spans="1:11" ht="15" customHeight="1">
      <c r="A123" s="14">
        <f>cleaned_data!$M$122</f>
        <v>820519.04</v>
      </c>
      <c r="B123" s="14">
        <f>cleaned_data!$F$122</f>
        <v>8434</v>
      </c>
      <c r="C123" s="14">
        <f>cleaned_data!$E$122</f>
        <v>57360.01</v>
      </c>
      <c r="D123" s="14">
        <f>cleaned_data!$I$122</f>
        <v>84.1</v>
      </c>
      <c r="E123" s="14">
        <f>cleaned_data!$H$122</f>
        <v>19</v>
      </c>
      <c r="F123" s="14">
        <f>dummy_variables!$D$122</f>
        <v>0</v>
      </c>
      <c r="G123" s="14">
        <f>dummy_variables!$E$122</f>
        <v>0</v>
      </c>
      <c r="H123" s="14">
        <f>dummy_variables!$F$122</f>
        <v>1</v>
      </c>
      <c r="I123" s="14">
        <f>dummy_variables!$G$122</f>
        <v>0</v>
      </c>
      <c r="J123" s="14">
        <f>dummy_variables!$H$122</f>
        <v>0</v>
      </c>
      <c r="K123" s="14">
        <f>dummy_variables!$I$122</f>
        <v>1</v>
      </c>
    </row>
    <row r="124" spans="1:11" ht="15" customHeight="1">
      <c r="A124" s="14">
        <f>cleaned_data!$M$123</f>
        <v>684217.32</v>
      </c>
      <c r="B124" s="14">
        <f>cleaned_data!$F$123</f>
        <v>8512</v>
      </c>
      <c r="C124" s="14">
        <f>cleaned_data!$E$123</f>
        <v>42415.47</v>
      </c>
      <c r="D124" s="14">
        <f>cleaned_data!$I$123</f>
        <v>96.8</v>
      </c>
      <c r="E124" s="14">
        <f>cleaned_data!$H$123</f>
        <v>18</v>
      </c>
      <c r="F124" s="14">
        <f>dummy_variables!$D$123</f>
        <v>0</v>
      </c>
      <c r="G124" s="14">
        <f>dummy_variables!$E$123</f>
        <v>0</v>
      </c>
      <c r="H124" s="14">
        <f>dummy_variables!$F$123</f>
        <v>1</v>
      </c>
      <c r="I124" s="14">
        <f>dummy_variables!$G$123</f>
        <v>0</v>
      </c>
      <c r="J124" s="14">
        <f>dummy_variables!$H$123</f>
        <v>0</v>
      </c>
      <c r="K124" s="14">
        <f>dummy_variables!$I$123</f>
        <v>1</v>
      </c>
    </row>
    <row r="125" spans="1:11" ht="15" customHeight="1">
      <c r="A125" s="14">
        <f>cleaned_data!$M$124</f>
        <v>735480.19</v>
      </c>
      <c r="B125" s="14">
        <f>cleaned_data!$F$124</f>
        <v>7816</v>
      </c>
      <c r="C125" s="14">
        <f>cleaned_data!$E$124</f>
        <v>54968.98</v>
      </c>
      <c r="D125" s="14">
        <f>cleaned_data!$I$124</f>
        <v>95.7</v>
      </c>
      <c r="E125" s="14">
        <f>cleaned_data!$H$124</f>
        <v>19</v>
      </c>
      <c r="F125" s="14">
        <f>dummy_variables!$D$124</f>
        <v>0</v>
      </c>
      <c r="G125" s="14">
        <f>dummy_variables!$E$124</f>
        <v>0</v>
      </c>
      <c r="H125" s="14">
        <f>dummy_variables!$F$124</f>
        <v>1</v>
      </c>
      <c r="I125" s="14">
        <f>dummy_variables!$G$124</f>
        <v>0</v>
      </c>
      <c r="J125" s="14">
        <f>dummy_variables!$H$124</f>
        <v>0</v>
      </c>
      <c r="K125" s="14">
        <f>dummy_variables!$I$124</f>
        <v>1</v>
      </c>
    </row>
    <row r="126" spans="1:11" ht="15" customHeight="1">
      <c r="A126" s="14">
        <f>cleaned_data!$M$125</f>
        <v>509484.81</v>
      </c>
      <c r="B126" s="14">
        <f>cleaned_data!$F$125</f>
        <v>3853</v>
      </c>
      <c r="C126" s="14">
        <f>cleaned_data!$E$125</f>
        <v>43896.13</v>
      </c>
      <c r="D126" s="14">
        <f>cleaned_data!$I$125</f>
        <v>83</v>
      </c>
      <c r="E126" s="14">
        <f>cleaned_data!$H$125</f>
        <v>13</v>
      </c>
      <c r="F126" s="14">
        <f>dummy_variables!$D$125</f>
        <v>0</v>
      </c>
      <c r="G126" s="14">
        <f>dummy_variables!$E$125</f>
        <v>0</v>
      </c>
      <c r="H126" s="14">
        <f>dummy_variables!$F$125</f>
        <v>0</v>
      </c>
      <c r="I126" s="14">
        <f>dummy_variables!$G$125</f>
        <v>1</v>
      </c>
      <c r="J126" s="14">
        <f>dummy_variables!$H$125</f>
        <v>0</v>
      </c>
      <c r="K126" s="14">
        <f>dummy_variables!$I$125</f>
        <v>0</v>
      </c>
    </row>
    <row r="127" spans="1:11" ht="15" customHeight="1">
      <c r="A127" s="14">
        <f>cleaned_data!$M$126</f>
        <v>654317.09</v>
      </c>
      <c r="B127" s="14">
        <f>cleaned_data!$F$126</f>
        <v>3694</v>
      </c>
      <c r="C127" s="14">
        <f>cleaned_data!$E$126</f>
        <v>83044.17</v>
      </c>
      <c r="D127" s="14">
        <f>cleaned_data!$I$126</f>
        <v>89.4</v>
      </c>
      <c r="E127" s="14">
        <f>cleaned_data!$H$126</f>
        <v>14</v>
      </c>
      <c r="F127" s="14">
        <f>dummy_variables!$D$126</f>
        <v>0</v>
      </c>
      <c r="G127" s="14">
        <f>dummy_variables!$E$126</f>
        <v>0</v>
      </c>
      <c r="H127" s="14">
        <f>dummy_variables!$F$126</f>
        <v>0</v>
      </c>
      <c r="I127" s="14">
        <f>dummy_variables!$G$126</f>
        <v>1</v>
      </c>
      <c r="J127" s="14">
        <f>dummy_variables!$H$126</f>
        <v>0</v>
      </c>
      <c r="K127" s="14">
        <f>dummy_variables!$I$126</f>
        <v>0</v>
      </c>
    </row>
    <row r="128" spans="1:11" ht="15" customHeight="1">
      <c r="A128" s="14">
        <f>cleaned_data!$M$127</f>
        <v>557487.26</v>
      </c>
      <c r="B128" s="14">
        <f>cleaned_data!$F$127</f>
        <v>4423</v>
      </c>
      <c r="C128" s="14">
        <f>cleaned_data!$E$127</f>
        <v>48396.13</v>
      </c>
      <c r="D128" s="14">
        <f>cleaned_data!$I$127</f>
        <v>85.7</v>
      </c>
      <c r="E128" s="14">
        <f>cleaned_data!$H$127</f>
        <v>15</v>
      </c>
      <c r="F128" s="14">
        <f>dummy_variables!$D$127</f>
        <v>0</v>
      </c>
      <c r="G128" s="14">
        <f>dummy_variables!$E$127</f>
        <v>0</v>
      </c>
      <c r="H128" s="14">
        <f>dummy_variables!$F$127</f>
        <v>0</v>
      </c>
      <c r="I128" s="14">
        <f>dummy_variables!$G$127</f>
        <v>1</v>
      </c>
      <c r="J128" s="14">
        <f>dummy_variables!$H$127</f>
        <v>0</v>
      </c>
      <c r="K128" s="14">
        <f>dummy_variables!$I$127</f>
        <v>0</v>
      </c>
    </row>
    <row r="129" spans="1:11" ht="15" customHeight="1">
      <c r="A129" s="14">
        <f>cleaned_data!$M$128</f>
        <v>441275.42</v>
      </c>
      <c r="B129" s="14">
        <f>cleaned_data!$F$128</f>
        <v>1906</v>
      </c>
      <c r="C129" s="14">
        <f>cleaned_data!$E$128</f>
        <v>19063.48</v>
      </c>
      <c r="D129" s="14">
        <f>cleaned_data!$I$128</f>
        <v>97.8</v>
      </c>
      <c r="E129" s="14">
        <f>cleaned_data!$H$128</f>
        <v>10</v>
      </c>
      <c r="F129" s="14">
        <f>dummy_variables!$D$128</f>
        <v>0</v>
      </c>
      <c r="G129" s="14">
        <f>dummy_variables!$E$128</f>
        <v>0</v>
      </c>
      <c r="H129" s="14">
        <f>dummy_variables!$F$128</f>
        <v>0</v>
      </c>
      <c r="I129" s="14">
        <f>dummy_variables!$G$128</f>
        <v>1</v>
      </c>
      <c r="J129" s="14">
        <f>dummy_variables!$H$128</f>
        <v>0</v>
      </c>
      <c r="K129" s="14">
        <f>dummy_variables!$I$128</f>
        <v>0</v>
      </c>
    </row>
    <row r="130" spans="1:11" ht="15" customHeight="1">
      <c r="A130" s="14">
        <f>cleaned_data!$M$129</f>
        <v>914544.17</v>
      </c>
      <c r="B130" s="14">
        <f>cleaned_data!$F$129</f>
        <v>10396</v>
      </c>
      <c r="C130" s="14">
        <f>cleaned_data!$E$129</f>
        <v>61541.21</v>
      </c>
      <c r="D130" s="14">
        <f>cleaned_data!$I$129</f>
        <v>88.1</v>
      </c>
      <c r="E130" s="14">
        <f>cleaned_data!$H$129</f>
        <v>25</v>
      </c>
      <c r="F130" s="14">
        <f>dummy_variables!$D$129</f>
        <v>0</v>
      </c>
      <c r="G130" s="14">
        <f>dummy_variables!$E$129</f>
        <v>0</v>
      </c>
      <c r="H130" s="14">
        <f>dummy_variables!$F$129</f>
        <v>0</v>
      </c>
      <c r="I130" s="14">
        <f>dummy_variables!$G$129</f>
        <v>0</v>
      </c>
      <c r="J130" s="14">
        <f>dummy_variables!$H$129</f>
        <v>1</v>
      </c>
      <c r="K130" s="14">
        <f>dummy_variables!$I$129</f>
        <v>0</v>
      </c>
    </row>
    <row r="131" spans="1:11" ht="15" customHeight="1">
      <c r="A131" s="14">
        <f>cleaned_data!$M$130</f>
        <v>842439.67</v>
      </c>
      <c r="B131" s="14">
        <f>cleaned_data!$F$130</f>
        <v>11076</v>
      </c>
      <c r="C131" s="14">
        <f>cleaned_data!$E$130</f>
        <v>44747</v>
      </c>
      <c r="D131" s="14">
        <f>cleaned_data!$I$130</f>
        <v>98.3</v>
      </c>
      <c r="E131" s="14">
        <f>cleaned_data!$H$130</f>
        <v>27</v>
      </c>
      <c r="F131" s="14">
        <f>dummy_variables!$D$130</f>
        <v>0</v>
      </c>
      <c r="G131" s="14">
        <f>dummy_variables!$E$130</f>
        <v>0</v>
      </c>
      <c r="H131" s="14">
        <f>dummy_variables!$F$130</f>
        <v>0</v>
      </c>
      <c r="I131" s="14">
        <f>dummy_variables!$G$130</f>
        <v>0</v>
      </c>
      <c r="J131" s="14">
        <f>dummy_variables!$H$130</f>
        <v>1</v>
      </c>
      <c r="K131" s="14">
        <f>dummy_variables!$I$130</f>
        <v>0</v>
      </c>
    </row>
    <row r="132" spans="1:11" ht="15" customHeight="1">
      <c r="A132" s="14">
        <f>cleaned_data!$M$131</f>
        <v>842157.92</v>
      </c>
      <c r="B132" s="14">
        <f>cleaned_data!$F$131</f>
        <v>9574</v>
      </c>
      <c r="C132" s="14">
        <f>cleaned_data!$E$131</f>
        <v>56517.9</v>
      </c>
      <c r="D132" s="14">
        <f>cleaned_data!$I$131</f>
        <v>88.2</v>
      </c>
      <c r="E132" s="14">
        <f>cleaned_data!$H$131</f>
        <v>20</v>
      </c>
      <c r="F132" s="14">
        <f>dummy_variables!$D$131</f>
        <v>0</v>
      </c>
      <c r="G132" s="14">
        <f>dummy_variables!$E$131</f>
        <v>0</v>
      </c>
      <c r="H132" s="14">
        <f>dummy_variables!$F$131</f>
        <v>0</v>
      </c>
      <c r="I132" s="14">
        <f>dummy_variables!$G$131</f>
        <v>0</v>
      </c>
      <c r="J132" s="14">
        <f>dummy_variables!$H$131</f>
        <v>1</v>
      </c>
      <c r="K132" s="14">
        <f>dummy_variables!$I$131</f>
        <v>0</v>
      </c>
    </row>
    <row r="133" spans="1:11" ht="15" customHeight="1">
      <c r="A133" s="14">
        <f>cleaned_data!$M$132</f>
        <v>697155.3</v>
      </c>
      <c r="B133" s="14">
        <f>cleaned_data!$F$132</f>
        <v>8221</v>
      </c>
      <c r="C133" s="14">
        <f>cleaned_data!$E$132</f>
        <v>37828.5</v>
      </c>
      <c r="D133" s="14">
        <f>cleaned_data!$I$132</f>
        <v>81.5</v>
      </c>
      <c r="E133" s="14">
        <f>cleaned_data!$H$132</f>
        <v>19</v>
      </c>
      <c r="F133" s="14">
        <f>dummy_variables!$D$132</f>
        <v>0</v>
      </c>
      <c r="G133" s="14">
        <f>dummy_variables!$E$132</f>
        <v>0</v>
      </c>
      <c r="H133" s="14">
        <f>dummy_variables!$F$132</f>
        <v>0</v>
      </c>
      <c r="I133" s="14">
        <f>dummy_variables!$G$132</f>
        <v>0</v>
      </c>
      <c r="J133" s="14">
        <f>dummy_variables!$H$132</f>
        <v>1</v>
      </c>
      <c r="K133" s="14">
        <f>dummy_variables!$I$132</f>
        <v>0</v>
      </c>
    </row>
    <row r="134" spans="1:11" ht="15" customHeight="1">
      <c r="A134" s="14">
        <f>cleaned_data!$M$133</f>
        <v>849018.3</v>
      </c>
      <c r="B134" s="14">
        <f>cleaned_data!$F$133</f>
        <v>10618</v>
      </c>
      <c r="C134" s="14">
        <f>cleaned_data!$E$133</f>
        <v>66250.53</v>
      </c>
      <c r="D134" s="14">
        <f>cleaned_data!$I$133</f>
        <v>88.3</v>
      </c>
      <c r="E134" s="14">
        <f>cleaned_data!$H$133</f>
        <v>27</v>
      </c>
      <c r="F134" s="14">
        <f>dummy_variables!$D$133</f>
        <v>0</v>
      </c>
      <c r="G134" s="14">
        <f>dummy_variables!$E$133</f>
        <v>0</v>
      </c>
      <c r="H134" s="14">
        <f>dummy_variables!$F$133</f>
        <v>0</v>
      </c>
      <c r="I134" s="14">
        <f>dummy_variables!$G$133</f>
        <v>0</v>
      </c>
      <c r="J134" s="14">
        <f>dummy_variables!$H$133</f>
        <v>0</v>
      </c>
      <c r="K134" s="14">
        <f>dummy_variables!$I$133</f>
        <v>0</v>
      </c>
    </row>
    <row r="135" spans="1:11" ht="15" customHeight="1">
      <c r="A135" s="14">
        <f>cleaned_data!$M$134</f>
        <v>801830.35</v>
      </c>
      <c r="B135" s="14">
        <f>cleaned_data!$F$134</f>
        <v>10596</v>
      </c>
      <c r="C135" s="14">
        <f>cleaned_data!$E$134</f>
        <v>68410.929999999993</v>
      </c>
      <c r="D135" s="14">
        <f>cleaned_data!$I$134</f>
        <v>81.2</v>
      </c>
      <c r="E135" s="14">
        <f>cleaned_data!$H$134</f>
        <v>25</v>
      </c>
      <c r="F135" s="14">
        <f>dummy_variables!$D$134</f>
        <v>0</v>
      </c>
      <c r="G135" s="14">
        <f>dummy_variables!$E$134</f>
        <v>0</v>
      </c>
      <c r="H135" s="14">
        <f>dummy_variables!$F$134</f>
        <v>0</v>
      </c>
      <c r="I135" s="14">
        <f>dummy_variables!$G$134</f>
        <v>0</v>
      </c>
      <c r="J135" s="14">
        <f>dummy_variables!$H$134</f>
        <v>0</v>
      </c>
      <c r="K135" s="14">
        <f>dummy_variables!$I$134</f>
        <v>0</v>
      </c>
    </row>
    <row r="136" spans="1:11" ht="15" customHeight="1">
      <c r="A136" s="14">
        <f>cleaned_data!$M$135</f>
        <v>725235.28</v>
      </c>
      <c r="B136" s="14">
        <f>cleaned_data!$F$135</f>
        <v>9619</v>
      </c>
      <c r="C136" s="14">
        <f>cleaned_data!$E$135</f>
        <v>50735.63</v>
      </c>
      <c r="D136" s="14">
        <f>cleaned_data!$I$135</f>
        <v>93.8</v>
      </c>
      <c r="E136" s="14">
        <f>cleaned_data!$H$135</f>
        <v>19</v>
      </c>
      <c r="F136" s="14">
        <f>dummy_variables!$D$135</f>
        <v>0</v>
      </c>
      <c r="G136" s="14">
        <f>dummy_variables!$E$135</f>
        <v>0</v>
      </c>
      <c r="H136" s="14">
        <f>dummy_variables!$F$135</f>
        <v>0</v>
      </c>
      <c r="I136" s="14">
        <f>dummy_variables!$G$135</f>
        <v>0</v>
      </c>
      <c r="J136" s="14">
        <f>dummy_variables!$H$135</f>
        <v>0</v>
      </c>
      <c r="K136" s="14">
        <f>dummy_variables!$I$135</f>
        <v>0</v>
      </c>
    </row>
    <row r="137" spans="1:11" ht="15" customHeight="1">
      <c r="A137" s="14">
        <f>cleaned_data!$M$136</f>
        <v>811452.72</v>
      </c>
      <c r="B137" s="14">
        <f>cleaned_data!$F$136</f>
        <v>10836</v>
      </c>
      <c r="C137" s="14">
        <f>cleaned_data!$E$136</f>
        <v>66455.8</v>
      </c>
      <c r="D137" s="14">
        <f>cleaned_data!$I$136</f>
        <v>85</v>
      </c>
      <c r="E137" s="14">
        <f>cleaned_data!$H$136</f>
        <v>25</v>
      </c>
      <c r="F137" s="14">
        <f>dummy_variables!$D$136</f>
        <v>0</v>
      </c>
      <c r="G137" s="14">
        <f>dummy_variables!$E$136</f>
        <v>0</v>
      </c>
      <c r="H137" s="14">
        <f>dummy_variables!$F$136</f>
        <v>0</v>
      </c>
      <c r="I137" s="14">
        <f>dummy_variables!$G$136</f>
        <v>0</v>
      </c>
      <c r="J137" s="14">
        <f>dummy_variables!$H$136</f>
        <v>0</v>
      </c>
      <c r="K137" s="14">
        <f>dummy_variables!$I$136</f>
        <v>0</v>
      </c>
    </row>
    <row r="138" spans="1:11" ht="15" customHeight="1">
      <c r="A138" s="14">
        <f>cleaned_data!$M$137</f>
        <v>527300.13</v>
      </c>
      <c r="B138" s="14">
        <f>cleaned_data!$F$137</f>
        <v>3043</v>
      </c>
      <c r="C138" s="14">
        <f>cleaned_data!$E$137</f>
        <v>70276.28</v>
      </c>
      <c r="D138" s="14">
        <f>cleaned_data!$I$137</f>
        <v>87.9</v>
      </c>
      <c r="E138" s="14">
        <f>cleaned_data!$H$137</f>
        <v>9</v>
      </c>
      <c r="F138" s="14">
        <f>dummy_variables!$D$137</f>
        <v>0</v>
      </c>
      <c r="G138" s="14">
        <f>dummy_variables!$E$137</f>
        <v>0</v>
      </c>
      <c r="H138" s="14">
        <f>dummy_variables!$F$137</f>
        <v>0</v>
      </c>
      <c r="I138" s="14">
        <f>dummy_variables!$G$137</f>
        <v>1</v>
      </c>
      <c r="J138" s="14">
        <f>dummy_variables!$H$137</f>
        <v>0</v>
      </c>
      <c r="K138" s="14">
        <f>dummy_variables!$I$137</f>
        <v>0</v>
      </c>
    </row>
    <row r="139" spans="1:11" ht="15" customHeight="1">
      <c r="A139" s="14">
        <f>cleaned_data!$M$138</f>
        <v>400831.65</v>
      </c>
      <c r="B139" s="14">
        <f>cleaned_data!$F$138</f>
        <v>1814</v>
      </c>
      <c r="C139" s="14">
        <f>cleaned_data!$E$138</f>
        <v>22071.64</v>
      </c>
      <c r="D139" s="14">
        <f>cleaned_data!$I$138</f>
        <v>81.099999999999994</v>
      </c>
      <c r="E139" s="14">
        <f>cleaned_data!$H$138</f>
        <v>8</v>
      </c>
      <c r="F139" s="14">
        <f>dummy_variables!$D$138</f>
        <v>0</v>
      </c>
      <c r="G139" s="14">
        <f>dummy_variables!$E$138</f>
        <v>0</v>
      </c>
      <c r="H139" s="14">
        <f>dummy_variables!$F$138</f>
        <v>0</v>
      </c>
      <c r="I139" s="14">
        <f>dummy_variables!$G$138</f>
        <v>1</v>
      </c>
      <c r="J139" s="14">
        <f>dummy_variables!$H$138</f>
        <v>0</v>
      </c>
      <c r="K139" s="14">
        <f>dummy_variables!$I$138</f>
        <v>0</v>
      </c>
    </row>
    <row r="140" spans="1:11" ht="15" customHeight="1">
      <c r="A140" s="14">
        <f>cleaned_data!$M$139</f>
        <v>593247.25</v>
      </c>
      <c r="B140" s="14">
        <f>cleaned_data!$F$139</f>
        <v>3618</v>
      </c>
      <c r="C140" s="14">
        <f>cleaned_data!$E$139</f>
        <v>52285.45</v>
      </c>
      <c r="D140" s="14">
        <f>cleaned_data!$I$139</f>
        <v>95.6</v>
      </c>
      <c r="E140" s="14">
        <f>cleaned_data!$H$139</f>
        <v>11</v>
      </c>
      <c r="F140" s="14">
        <f>dummy_variables!$D$139</f>
        <v>0</v>
      </c>
      <c r="G140" s="14">
        <f>dummy_variables!$E$139</f>
        <v>0</v>
      </c>
      <c r="H140" s="14">
        <f>dummy_variables!$F$139</f>
        <v>0</v>
      </c>
      <c r="I140" s="14">
        <f>dummy_variables!$G$139</f>
        <v>1</v>
      </c>
      <c r="J140" s="14">
        <f>dummy_variables!$H$139</f>
        <v>0</v>
      </c>
      <c r="K140" s="14">
        <f>dummy_variables!$I$139</f>
        <v>0</v>
      </c>
    </row>
    <row r="141" spans="1:11" ht="15" customHeight="1">
      <c r="A141" s="14">
        <f>cleaned_data!$M$140</f>
        <v>529075.94999999995</v>
      </c>
      <c r="B141" s="14">
        <f>cleaned_data!$F$140</f>
        <v>1963</v>
      </c>
      <c r="C141" s="14">
        <f>cleaned_data!$E$140</f>
        <v>70366.759999999995</v>
      </c>
      <c r="D141" s="14">
        <f>cleaned_data!$I$140</f>
        <v>89.8</v>
      </c>
      <c r="E141" s="14">
        <f>cleaned_data!$H$140</f>
        <v>8</v>
      </c>
      <c r="F141" s="14">
        <f>dummy_variables!$D$140</f>
        <v>0</v>
      </c>
      <c r="G141" s="14">
        <f>dummy_variables!$E$140</f>
        <v>0</v>
      </c>
      <c r="H141" s="14">
        <f>dummy_variables!$F$140</f>
        <v>0</v>
      </c>
      <c r="I141" s="14">
        <f>dummy_variables!$G$140</f>
        <v>1</v>
      </c>
      <c r="J141" s="14">
        <f>dummy_variables!$H$140</f>
        <v>0</v>
      </c>
      <c r="K141" s="14">
        <f>dummy_variables!$I$140</f>
        <v>0</v>
      </c>
    </row>
    <row r="142" spans="1:11" ht="15" customHeight="1">
      <c r="A142" s="14">
        <f>cleaned_data!$M$141</f>
        <v>633638.03</v>
      </c>
      <c r="B142" s="14">
        <f>cleaned_data!$F$141</f>
        <v>7888</v>
      </c>
      <c r="C142" s="14">
        <f>cleaned_data!$E$141</f>
        <v>71320.66</v>
      </c>
      <c r="D142" s="14">
        <f>cleaned_data!$I$141</f>
        <v>78.099999999999994</v>
      </c>
      <c r="E142" s="14">
        <f>cleaned_data!$H$141</f>
        <v>20</v>
      </c>
      <c r="F142" s="14">
        <f>dummy_variables!$D$141</f>
        <v>0</v>
      </c>
      <c r="G142" s="14">
        <f>dummy_variables!$E$141</f>
        <v>0</v>
      </c>
      <c r="H142" s="14">
        <f>dummy_variables!$F$141</f>
        <v>1</v>
      </c>
      <c r="I142" s="14">
        <f>dummy_variables!$G$141</f>
        <v>0</v>
      </c>
      <c r="J142" s="14">
        <f>dummy_variables!$H$141</f>
        <v>1</v>
      </c>
      <c r="K142" s="14">
        <f>dummy_variables!$I$141</f>
        <v>0</v>
      </c>
    </row>
    <row r="143" spans="1:11" ht="15" customHeight="1">
      <c r="A143" s="14">
        <f>cleaned_data!$M$142</f>
        <v>743348.84</v>
      </c>
      <c r="B143" s="14">
        <f>cleaned_data!$F$142</f>
        <v>6244</v>
      </c>
      <c r="C143" s="14">
        <f>cleaned_data!$E$142</f>
        <v>75109.67</v>
      </c>
      <c r="D143" s="14">
        <f>cleaned_data!$I$142</f>
        <v>96.3</v>
      </c>
      <c r="E143" s="14">
        <f>cleaned_data!$H$142</f>
        <v>15</v>
      </c>
      <c r="F143" s="14">
        <f>dummy_variables!$D$142</f>
        <v>0</v>
      </c>
      <c r="G143" s="14">
        <f>dummy_variables!$E$142</f>
        <v>0</v>
      </c>
      <c r="H143" s="14">
        <f>dummy_variables!$F$142</f>
        <v>1</v>
      </c>
      <c r="I143" s="14">
        <f>dummy_variables!$G$142</f>
        <v>0</v>
      </c>
      <c r="J143" s="14">
        <f>dummy_variables!$H$142</f>
        <v>1</v>
      </c>
      <c r="K143" s="14">
        <f>dummy_variables!$I$142</f>
        <v>0</v>
      </c>
    </row>
    <row r="144" spans="1:11" ht="15" customHeight="1">
      <c r="A144" s="14">
        <f>cleaned_data!$M$143</f>
        <v>758827.64</v>
      </c>
      <c r="B144" s="14">
        <f>cleaned_data!$F$143</f>
        <v>6544</v>
      </c>
      <c r="C144" s="14">
        <f>cleaned_data!$E$143</f>
        <v>69779</v>
      </c>
      <c r="D144" s="14">
        <f>cleaned_data!$I$143</f>
        <v>90.2</v>
      </c>
      <c r="E144" s="14">
        <f>cleaned_data!$H$143</f>
        <v>18</v>
      </c>
      <c r="F144" s="14">
        <f>dummy_variables!$D$143</f>
        <v>0</v>
      </c>
      <c r="G144" s="14">
        <f>dummy_variables!$E$143</f>
        <v>0</v>
      </c>
      <c r="H144" s="14">
        <f>dummy_variables!$F$143</f>
        <v>1</v>
      </c>
      <c r="I144" s="14">
        <f>dummy_variables!$G$143</f>
        <v>0</v>
      </c>
      <c r="J144" s="14">
        <f>dummy_variables!$H$143</f>
        <v>1</v>
      </c>
      <c r="K144" s="14">
        <f>dummy_variables!$I$143</f>
        <v>0</v>
      </c>
    </row>
    <row r="145" spans="1:11" ht="15" customHeight="1">
      <c r="A145" s="14">
        <f>cleaned_data!$M$144</f>
        <v>646559.71</v>
      </c>
      <c r="B145" s="14">
        <f>cleaned_data!$F$144</f>
        <v>5465</v>
      </c>
      <c r="C145" s="14">
        <f>cleaned_data!$E$144</f>
        <v>44211.95</v>
      </c>
      <c r="D145" s="14">
        <f>cleaned_data!$I$144</f>
        <v>90</v>
      </c>
      <c r="E145" s="14">
        <f>cleaned_data!$H$144</f>
        <v>12</v>
      </c>
      <c r="F145" s="14">
        <f>dummy_variables!$D$144</f>
        <v>0</v>
      </c>
      <c r="G145" s="14">
        <f>dummy_variables!$E$144</f>
        <v>0</v>
      </c>
      <c r="H145" s="14">
        <f>dummy_variables!$F$144</f>
        <v>1</v>
      </c>
      <c r="I145" s="14">
        <f>dummy_variables!$G$144</f>
        <v>0</v>
      </c>
      <c r="J145" s="14">
        <f>dummy_variables!$H$144</f>
        <v>1</v>
      </c>
      <c r="K145" s="14">
        <f>dummy_variables!$I$144</f>
        <v>0</v>
      </c>
    </row>
    <row r="146" spans="1:11" ht="15" customHeight="1">
      <c r="A146" s="14">
        <f>cleaned_data!$M$145</f>
        <v>715890.53</v>
      </c>
      <c r="B146" s="14">
        <f>cleaned_data!$F$145</f>
        <v>6427</v>
      </c>
      <c r="C146" s="14">
        <f>cleaned_data!$E$145</f>
        <v>51430.31</v>
      </c>
      <c r="D146" s="14">
        <f>cleaned_data!$I$145</f>
        <v>88.8</v>
      </c>
      <c r="E146" s="14">
        <f>cleaned_data!$H$145</f>
        <v>14</v>
      </c>
      <c r="F146" s="14">
        <f>dummy_variables!$D$145</f>
        <v>0</v>
      </c>
      <c r="G146" s="14">
        <f>dummy_variables!$E$145</f>
        <v>0</v>
      </c>
      <c r="H146" s="14">
        <f>dummy_variables!$F$145</f>
        <v>0</v>
      </c>
      <c r="I146" s="14">
        <f>dummy_variables!$G$145</f>
        <v>0</v>
      </c>
      <c r="J146" s="14">
        <f>dummy_variables!$H$145</f>
        <v>0</v>
      </c>
      <c r="K146" s="14">
        <f>dummy_variables!$I$145</f>
        <v>1</v>
      </c>
    </row>
    <row r="147" spans="1:11" ht="15" customHeight="1">
      <c r="A147" s="14">
        <f>cleaned_data!$M$146</f>
        <v>715097.57</v>
      </c>
      <c r="B147" s="14">
        <f>cleaned_data!$F$146</f>
        <v>6704</v>
      </c>
      <c r="C147" s="14">
        <f>cleaned_data!$E$146</f>
        <v>45706.49</v>
      </c>
      <c r="D147" s="14">
        <f>cleaned_data!$I$146</f>
        <v>94.2</v>
      </c>
      <c r="E147" s="14">
        <f>cleaned_data!$H$146</f>
        <v>15</v>
      </c>
      <c r="F147" s="14">
        <f>dummy_variables!$D$146</f>
        <v>0</v>
      </c>
      <c r="G147" s="14">
        <f>dummy_variables!$E$146</f>
        <v>0</v>
      </c>
      <c r="H147" s="14">
        <f>dummy_variables!$F$146</f>
        <v>0</v>
      </c>
      <c r="I147" s="14">
        <f>dummy_variables!$G$146</f>
        <v>0</v>
      </c>
      <c r="J147" s="14">
        <f>dummy_variables!$H$146</f>
        <v>0</v>
      </c>
      <c r="K147" s="14">
        <f>dummy_variables!$I$146</f>
        <v>1</v>
      </c>
    </row>
    <row r="148" spans="1:11" ht="15" customHeight="1">
      <c r="A148" s="14">
        <f>cleaned_data!$M$147</f>
        <v>682639.28</v>
      </c>
      <c r="B148" s="14">
        <f>cleaned_data!$F$147</f>
        <v>5645</v>
      </c>
      <c r="C148" s="14">
        <f>cleaned_data!$E$147</f>
        <v>44034.6</v>
      </c>
      <c r="D148" s="14">
        <f>cleaned_data!$I$147</f>
        <v>88.5</v>
      </c>
      <c r="E148" s="14">
        <f>cleaned_data!$H$147</f>
        <v>18</v>
      </c>
      <c r="F148" s="14">
        <f>dummy_variables!$D$147</f>
        <v>0</v>
      </c>
      <c r="G148" s="14">
        <f>dummy_variables!$E$147</f>
        <v>0</v>
      </c>
      <c r="H148" s="14">
        <f>dummy_variables!$F$147</f>
        <v>0</v>
      </c>
      <c r="I148" s="14">
        <f>dummy_variables!$G$147</f>
        <v>0</v>
      </c>
      <c r="J148" s="14">
        <f>dummy_variables!$H$147</f>
        <v>0</v>
      </c>
      <c r="K148" s="14">
        <f>dummy_variables!$I$147</f>
        <v>1</v>
      </c>
    </row>
    <row r="149" spans="1:11" ht="15" customHeight="1">
      <c r="A149" s="14">
        <f>cleaned_data!$M$148</f>
        <v>695098.51</v>
      </c>
      <c r="B149" s="14">
        <f>cleaned_data!$F$148</f>
        <v>6089</v>
      </c>
      <c r="C149" s="14">
        <f>cleaned_data!$E$148</f>
        <v>50198.12</v>
      </c>
      <c r="D149" s="14">
        <f>cleaned_data!$I$148</f>
        <v>94</v>
      </c>
      <c r="E149" s="14">
        <f>cleaned_data!$H$148</f>
        <v>19</v>
      </c>
      <c r="F149" s="14">
        <f>dummy_variables!$D$148</f>
        <v>0</v>
      </c>
      <c r="G149" s="14">
        <f>dummy_variables!$E$148</f>
        <v>0</v>
      </c>
      <c r="H149" s="14">
        <f>dummy_variables!$F$148</f>
        <v>0</v>
      </c>
      <c r="I149" s="14">
        <f>dummy_variables!$G$148</f>
        <v>0</v>
      </c>
      <c r="J149" s="14">
        <f>dummy_variables!$H$148</f>
        <v>0</v>
      </c>
      <c r="K149" s="14">
        <f>dummy_variables!$I$148</f>
        <v>1</v>
      </c>
    </row>
    <row r="150" spans="1:11" ht="15" customHeight="1">
      <c r="A150" s="14">
        <f>cleaned_data!$M$149</f>
        <v>577732.56999999995</v>
      </c>
      <c r="B150" s="14">
        <f>cleaned_data!$F$149</f>
        <v>4312</v>
      </c>
      <c r="C150" s="14">
        <f>cleaned_data!$E$149</f>
        <v>70488.2</v>
      </c>
      <c r="D150" s="14">
        <f>cleaned_data!$I$149</f>
        <v>90.2</v>
      </c>
      <c r="E150" s="14">
        <f>cleaned_data!$H$149</f>
        <v>12</v>
      </c>
      <c r="F150" s="14">
        <f>dummy_variables!$D$149</f>
        <v>0</v>
      </c>
      <c r="G150" s="14">
        <f>dummy_variables!$E$149</f>
        <v>0</v>
      </c>
      <c r="H150" s="14">
        <f>dummy_variables!$F$149</f>
        <v>1</v>
      </c>
      <c r="I150" s="14">
        <f>dummy_variables!$G$149</f>
        <v>1</v>
      </c>
      <c r="J150" s="14">
        <f>dummy_variables!$H$149</f>
        <v>0</v>
      </c>
      <c r="K150" s="14">
        <f>dummy_variables!$I$149</f>
        <v>0</v>
      </c>
    </row>
    <row r="151" spans="1:11" ht="15" customHeight="1">
      <c r="A151" s="14">
        <f>cleaned_data!$M$150</f>
        <v>537058.32999999996</v>
      </c>
      <c r="B151" s="14">
        <f>cleaned_data!$F$150</f>
        <v>3152</v>
      </c>
      <c r="C151" s="14">
        <f>cleaned_data!$E$150</f>
        <v>50909.27</v>
      </c>
      <c r="D151" s="14">
        <f>cleaned_data!$I$150</f>
        <v>93.7</v>
      </c>
      <c r="E151" s="14">
        <f>cleaned_data!$H$150</f>
        <v>13</v>
      </c>
      <c r="F151" s="14">
        <f>dummy_variables!$D$150</f>
        <v>0</v>
      </c>
      <c r="G151" s="14">
        <f>dummy_variables!$E$150</f>
        <v>0</v>
      </c>
      <c r="H151" s="14">
        <f>dummy_variables!$F$150</f>
        <v>1</v>
      </c>
      <c r="I151" s="14">
        <f>dummy_variables!$G$150</f>
        <v>1</v>
      </c>
      <c r="J151" s="14">
        <f>dummy_variables!$H$150</f>
        <v>0</v>
      </c>
      <c r="K151" s="14">
        <f>dummy_variables!$I$150</f>
        <v>0</v>
      </c>
    </row>
    <row r="152" spans="1:11" ht="15" customHeight="1">
      <c r="A152" s="14">
        <f>cleaned_data!$M$151</f>
        <v>601568.87</v>
      </c>
      <c r="B152" s="14">
        <f>cleaned_data!$F$151</f>
        <v>4259</v>
      </c>
      <c r="C152" s="14">
        <f>cleaned_data!$E$151</f>
        <v>53351.7</v>
      </c>
      <c r="D152" s="14">
        <f>cleaned_data!$I$151</f>
        <v>93.7</v>
      </c>
      <c r="E152" s="14">
        <f>cleaned_data!$H$151</f>
        <v>15</v>
      </c>
      <c r="F152" s="14">
        <f>dummy_variables!$D$151</f>
        <v>0</v>
      </c>
      <c r="G152" s="14">
        <f>dummy_variables!$E$151</f>
        <v>0</v>
      </c>
      <c r="H152" s="14">
        <f>dummy_variables!$F$151</f>
        <v>1</v>
      </c>
      <c r="I152" s="14">
        <f>dummy_variables!$G$151</f>
        <v>1</v>
      </c>
      <c r="J152" s="14">
        <f>dummy_variables!$H$151</f>
        <v>0</v>
      </c>
      <c r="K152" s="14">
        <f>dummy_variables!$I$151</f>
        <v>0</v>
      </c>
    </row>
    <row r="153" spans="1:11" ht="15" customHeight="1">
      <c r="A153" s="14">
        <f>cleaned_data!$M$152</f>
        <v>570964.84</v>
      </c>
      <c r="B153" s="14">
        <f>cleaned_data!$F$152</f>
        <v>3350</v>
      </c>
      <c r="C153" s="14">
        <f>cleaned_data!$E$152</f>
        <v>60322.400000000001</v>
      </c>
      <c r="D153" s="14">
        <f>cleaned_data!$I$152</f>
        <v>89.4</v>
      </c>
      <c r="E153" s="14">
        <f>cleaned_data!$H$152</f>
        <v>12</v>
      </c>
      <c r="F153" s="14">
        <f>dummy_variables!$D$152</f>
        <v>0</v>
      </c>
      <c r="G153" s="14">
        <f>dummy_variables!$E$152</f>
        <v>0</v>
      </c>
      <c r="H153" s="14">
        <f>dummy_variables!$F$152</f>
        <v>1</v>
      </c>
      <c r="I153" s="14">
        <f>dummy_variables!$G$152</f>
        <v>1</v>
      </c>
      <c r="J153" s="14">
        <f>dummy_variables!$H$152</f>
        <v>0</v>
      </c>
      <c r="K153" s="14">
        <f>dummy_variables!$I$152</f>
        <v>0</v>
      </c>
    </row>
    <row r="154" spans="1:11" ht="15" customHeight="1">
      <c r="A154" s="14">
        <f>cleaned_data!$M$153</f>
        <v>614024.91</v>
      </c>
      <c r="B154" s="14">
        <f>cleaned_data!$F$153</f>
        <v>5329</v>
      </c>
      <c r="C154" s="14">
        <f>cleaned_data!$E$153</f>
        <v>51575.68</v>
      </c>
      <c r="D154" s="14">
        <f>cleaned_data!$I$153</f>
        <v>88.1</v>
      </c>
      <c r="E154" s="14">
        <f>cleaned_data!$H$153</f>
        <v>17</v>
      </c>
      <c r="F154" s="14">
        <f>dummy_variables!$D$153</f>
        <v>0</v>
      </c>
      <c r="G154" s="14">
        <f>dummy_variables!$E$153</f>
        <v>1</v>
      </c>
      <c r="H154" s="14">
        <f>dummy_variables!$F$153</f>
        <v>0</v>
      </c>
      <c r="I154" s="14">
        <f>dummy_variables!$G$153</f>
        <v>0</v>
      </c>
      <c r="J154" s="14">
        <f>dummy_variables!$H$153</f>
        <v>1</v>
      </c>
      <c r="K154" s="14">
        <f>dummy_variables!$I$153</f>
        <v>0</v>
      </c>
    </row>
    <row r="155" spans="1:11" ht="15" customHeight="1">
      <c r="A155" s="14">
        <f>cleaned_data!$M$154</f>
        <v>712868.35</v>
      </c>
      <c r="B155" s="14">
        <f>cleaned_data!$F$154</f>
        <v>6551</v>
      </c>
      <c r="C155" s="14">
        <f>cleaned_data!$E$154</f>
        <v>43319.94</v>
      </c>
      <c r="D155" s="14">
        <f>cleaned_data!$I$154</f>
        <v>99</v>
      </c>
      <c r="E155" s="14">
        <f>cleaned_data!$H$154</f>
        <v>13</v>
      </c>
      <c r="F155" s="14">
        <f>dummy_variables!$D$154</f>
        <v>0</v>
      </c>
      <c r="G155" s="14">
        <f>dummy_variables!$E$154</f>
        <v>1</v>
      </c>
      <c r="H155" s="14">
        <f>dummy_variables!$F$154</f>
        <v>0</v>
      </c>
      <c r="I155" s="14">
        <f>dummy_variables!$G$154</f>
        <v>0</v>
      </c>
      <c r="J155" s="14">
        <f>dummy_variables!$H$154</f>
        <v>1</v>
      </c>
      <c r="K155" s="14">
        <f>dummy_variables!$I$154</f>
        <v>0</v>
      </c>
    </row>
    <row r="156" spans="1:11" ht="15" customHeight="1">
      <c r="A156" s="14">
        <f>cleaned_data!$M$155</f>
        <v>696744.15</v>
      </c>
      <c r="B156" s="14">
        <f>cleaned_data!$F$155</f>
        <v>5550</v>
      </c>
      <c r="C156" s="14">
        <f>cleaned_data!$E$155</f>
        <v>47093.55</v>
      </c>
      <c r="D156" s="14">
        <f>cleaned_data!$I$155</f>
        <v>95</v>
      </c>
      <c r="E156" s="14">
        <f>cleaned_data!$H$155</f>
        <v>12</v>
      </c>
      <c r="F156" s="14">
        <f>dummy_variables!$D$155</f>
        <v>0</v>
      </c>
      <c r="G156" s="14">
        <f>dummy_variables!$E$155</f>
        <v>1</v>
      </c>
      <c r="H156" s="14">
        <f>dummy_variables!$F$155</f>
        <v>0</v>
      </c>
      <c r="I156" s="14">
        <f>dummy_variables!$G$155</f>
        <v>0</v>
      </c>
      <c r="J156" s="14">
        <f>dummy_variables!$H$155</f>
        <v>1</v>
      </c>
      <c r="K156" s="14">
        <f>dummy_variables!$I$155</f>
        <v>0</v>
      </c>
    </row>
    <row r="157" spans="1:11" ht="15" customHeight="1">
      <c r="A157" s="14">
        <f>cleaned_data!$M$156</f>
        <v>725847.99</v>
      </c>
      <c r="B157" s="14">
        <f>cleaned_data!$F$156</f>
        <v>5911</v>
      </c>
      <c r="C157" s="14">
        <f>cleaned_data!$E$156</f>
        <v>71855.09</v>
      </c>
      <c r="D157" s="14">
        <f>cleaned_data!$I$156</f>
        <v>94.3</v>
      </c>
      <c r="E157" s="14">
        <f>cleaned_data!$H$156</f>
        <v>15</v>
      </c>
      <c r="F157" s="14">
        <f>dummy_variables!$D$156</f>
        <v>0</v>
      </c>
      <c r="G157" s="14">
        <f>dummy_variables!$E$156</f>
        <v>1</v>
      </c>
      <c r="H157" s="14">
        <f>dummy_variables!$F$156</f>
        <v>0</v>
      </c>
      <c r="I157" s="14">
        <f>dummy_variables!$G$156</f>
        <v>0</v>
      </c>
      <c r="J157" s="14">
        <f>dummy_variables!$H$156</f>
        <v>1</v>
      </c>
      <c r="K157" s="14">
        <f>dummy_variables!$I$156</f>
        <v>0</v>
      </c>
    </row>
    <row r="158" spans="1:11" ht="15" customHeight="1">
      <c r="A158" s="14">
        <f>cleaned_data!$M$157</f>
        <v>785028.25</v>
      </c>
      <c r="B158" s="14">
        <f>cleaned_data!$F$157</f>
        <v>9674</v>
      </c>
      <c r="C158" s="14">
        <f>cleaned_data!$E$157</f>
        <v>75645.23</v>
      </c>
      <c r="D158" s="14">
        <f>cleaned_data!$I$157</f>
        <v>87.4</v>
      </c>
      <c r="E158" s="14">
        <f>cleaned_data!$H$157</f>
        <v>21</v>
      </c>
      <c r="F158" s="14">
        <f>dummy_variables!$D$157</f>
        <v>0</v>
      </c>
      <c r="G158" s="14">
        <f>dummy_variables!$E$157</f>
        <v>0</v>
      </c>
      <c r="H158" s="14">
        <f>dummy_variables!$F$157</f>
        <v>0</v>
      </c>
      <c r="I158" s="14">
        <f>dummy_variables!$G$157</f>
        <v>0</v>
      </c>
      <c r="J158" s="14">
        <f>dummy_variables!$H$157</f>
        <v>0</v>
      </c>
      <c r="K158" s="14">
        <f>dummy_variables!$I$157</f>
        <v>0</v>
      </c>
    </row>
    <row r="159" spans="1:11" ht="15" customHeight="1">
      <c r="A159" s="14">
        <f>cleaned_data!$M$158</f>
        <v>698492.67</v>
      </c>
      <c r="B159" s="14">
        <f>cleaned_data!$F$158</f>
        <v>6740</v>
      </c>
      <c r="C159" s="14">
        <f>cleaned_data!$E$158</f>
        <v>64374.75</v>
      </c>
      <c r="D159" s="14">
        <f>cleaned_data!$I$158</f>
        <v>87</v>
      </c>
      <c r="E159" s="14">
        <f>cleaned_data!$H$158</f>
        <v>18</v>
      </c>
      <c r="F159" s="14">
        <f>dummy_variables!$D$158</f>
        <v>0</v>
      </c>
      <c r="G159" s="14">
        <f>dummy_variables!$E$158</f>
        <v>0</v>
      </c>
      <c r="H159" s="14">
        <f>dummy_variables!$F$158</f>
        <v>0</v>
      </c>
      <c r="I159" s="14">
        <f>dummy_variables!$G$158</f>
        <v>0</v>
      </c>
      <c r="J159" s="14">
        <f>dummy_variables!$H$158</f>
        <v>0</v>
      </c>
      <c r="K159" s="14">
        <f>dummy_variables!$I$158</f>
        <v>0</v>
      </c>
    </row>
    <row r="160" spans="1:11" ht="15" customHeight="1">
      <c r="A160" s="14">
        <f>cleaned_data!$M$159</f>
        <v>685830.24</v>
      </c>
      <c r="B160" s="14">
        <f>cleaned_data!$F$159</f>
        <v>7745</v>
      </c>
      <c r="C160" s="14">
        <f>cleaned_data!$E$159</f>
        <v>61433.84</v>
      </c>
      <c r="D160" s="14">
        <f>cleaned_data!$I$159</f>
        <v>90.5</v>
      </c>
      <c r="E160" s="14">
        <f>cleaned_data!$H$159</f>
        <v>16</v>
      </c>
      <c r="F160" s="14">
        <f>dummy_variables!$D$159</f>
        <v>0</v>
      </c>
      <c r="G160" s="14">
        <f>dummy_variables!$E$159</f>
        <v>0</v>
      </c>
      <c r="H160" s="14">
        <f>dummy_variables!$F$159</f>
        <v>0</v>
      </c>
      <c r="I160" s="14">
        <f>dummy_variables!$G$159</f>
        <v>0</v>
      </c>
      <c r="J160" s="14">
        <f>dummy_variables!$H$159</f>
        <v>0</v>
      </c>
      <c r="K160" s="14">
        <f>dummy_variables!$I$159</f>
        <v>0</v>
      </c>
    </row>
    <row r="161" spans="1:11" ht="15" customHeight="1">
      <c r="A161" s="14">
        <f>cleaned_data!$M$160</f>
        <v>702318.94</v>
      </c>
      <c r="B161" s="14">
        <f>cleaned_data!$F$160</f>
        <v>7693</v>
      </c>
      <c r="C161" s="14">
        <f>cleaned_data!$E$160</f>
        <v>42698.14</v>
      </c>
      <c r="D161" s="14">
        <f>cleaned_data!$I$160</f>
        <v>90.1</v>
      </c>
      <c r="E161" s="14">
        <f>cleaned_data!$H$160</f>
        <v>19</v>
      </c>
      <c r="F161" s="14">
        <f>dummy_variables!$D$160</f>
        <v>0</v>
      </c>
      <c r="G161" s="14">
        <f>dummy_variables!$E$160</f>
        <v>0</v>
      </c>
      <c r="H161" s="14">
        <f>dummy_variables!$F$160</f>
        <v>0</v>
      </c>
      <c r="I161" s="14">
        <f>dummy_variables!$G$160</f>
        <v>0</v>
      </c>
      <c r="J161" s="14">
        <f>dummy_variables!$H$160</f>
        <v>0</v>
      </c>
      <c r="K161" s="14">
        <f>dummy_variables!$I$160</f>
        <v>0</v>
      </c>
    </row>
    <row r="162" spans="1:11" ht="15" customHeight="1">
      <c r="A162" s="14">
        <f>cleaned_data!$M$161</f>
        <v>700078.32</v>
      </c>
      <c r="B162" s="14">
        <f>cleaned_data!$F$161</f>
        <v>6424</v>
      </c>
      <c r="C162" s="14">
        <f>cleaned_data!$E$161</f>
        <v>86883.31</v>
      </c>
      <c r="D162" s="14">
        <f>cleaned_data!$I$161</f>
        <v>85.2</v>
      </c>
      <c r="E162" s="14">
        <f>cleaned_data!$H$161</f>
        <v>19</v>
      </c>
      <c r="F162" s="14">
        <f>dummy_variables!$D$161</f>
        <v>0</v>
      </c>
      <c r="G162" s="14">
        <f>dummy_variables!$E$161</f>
        <v>1</v>
      </c>
      <c r="H162" s="14">
        <f>dummy_variables!$F$161</f>
        <v>0</v>
      </c>
      <c r="I162" s="14">
        <f>dummy_variables!$G$161</f>
        <v>1</v>
      </c>
      <c r="J162" s="14">
        <f>dummy_variables!$H$161</f>
        <v>0</v>
      </c>
      <c r="K162" s="14">
        <f>dummy_variables!$I$161</f>
        <v>0</v>
      </c>
    </row>
    <row r="163" spans="1:11" ht="15" customHeight="1">
      <c r="A163" s="14">
        <f>cleaned_data!$M$162</f>
        <v>602002.31999999995</v>
      </c>
      <c r="B163" s="14">
        <f>cleaned_data!$F$162</f>
        <v>5400</v>
      </c>
      <c r="C163" s="14">
        <f>cleaned_data!$E$162</f>
        <v>41863.08</v>
      </c>
      <c r="D163" s="14">
        <f>cleaned_data!$I$162</f>
        <v>91.6</v>
      </c>
      <c r="E163" s="14">
        <f>cleaned_data!$H$162</f>
        <v>11</v>
      </c>
      <c r="F163" s="14">
        <f>dummy_variables!$D$162</f>
        <v>0</v>
      </c>
      <c r="G163" s="14">
        <f>dummy_variables!$E$162</f>
        <v>1</v>
      </c>
      <c r="H163" s="14">
        <f>dummy_variables!$F$162</f>
        <v>0</v>
      </c>
      <c r="I163" s="14">
        <f>dummy_variables!$G$162</f>
        <v>1</v>
      </c>
      <c r="J163" s="14">
        <f>dummy_variables!$H$162</f>
        <v>0</v>
      </c>
      <c r="K163" s="14">
        <f>dummy_variables!$I$162</f>
        <v>0</v>
      </c>
    </row>
    <row r="164" spans="1:11" ht="15" customHeight="1">
      <c r="A164" s="14">
        <f>cleaned_data!$M$163</f>
        <v>724216.07</v>
      </c>
      <c r="B164" s="14">
        <f>cleaned_data!$F$163</f>
        <v>7015</v>
      </c>
      <c r="C164" s="14">
        <f>cleaned_data!$E$163</f>
        <v>56918.16</v>
      </c>
      <c r="D164" s="14">
        <f>cleaned_data!$I$163</f>
        <v>74.2</v>
      </c>
      <c r="E164" s="14">
        <f>cleaned_data!$H$163</f>
        <v>18</v>
      </c>
      <c r="F164" s="14">
        <f>dummy_variables!$D$163</f>
        <v>0</v>
      </c>
      <c r="G164" s="14">
        <f>dummy_variables!$E$163</f>
        <v>1</v>
      </c>
      <c r="H164" s="14">
        <f>dummy_variables!$F$163</f>
        <v>0</v>
      </c>
      <c r="I164" s="14">
        <f>dummy_variables!$G$163</f>
        <v>1</v>
      </c>
      <c r="J164" s="14">
        <f>dummy_variables!$H$163</f>
        <v>0</v>
      </c>
      <c r="K164" s="14">
        <f>dummy_variables!$I$163</f>
        <v>0</v>
      </c>
    </row>
    <row r="165" spans="1:11" ht="15" customHeight="1">
      <c r="A165" s="14">
        <f>cleaned_data!$M$164</f>
        <v>620973.03</v>
      </c>
      <c r="B165" s="14">
        <f>cleaned_data!$F$164</f>
        <v>3847</v>
      </c>
      <c r="C165" s="14">
        <f>cleaned_data!$E$164</f>
        <v>23254.57</v>
      </c>
      <c r="D165" s="14">
        <f>cleaned_data!$I$164</f>
        <v>93</v>
      </c>
      <c r="E165" s="14">
        <f>cleaned_data!$H$164</f>
        <v>12</v>
      </c>
      <c r="F165" s="14">
        <f>dummy_variables!$D$164</f>
        <v>0</v>
      </c>
      <c r="G165" s="14">
        <f>dummy_variables!$E$164</f>
        <v>1</v>
      </c>
      <c r="H165" s="14">
        <f>dummy_variables!$F$164</f>
        <v>0</v>
      </c>
      <c r="I165" s="14">
        <f>dummy_variables!$G$164</f>
        <v>1</v>
      </c>
      <c r="J165" s="14">
        <f>dummy_variables!$H$164</f>
        <v>0</v>
      </c>
      <c r="K165" s="14">
        <f>dummy_variables!$I$164</f>
        <v>0</v>
      </c>
    </row>
    <row r="166" spans="1:11" ht="15" customHeight="1">
      <c r="A166" s="14">
        <f>cleaned_data!$M$165</f>
        <v>650480.06000000006</v>
      </c>
      <c r="B166" s="14">
        <f>cleaned_data!$F$165</f>
        <v>7455</v>
      </c>
      <c r="C166" s="14">
        <f>cleaned_data!$E$165</f>
        <v>41443.410000000003</v>
      </c>
      <c r="D166" s="14">
        <f>cleaned_data!$I$165</f>
        <v>90.1</v>
      </c>
      <c r="E166" s="14">
        <f>cleaned_data!$H$165</f>
        <v>16</v>
      </c>
      <c r="F166" s="14">
        <f>dummy_variables!$D$165</f>
        <v>0</v>
      </c>
      <c r="G166" s="14">
        <f>dummy_variables!$E$165</f>
        <v>0</v>
      </c>
      <c r="H166" s="14">
        <f>dummy_variables!$F$165</f>
        <v>0</v>
      </c>
      <c r="I166" s="14">
        <f>dummy_variables!$G$165</f>
        <v>0</v>
      </c>
      <c r="J166" s="14">
        <f>dummy_variables!$H$165</f>
        <v>1</v>
      </c>
      <c r="K166" s="14">
        <f>dummy_variables!$I$165</f>
        <v>0</v>
      </c>
    </row>
    <row r="167" spans="1:11" ht="15" customHeight="1">
      <c r="A167" s="14">
        <f>cleaned_data!$M$166</f>
        <v>778298.88</v>
      </c>
      <c r="B167" s="14">
        <f>cleaned_data!$F$166</f>
        <v>6992</v>
      </c>
      <c r="C167" s="14">
        <f>cleaned_data!$E$166</f>
        <v>48438.85</v>
      </c>
      <c r="D167" s="14">
        <f>cleaned_data!$I$166</f>
        <v>91</v>
      </c>
      <c r="E167" s="14">
        <f>cleaned_data!$H$166</f>
        <v>20</v>
      </c>
      <c r="F167" s="14">
        <f>dummy_variables!$D$166</f>
        <v>0</v>
      </c>
      <c r="G167" s="14">
        <f>dummy_variables!$E$166</f>
        <v>0</v>
      </c>
      <c r="H167" s="14">
        <f>dummy_variables!$F$166</f>
        <v>0</v>
      </c>
      <c r="I167" s="14">
        <f>dummy_variables!$G$166</f>
        <v>0</v>
      </c>
      <c r="J167" s="14">
        <f>dummy_variables!$H$166</f>
        <v>1</v>
      </c>
      <c r="K167" s="14">
        <f>dummy_variables!$I$166</f>
        <v>0</v>
      </c>
    </row>
    <row r="168" spans="1:11" ht="15" customHeight="1">
      <c r="A168" s="14">
        <f>cleaned_data!$M$167</f>
        <v>677096.71</v>
      </c>
      <c r="B168" s="14">
        <f>cleaned_data!$F$167</f>
        <v>8038</v>
      </c>
      <c r="C168" s="14">
        <f>cleaned_data!$E$167</f>
        <v>57143.3</v>
      </c>
      <c r="D168" s="14">
        <f>cleaned_data!$I$167</f>
        <v>72.599999999999994</v>
      </c>
      <c r="E168" s="14">
        <f>cleaned_data!$H$167</f>
        <v>17</v>
      </c>
      <c r="F168" s="14">
        <f>dummy_variables!$D$167</f>
        <v>0</v>
      </c>
      <c r="G168" s="14">
        <f>dummy_variables!$E$167</f>
        <v>0</v>
      </c>
      <c r="H168" s="14">
        <f>dummy_variables!$F$167</f>
        <v>0</v>
      </c>
      <c r="I168" s="14">
        <f>dummy_variables!$G$167</f>
        <v>0</v>
      </c>
      <c r="J168" s="14">
        <f>dummy_variables!$H$167</f>
        <v>1</v>
      </c>
      <c r="K168" s="14">
        <f>dummy_variables!$I$167</f>
        <v>0</v>
      </c>
    </row>
    <row r="169" spans="1:11" ht="15" customHeight="1">
      <c r="A169" s="14">
        <f>cleaned_data!$M$168</f>
        <v>692008.64</v>
      </c>
      <c r="B169" s="14">
        <f>cleaned_data!$F$168</f>
        <v>6055</v>
      </c>
      <c r="C169" s="14">
        <f>cleaned_data!$E$168</f>
        <v>66870.62</v>
      </c>
      <c r="D169" s="14">
        <f>cleaned_data!$I$168</f>
        <v>93.8</v>
      </c>
      <c r="E169" s="14">
        <f>cleaned_data!$H$168</f>
        <v>19</v>
      </c>
      <c r="F169" s="14">
        <f>dummy_variables!$D$168</f>
        <v>0</v>
      </c>
      <c r="G169" s="14">
        <f>dummy_variables!$E$168</f>
        <v>0</v>
      </c>
      <c r="H169" s="14">
        <f>dummy_variables!$F$168</f>
        <v>0</v>
      </c>
      <c r="I169" s="14">
        <f>dummy_variables!$G$168</f>
        <v>0</v>
      </c>
      <c r="J169" s="14">
        <f>dummy_variables!$H$168</f>
        <v>1</v>
      </c>
      <c r="K169" s="14">
        <f>dummy_variables!$I$168</f>
        <v>0</v>
      </c>
    </row>
    <row r="170" spans="1:11" ht="15" customHeight="1">
      <c r="A170" s="14">
        <f>cleaned_data!$M$169</f>
        <v>825797.91</v>
      </c>
      <c r="B170" s="14">
        <f>cleaned_data!$F$169</f>
        <v>9323</v>
      </c>
      <c r="C170" s="14">
        <f>cleaned_data!$E$169</f>
        <v>72150.53</v>
      </c>
      <c r="D170" s="14">
        <f>cleaned_data!$I$169</f>
        <v>82.9</v>
      </c>
      <c r="E170" s="14">
        <f>cleaned_data!$H$169</f>
        <v>22</v>
      </c>
      <c r="F170" s="14">
        <f>dummy_variables!$D$169</f>
        <v>0</v>
      </c>
      <c r="G170" s="14">
        <f>dummy_variables!$E$169</f>
        <v>1</v>
      </c>
      <c r="H170" s="14">
        <f>dummy_variables!$F$169</f>
        <v>0</v>
      </c>
      <c r="I170" s="14">
        <f>dummy_variables!$G$169</f>
        <v>1</v>
      </c>
      <c r="J170" s="14">
        <f>dummy_variables!$H$169</f>
        <v>0</v>
      </c>
      <c r="K170" s="14">
        <f>dummy_variables!$I$169</f>
        <v>0</v>
      </c>
    </row>
    <row r="171" spans="1:11" ht="15" customHeight="1">
      <c r="A171" s="14">
        <f>cleaned_data!$M$170</f>
        <v>706285.52</v>
      </c>
      <c r="B171" s="14">
        <f>cleaned_data!$F$170</f>
        <v>8789</v>
      </c>
      <c r="C171" s="14">
        <f>cleaned_data!$E$170</f>
        <v>35303.300000000003</v>
      </c>
      <c r="D171" s="14">
        <f>cleaned_data!$I$170</f>
        <v>86.1</v>
      </c>
      <c r="E171" s="14">
        <f>cleaned_data!$H$170</f>
        <v>22</v>
      </c>
      <c r="F171" s="14">
        <f>dummy_variables!$D$170</f>
        <v>0</v>
      </c>
      <c r="G171" s="14">
        <f>dummy_variables!$E$170</f>
        <v>1</v>
      </c>
      <c r="H171" s="14">
        <f>dummy_variables!$F$170</f>
        <v>0</v>
      </c>
      <c r="I171" s="14">
        <f>dummy_variables!$G$170</f>
        <v>1</v>
      </c>
      <c r="J171" s="14">
        <f>dummy_variables!$H$170</f>
        <v>0</v>
      </c>
      <c r="K171" s="14">
        <f>dummy_variables!$I$170</f>
        <v>0</v>
      </c>
    </row>
    <row r="172" spans="1:11" ht="15" customHeight="1">
      <c r="A172" s="14">
        <f>cleaned_data!$M$171</f>
        <v>665534.69999999995</v>
      </c>
      <c r="B172" s="14">
        <f>cleaned_data!$F$171</f>
        <v>6939</v>
      </c>
      <c r="C172" s="14">
        <f>cleaned_data!$E$171</f>
        <v>30301.86</v>
      </c>
      <c r="D172" s="14">
        <f>cleaned_data!$I$171</f>
        <v>90.3</v>
      </c>
      <c r="E172" s="14">
        <f>cleaned_data!$H$171</f>
        <v>16</v>
      </c>
      <c r="F172" s="14">
        <f>dummy_variables!$D$171</f>
        <v>0</v>
      </c>
      <c r="G172" s="14">
        <f>dummy_variables!$E$171</f>
        <v>1</v>
      </c>
      <c r="H172" s="14">
        <f>dummy_variables!$F$171</f>
        <v>0</v>
      </c>
      <c r="I172" s="14">
        <f>dummy_variables!$G$171</f>
        <v>1</v>
      </c>
      <c r="J172" s="14">
        <f>dummy_variables!$H$171</f>
        <v>0</v>
      </c>
      <c r="K172" s="14">
        <f>dummy_variables!$I$171</f>
        <v>0</v>
      </c>
    </row>
    <row r="173" spans="1:11" ht="15" customHeight="1">
      <c r="A173" s="14">
        <f>cleaned_data!$M$172</f>
        <v>820729.29</v>
      </c>
      <c r="B173" s="14">
        <f>cleaned_data!$F$172</f>
        <v>9440</v>
      </c>
      <c r="C173" s="14">
        <f>cleaned_data!$E$172</f>
        <v>78432.14</v>
      </c>
      <c r="D173" s="14">
        <f>cleaned_data!$I$172</f>
        <v>89.2</v>
      </c>
      <c r="E173" s="14">
        <f>cleaned_data!$H$172</f>
        <v>23</v>
      </c>
      <c r="F173" s="14">
        <f>dummy_variables!$D$172</f>
        <v>0</v>
      </c>
      <c r="G173" s="14">
        <f>dummy_variables!$E$172</f>
        <v>1</v>
      </c>
      <c r="H173" s="14">
        <f>dummy_variables!$F$172</f>
        <v>0</v>
      </c>
      <c r="I173" s="14">
        <f>dummy_variables!$G$172</f>
        <v>1</v>
      </c>
      <c r="J173" s="14">
        <f>dummy_variables!$H$172</f>
        <v>0</v>
      </c>
      <c r="K173" s="14">
        <f>dummy_variables!$I$172</f>
        <v>0</v>
      </c>
    </row>
    <row r="174" spans="1:11" ht="15" customHeight="1">
      <c r="A174" s="14">
        <f>cleaned_data!$M$173</f>
        <v>739831.73</v>
      </c>
      <c r="B174" s="14">
        <f>cleaned_data!$F$173</f>
        <v>9374</v>
      </c>
      <c r="C174" s="14">
        <f>cleaned_data!$E$173</f>
        <v>62059.18</v>
      </c>
      <c r="D174" s="14">
        <f>cleaned_data!$I$173</f>
        <v>87.1</v>
      </c>
      <c r="E174" s="14">
        <f>cleaned_data!$H$173</f>
        <v>25</v>
      </c>
      <c r="F174" s="14">
        <f>dummy_variables!$D$173</f>
        <v>0</v>
      </c>
      <c r="G174" s="14">
        <f>dummy_variables!$E$173</f>
        <v>0</v>
      </c>
      <c r="H174" s="14">
        <f>dummy_variables!$F$173</f>
        <v>1</v>
      </c>
      <c r="I174" s="14">
        <f>dummy_variables!$G$173</f>
        <v>0</v>
      </c>
      <c r="J174" s="14">
        <f>dummy_variables!$H$173</f>
        <v>0</v>
      </c>
      <c r="K174" s="14">
        <f>dummy_variables!$I$173</f>
        <v>0</v>
      </c>
    </row>
    <row r="175" spans="1:11" ht="15" customHeight="1">
      <c r="A175" s="14">
        <f>cleaned_data!$M$174</f>
        <v>593637.14</v>
      </c>
      <c r="B175" s="14">
        <f>cleaned_data!$F$174</f>
        <v>7576</v>
      </c>
      <c r="C175" s="14">
        <f>cleaned_data!$E$174</f>
        <v>32834.480000000003</v>
      </c>
      <c r="D175" s="14">
        <f>cleaned_data!$I$174</f>
        <v>84.1</v>
      </c>
      <c r="E175" s="14">
        <f>cleaned_data!$H$174</f>
        <v>15</v>
      </c>
      <c r="F175" s="14">
        <f>dummy_variables!$D$174</f>
        <v>0</v>
      </c>
      <c r="G175" s="14">
        <f>dummy_variables!$E$174</f>
        <v>0</v>
      </c>
      <c r="H175" s="14">
        <f>dummy_variables!$F$174</f>
        <v>1</v>
      </c>
      <c r="I175" s="14">
        <f>dummy_variables!$G$174</f>
        <v>0</v>
      </c>
      <c r="J175" s="14">
        <f>dummy_variables!$H$174</f>
        <v>0</v>
      </c>
      <c r="K175" s="14">
        <f>dummy_variables!$I$174</f>
        <v>0</v>
      </c>
    </row>
    <row r="176" spans="1:11" ht="15" customHeight="1">
      <c r="A176" s="14">
        <f>cleaned_data!$M$175</f>
        <v>769702.76</v>
      </c>
      <c r="B176" s="14">
        <f>cleaned_data!$F$175</f>
        <v>8949</v>
      </c>
      <c r="C176" s="14">
        <f>cleaned_data!$E$175</f>
        <v>50825.08</v>
      </c>
      <c r="D176" s="14">
        <f>cleaned_data!$I$175</f>
        <v>84.7</v>
      </c>
      <c r="E176" s="14">
        <f>cleaned_data!$H$175</f>
        <v>21</v>
      </c>
      <c r="F176" s="14">
        <f>dummy_variables!$D$175</f>
        <v>0</v>
      </c>
      <c r="G176" s="14">
        <f>dummy_variables!$E$175</f>
        <v>0</v>
      </c>
      <c r="H176" s="14">
        <f>dummy_variables!$F$175</f>
        <v>1</v>
      </c>
      <c r="I176" s="14">
        <f>dummy_variables!$G$175</f>
        <v>0</v>
      </c>
      <c r="J176" s="14">
        <f>dummy_variables!$H$175</f>
        <v>0</v>
      </c>
      <c r="K176" s="14">
        <f>dummy_variables!$I$175</f>
        <v>0</v>
      </c>
    </row>
    <row r="177" spans="1:11" ht="15" customHeight="1">
      <c r="A177" s="14">
        <f>cleaned_data!$M$176</f>
        <v>679731.57</v>
      </c>
      <c r="B177" s="14">
        <f>cleaned_data!$F$176</f>
        <v>7671</v>
      </c>
      <c r="C177" s="14">
        <f>cleaned_data!$E$176</f>
        <v>36606.51</v>
      </c>
      <c r="D177" s="14">
        <f>cleaned_data!$I$176</f>
        <v>89.8</v>
      </c>
      <c r="E177" s="14">
        <f>cleaned_data!$H$176</f>
        <v>18</v>
      </c>
      <c r="F177" s="14">
        <f>dummy_variables!$D$176</f>
        <v>0</v>
      </c>
      <c r="G177" s="14">
        <f>dummy_variables!$E$176</f>
        <v>0</v>
      </c>
      <c r="H177" s="14">
        <f>dummy_variables!$F$176</f>
        <v>1</v>
      </c>
      <c r="I177" s="14">
        <f>dummy_variables!$G$176</f>
        <v>0</v>
      </c>
      <c r="J177" s="14">
        <f>dummy_variables!$H$176</f>
        <v>0</v>
      </c>
      <c r="K177" s="14">
        <f>dummy_variables!$I$176</f>
        <v>0</v>
      </c>
    </row>
    <row r="178" spans="1:11" ht="15" customHeight="1">
      <c r="A178" s="14">
        <f>cleaned_data!$M$177</f>
        <v>780344.18</v>
      </c>
      <c r="B178" s="14">
        <f>cleaned_data!$F$177</f>
        <v>8741</v>
      </c>
      <c r="C178" s="14">
        <f>cleaned_data!$E$177</f>
        <v>65237.79</v>
      </c>
      <c r="D178" s="14">
        <f>cleaned_data!$I$177</f>
        <v>94.4</v>
      </c>
      <c r="E178" s="14">
        <f>cleaned_data!$H$177</f>
        <v>20</v>
      </c>
      <c r="F178" s="14">
        <f>dummy_variables!$D$177</f>
        <v>0</v>
      </c>
      <c r="G178" s="14">
        <f>dummy_variables!$E$177</f>
        <v>0</v>
      </c>
      <c r="H178" s="14">
        <f>dummy_variables!$F$177</f>
        <v>1</v>
      </c>
      <c r="I178" s="14">
        <f>dummy_variables!$G$177</f>
        <v>0</v>
      </c>
      <c r="J178" s="14">
        <f>dummy_variables!$H$177</f>
        <v>0</v>
      </c>
      <c r="K178" s="14">
        <f>dummy_variables!$I$177</f>
        <v>0</v>
      </c>
    </row>
    <row r="179" spans="1:11" ht="15" customHeight="1">
      <c r="A179" s="14">
        <f>cleaned_data!$M$178</f>
        <v>721364.11</v>
      </c>
      <c r="B179" s="14">
        <f>cleaned_data!$F$178</f>
        <v>9480</v>
      </c>
      <c r="C179" s="14">
        <f>cleaned_data!$E$178</f>
        <v>43645.98</v>
      </c>
      <c r="D179" s="14">
        <f>cleaned_data!$I$178</f>
        <v>89</v>
      </c>
      <c r="E179" s="14">
        <f>cleaned_data!$H$178</f>
        <v>22</v>
      </c>
      <c r="F179" s="14">
        <f>dummy_variables!$D$178</f>
        <v>0</v>
      </c>
      <c r="G179" s="14">
        <f>dummy_variables!$E$178</f>
        <v>0</v>
      </c>
      <c r="H179" s="14">
        <f>dummy_variables!$F$178</f>
        <v>1</v>
      </c>
      <c r="I179" s="14">
        <f>dummy_variables!$G$178</f>
        <v>0</v>
      </c>
      <c r="J179" s="14">
        <f>dummy_variables!$H$178</f>
        <v>0</v>
      </c>
      <c r="K179" s="14">
        <f>dummy_variables!$I$178</f>
        <v>0</v>
      </c>
    </row>
    <row r="180" spans="1:11" ht="15" customHeight="1">
      <c r="A180" s="14">
        <f>cleaned_data!$M$179</f>
        <v>758138.29</v>
      </c>
      <c r="B180" s="14">
        <f>cleaned_data!$F$179</f>
        <v>9826</v>
      </c>
      <c r="C180" s="14">
        <f>cleaned_data!$E$179</f>
        <v>68040.149999999994</v>
      </c>
      <c r="D180" s="14">
        <f>cleaned_data!$I$179</f>
        <v>83.9</v>
      </c>
      <c r="E180" s="14">
        <f>cleaned_data!$H$179</f>
        <v>20</v>
      </c>
      <c r="F180" s="14">
        <f>dummy_variables!$D$179</f>
        <v>0</v>
      </c>
      <c r="G180" s="14">
        <f>dummy_variables!$E$179</f>
        <v>0</v>
      </c>
      <c r="H180" s="14">
        <f>dummy_variables!$F$179</f>
        <v>1</v>
      </c>
      <c r="I180" s="14">
        <f>dummy_variables!$G$179</f>
        <v>0</v>
      </c>
      <c r="J180" s="14">
        <f>dummy_variables!$H$179</f>
        <v>0</v>
      </c>
      <c r="K180" s="14">
        <f>dummy_variables!$I$179</f>
        <v>0</v>
      </c>
    </row>
    <row r="181" spans="1:11" ht="15" customHeight="1">
      <c r="A181" s="14">
        <f>cleaned_data!$M$180</f>
        <v>804264</v>
      </c>
      <c r="B181" s="14">
        <f>cleaned_data!$F$180</f>
        <v>10402</v>
      </c>
      <c r="C181" s="14">
        <f>cleaned_data!$E$180</f>
        <v>63043.94</v>
      </c>
      <c r="D181" s="14">
        <f>cleaned_data!$I$180</f>
        <v>93.9</v>
      </c>
      <c r="E181" s="14">
        <f>cleaned_data!$H$180</f>
        <v>23</v>
      </c>
      <c r="F181" s="14">
        <f>dummy_variables!$D$180</f>
        <v>0</v>
      </c>
      <c r="G181" s="14">
        <f>dummy_variables!$E$180</f>
        <v>0</v>
      </c>
      <c r="H181" s="14">
        <f>dummy_variables!$F$180</f>
        <v>1</v>
      </c>
      <c r="I181" s="14">
        <f>dummy_variables!$G$180</f>
        <v>0</v>
      </c>
      <c r="J181" s="14">
        <f>dummy_variables!$H$180</f>
        <v>0</v>
      </c>
      <c r="K181" s="14">
        <f>dummy_variables!$I$180</f>
        <v>0</v>
      </c>
    </row>
    <row r="182" spans="1:11" ht="15" customHeight="1">
      <c r="A182" s="14">
        <f>cleaned_data!$M$181</f>
        <v>887537.75</v>
      </c>
      <c r="B182" s="14">
        <f>cleaned_data!$F$181</f>
        <v>12361</v>
      </c>
      <c r="C182" s="14">
        <f>cleaned_data!$E$181</f>
        <v>67494.09</v>
      </c>
      <c r="D182" s="14">
        <f>cleaned_data!$I$181</f>
        <v>76.599999999999994</v>
      </c>
      <c r="E182" s="14">
        <f>cleaned_data!$H$181</f>
        <v>24</v>
      </c>
      <c r="F182" s="14">
        <f>dummy_variables!$D$181</f>
        <v>1</v>
      </c>
      <c r="G182" s="14">
        <f>dummy_variables!$E$181</f>
        <v>0</v>
      </c>
      <c r="H182" s="14">
        <f>dummy_variables!$F$181</f>
        <v>0</v>
      </c>
      <c r="I182" s="14">
        <f>dummy_variables!$G$181</f>
        <v>0</v>
      </c>
      <c r="J182" s="14">
        <f>dummy_variables!$H$181</f>
        <v>0</v>
      </c>
      <c r="K182" s="14">
        <f>dummy_variables!$I$181</f>
        <v>1</v>
      </c>
    </row>
    <row r="183" spans="1:11" ht="15" customHeight="1">
      <c r="A183" s="14">
        <f>cleaned_data!$M$182</f>
        <v>783582</v>
      </c>
      <c r="B183" s="14">
        <f>cleaned_data!$F$182</f>
        <v>7925</v>
      </c>
      <c r="C183" s="14">
        <f>cleaned_data!$E$182</f>
        <v>29389.32</v>
      </c>
      <c r="D183" s="14">
        <f>cleaned_data!$I$182</f>
        <v>90.9</v>
      </c>
      <c r="E183" s="14">
        <f>cleaned_data!$H$182</f>
        <v>21</v>
      </c>
      <c r="F183" s="14">
        <f>dummy_variables!$D$182</f>
        <v>1</v>
      </c>
      <c r="G183" s="14">
        <f>dummy_variables!$E$182</f>
        <v>0</v>
      </c>
      <c r="H183" s="14">
        <f>dummy_variables!$F$182</f>
        <v>0</v>
      </c>
      <c r="I183" s="14">
        <f>dummy_variables!$G$182</f>
        <v>0</v>
      </c>
      <c r="J183" s="14">
        <f>dummy_variables!$H$182</f>
        <v>0</v>
      </c>
      <c r="K183" s="14">
        <f>dummy_variables!$I$182</f>
        <v>1</v>
      </c>
    </row>
    <row r="184" spans="1:11" ht="15" customHeight="1">
      <c r="A184" s="14">
        <f>cleaned_data!$M$183</f>
        <v>781955.52</v>
      </c>
      <c r="B184" s="14">
        <f>cleaned_data!$F$183</f>
        <v>8870</v>
      </c>
      <c r="C184" s="14">
        <f>cleaned_data!$E$183</f>
        <v>40535.089999999997</v>
      </c>
      <c r="D184" s="14">
        <f>cleaned_data!$I$183</f>
        <v>86.6</v>
      </c>
      <c r="E184" s="14">
        <f>cleaned_data!$H$183</f>
        <v>21</v>
      </c>
      <c r="F184" s="14">
        <f>dummy_variables!$D$183</f>
        <v>1</v>
      </c>
      <c r="G184" s="14">
        <f>dummy_variables!$E$183</f>
        <v>0</v>
      </c>
      <c r="H184" s="14">
        <f>dummy_variables!$F$183</f>
        <v>0</v>
      </c>
      <c r="I184" s="14">
        <f>dummy_variables!$G$183</f>
        <v>0</v>
      </c>
      <c r="J184" s="14">
        <f>dummy_variables!$H$183</f>
        <v>0</v>
      </c>
      <c r="K184" s="14">
        <f>dummy_variables!$I$183</f>
        <v>1</v>
      </c>
    </row>
    <row r="185" spans="1:11" ht="15" customHeight="1">
      <c r="A185" s="14">
        <f>cleaned_data!$M$184</f>
        <v>898031.04</v>
      </c>
      <c r="B185" s="14">
        <f>cleaned_data!$F$184</f>
        <v>9999</v>
      </c>
      <c r="C185" s="14">
        <f>cleaned_data!$E$184</f>
        <v>74881.56</v>
      </c>
      <c r="D185" s="14">
        <f>cleaned_data!$I$184</f>
        <v>89.6</v>
      </c>
      <c r="E185" s="14">
        <f>cleaned_data!$H$184</f>
        <v>20</v>
      </c>
      <c r="F185" s="14">
        <f>dummy_variables!$D$184</f>
        <v>1</v>
      </c>
      <c r="G185" s="14">
        <f>dummy_variables!$E$184</f>
        <v>0</v>
      </c>
      <c r="H185" s="14">
        <f>dummy_variables!$F$184</f>
        <v>0</v>
      </c>
      <c r="I185" s="14">
        <f>dummy_variables!$G$184</f>
        <v>0</v>
      </c>
      <c r="J185" s="14">
        <f>dummy_variables!$H$184</f>
        <v>0</v>
      </c>
      <c r="K185" s="14">
        <f>dummy_variables!$I$184</f>
        <v>1</v>
      </c>
    </row>
    <row r="186" spans="1:11" ht="15" customHeight="1">
      <c r="A186" s="14">
        <f>cleaned_data!$M$185</f>
        <v>855341.28</v>
      </c>
      <c r="B186" s="14">
        <f>cleaned_data!$F$185</f>
        <v>11154</v>
      </c>
      <c r="C186" s="14">
        <f>cleaned_data!$E$185</f>
        <v>68491.11</v>
      </c>
      <c r="D186" s="14">
        <f>cleaned_data!$I$185</f>
        <v>89.4</v>
      </c>
      <c r="E186" s="14">
        <f>cleaned_data!$H$185</f>
        <v>24</v>
      </c>
      <c r="F186" s="14">
        <f>dummy_variables!$D$185</f>
        <v>0</v>
      </c>
      <c r="G186" s="14">
        <f>dummy_variables!$E$185</f>
        <v>0</v>
      </c>
      <c r="H186" s="14">
        <f>dummy_variables!$F$185</f>
        <v>1</v>
      </c>
      <c r="I186" s="14">
        <f>dummy_variables!$G$185</f>
        <v>0</v>
      </c>
      <c r="J186" s="14">
        <f>dummy_variables!$H$185</f>
        <v>0</v>
      </c>
      <c r="K186" s="14">
        <f>dummy_variables!$I$185</f>
        <v>1</v>
      </c>
    </row>
    <row r="187" spans="1:11" ht="15" customHeight="1">
      <c r="A187" s="14">
        <f>cleaned_data!$M$186</f>
        <v>751393.88</v>
      </c>
      <c r="B187" s="14">
        <f>cleaned_data!$F$186</f>
        <v>9287</v>
      </c>
      <c r="C187" s="14">
        <f>cleaned_data!$E$186</f>
        <v>45209.25</v>
      </c>
      <c r="D187" s="14">
        <f>cleaned_data!$I$186</f>
        <v>86.4</v>
      </c>
      <c r="E187" s="14">
        <f>cleaned_data!$H$186</f>
        <v>22</v>
      </c>
      <c r="F187" s="14">
        <f>dummy_variables!$D$186</f>
        <v>0</v>
      </c>
      <c r="G187" s="14">
        <f>dummy_variables!$E$186</f>
        <v>0</v>
      </c>
      <c r="H187" s="14">
        <f>dummy_variables!$F$186</f>
        <v>1</v>
      </c>
      <c r="I187" s="14">
        <f>dummy_variables!$G$186</f>
        <v>0</v>
      </c>
      <c r="J187" s="14">
        <f>dummy_variables!$H$186</f>
        <v>0</v>
      </c>
      <c r="K187" s="14">
        <f>dummy_variables!$I$186</f>
        <v>1</v>
      </c>
    </row>
    <row r="188" spans="1:11" ht="15" customHeight="1">
      <c r="A188" s="14">
        <f>cleaned_data!$M$187</f>
        <v>761077.08</v>
      </c>
      <c r="B188" s="14">
        <f>cleaned_data!$F$187</f>
        <v>9812</v>
      </c>
      <c r="C188" s="14">
        <f>cleaned_data!$E$187</f>
        <v>63010.23</v>
      </c>
      <c r="D188" s="14">
        <f>cleaned_data!$I$187</f>
        <v>76.8</v>
      </c>
      <c r="E188" s="14">
        <f>cleaned_data!$H$187</f>
        <v>24</v>
      </c>
      <c r="F188" s="14">
        <f>dummy_variables!$D$187</f>
        <v>0</v>
      </c>
      <c r="G188" s="14">
        <f>dummy_variables!$E$187</f>
        <v>0</v>
      </c>
      <c r="H188" s="14">
        <f>dummy_variables!$F$187</f>
        <v>1</v>
      </c>
      <c r="I188" s="14">
        <f>dummy_variables!$G$187</f>
        <v>0</v>
      </c>
      <c r="J188" s="14">
        <f>dummy_variables!$H$187</f>
        <v>0</v>
      </c>
      <c r="K188" s="14">
        <f>dummy_variables!$I$187</f>
        <v>1</v>
      </c>
    </row>
    <row r="189" spans="1:11" ht="15" customHeight="1">
      <c r="A189" s="14">
        <f>cleaned_data!$M$188</f>
        <v>819660.59</v>
      </c>
      <c r="B189" s="14">
        <f>cleaned_data!$F$188</f>
        <v>10741</v>
      </c>
      <c r="C189" s="14">
        <f>cleaned_data!$E$188</f>
        <v>57948.88</v>
      </c>
      <c r="D189" s="14">
        <f>cleaned_data!$I$188</f>
        <v>90.1</v>
      </c>
      <c r="E189" s="14">
        <f>cleaned_data!$H$188</f>
        <v>25</v>
      </c>
      <c r="F189" s="14">
        <f>dummy_variables!$D$188</f>
        <v>0</v>
      </c>
      <c r="G189" s="14">
        <f>dummy_variables!$E$188</f>
        <v>0</v>
      </c>
      <c r="H189" s="14">
        <f>dummy_variables!$F$188</f>
        <v>1</v>
      </c>
      <c r="I189" s="14">
        <f>dummy_variables!$G$188</f>
        <v>0</v>
      </c>
      <c r="J189" s="14">
        <f>dummy_variables!$H$188</f>
        <v>0</v>
      </c>
      <c r="K189" s="14">
        <f>dummy_variables!$I$188</f>
        <v>1</v>
      </c>
    </row>
    <row r="190" spans="1:11" ht="15" customHeight="1">
      <c r="A190" s="14">
        <f>cleaned_data!$M$189</f>
        <v>681855.56</v>
      </c>
      <c r="B190" s="14">
        <f>cleaned_data!$F$189</f>
        <v>6084</v>
      </c>
      <c r="C190" s="14">
        <f>cleaned_data!$E$189</f>
        <v>71941.62</v>
      </c>
      <c r="D190" s="14">
        <f>cleaned_data!$I$189</f>
        <v>93.7</v>
      </c>
      <c r="E190" s="14">
        <f>cleaned_data!$H$189</f>
        <v>13</v>
      </c>
      <c r="F190" s="14">
        <f>dummy_variables!$D$189</f>
        <v>0</v>
      </c>
      <c r="G190" s="14">
        <f>dummy_variables!$E$189</f>
        <v>0</v>
      </c>
      <c r="H190" s="14">
        <f>dummy_variables!$F$189</f>
        <v>0</v>
      </c>
      <c r="I190" s="14">
        <f>dummy_variables!$G$189</f>
        <v>1</v>
      </c>
      <c r="J190" s="14">
        <f>dummy_variables!$H$189</f>
        <v>0</v>
      </c>
      <c r="K190" s="14">
        <f>dummy_variables!$I$189</f>
        <v>0</v>
      </c>
    </row>
    <row r="191" spans="1:11" ht="15" customHeight="1">
      <c r="A191" s="14">
        <f>cleaned_data!$M$190</f>
        <v>678311.17</v>
      </c>
      <c r="B191" s="14">
        <f>cleaned_data!$F$190</f>
        <v>5252</v>
      </c>
      <c r="C191" s="14">
        <f>cleaned_data!$E$190</f>
        <v>57147.88</v>
      </c>
      <c r="D191" s="14">
        <f>cleaned_data!$I$190</f>
        <v>95.5</v>
      </c>
      <c r="E191" s="14">
        <f>cleaned_data!$H$190</f>
        <v>15</v>
      </c>
      <c r="F191" s="14">
        <f>dummy_variables!$D$190</f>
        <v>0</v>
      </c>
      <c r="G191" s="14">
        <f>dummy_variables!$E$190</f>
        <v>0</v>
      </c>
      <c r="H191" s="14">
        <f>dummy_variables!$F$190</f>
        <v>0</v>
      </c>
      <c r="I191" s="14">
        <f>dummy_variables!$G$190</f>
        <v>1</v>
      </c>
      <c r="J191" s="14">
        <f>dummy_variables!$H$190</f>
        <v>0</v>
      </c>
      <c r="K191" s="14">
        <f>dummy_variables!$I$190</f>
        <v>0</v>
      </c>
    </row>
    <row r="192" spans="1:11" ht="15" customHeight="1">
      <c r="A192" s="14">
        <f>cleaned_data!$M$191</f>
        <v>765906.95</v>
      </c>
      <c r="B192" s="14">
        <f>cleaned_data!$F$191</f>
        <v>6516</v>
      </c>
      <c r="C192" s="14">
        <f>cleaned_data!$E$191</f>
        <v>48031.74</v>
      </c>
      <c r="D192" s="14">
        <f>cleaned_data!$I$191</f>
        <v>99</v>
      </c>
      <c r="E192" s="14">
        <f>cleaned_data!$H$191</f>
        <v>14</v>
      </c>
      <c r="F192" s="14">
        <f>dummy_variables!$D$191</f>
        <v>0</v>
      </c>
      <c r="G192" s="14">
        <f>dummy_variables!$E$191</f>
        <v>0</v>
      </c>
      <c r="H192" s="14">
        <f>dummy_variables!$F$191</f>
        <v>0</v>
      </c>
      <c r="I192" s="14">
        <f>dummy_variables!$G$191</f>
        <v>1</v>
      </c>
      <c r="J192" s="14">
        <f>dummy_variables!$H$191</f>
        <v>0</v>
      </c>
      <c r="K192" s="14">
        <f>dummy_variables!$I$191</f>
        <v>0</v>
      </c>
    </row>
    <row r="193" spans="1:11" ht="15" customHeight="1">
      <c r="A193" s="14">
        <f>cleaned_data!$M$192</f>
        <v>712546.38</v>
      </c>
      <c r="B193" s="14">
        <f>cleaned_data!$F$192</f>
        <v>7932</v>
      </c>
      <c r="C193" s="14">
        <f>cleaned_data!$E$192</f>
        <v>72784.800000000003</v>
      </c>
      <c r="D193" s="14">
        <f>cleaned_data!$I$192</f>
        <v>74.900000000000006</v>
      </c>
      <c r="E193" s="14">
        <f>cleaned_data!$H$192</f>
        <v>20</v>
      </c>
      <c r="F193" s="14">
        <f>dummy_variables!$D$192</f>
        <v>0</v>
      </c>
      <c r="G193" s="14">
        <f>dummy_variables!$E$192</f>
        <v>0</v>
      </c>
      <c r="H193" s="14">
        <f>dummy_variables!$F$192</f>
        <v>0</v>
      </c>
      <c r="I193" s="14">
        <f>dummy_variables!$G$192</f>
        <v>1</v>
      </c>
      <c r="J193" s="14">
        <f>dummy_variables!$H$192</f>
        <v>0</v>
      </c>
      <c r="K193" s="14">
        <f>dummy_variables!$I$192</f>
        <v>0</v>
      </c>
    </row>
    <row r="194" spans="1:11" ht="15" customHeight="1">
      <c r="A194" s="14">
        <f>cleaned_data!$M$193</f>
        <v>625993.82999999996</v>
      </c>
      <c r="B194" s="14">
        <f>cleaned_data!$F$193</f>
        <v>3506</v>
      </c>
      <c r="C194" s="14">
        <f>cleaned_data!$E$193</f>
        <v>71641.899999999994</v>
      </c>
      <c r="D194" s="14">
        <f>cleaned_data!$I$193</f>
        <v>86.4</v>
      </c>
      <c r="E194" s="14">
        <f>cleaned_data!$H$193</f>
        <v>11</v>
      </c>
      <c r="F194" s="14">
        <f>dummy_variables!$D$193</f>
        <v>0</v>
      </c>
      <c r="G194" s="14">
        <f>dummy_variables!$E$193</f>
        <v>0</v>
      </c>
      <c r="H194" s="14">
        <f>dummy_variables!$F$193</f>
        <v>0</v>
      </c>
      <c r="I194" s="14">
        <f>dummy_variables!$G$193</f>
        <v>0</v>
      </c>
      <c r="J194" s="14">
        <f>dummy_variables!$H$193</f>
        <v>0</v>
      </c>
      <c r="K194" s="14">
        <f>dummy_variables!$I$193</f>
        <v>0</v>
      </c>
    </row>
    <row r="195" spans="1:11" ht="15" customHeight="1">
      <c r="A195" s="14">
        <f>cleaned_data!$M$194</f>
        <v>550962.93000000005</v>
      </c>
      <c r="B195" s="14">
        <f>cleaned_data!$F$194</f>
        <v>2312</v>
      </c>
      <c r="C195" s="14">
        <f>cleaned_data!$E$194</f>
        <v>55788.61</v>
      </c>
      <c r="D195" s="14">
        <f>cleaned_data!$I$194</f>
        <v>91.3</v>
      </c>
      <c r="E195" s="14">
        <f>cleaned_data!$H$194</f>
        <v>10</v>
      </c>
      <c r="F195" s="14">
        <f>dummy_variables!$D$194</f>
        <v>0</v>
      </c>
      <c r="G195" s="14">
        <f>dummy_variables!$E$194</f>
        <v>0</v>
      </c>
      <c r="H195" s="14">
        <f>dummy_variables!$F$194</f>
        <v>0</v>
      </c>
      <c r="I195" s="14">
        <f>dummy_variables!$G$194</f>
        <v>0</v>
      </c>
      <c r="J195" s="14">
        <f>dummy_variables!$H$194</f>
        <v>0</v>
      </c>
      <c r="K195" s="14">
        <f>dummy_variables!$I$194</f>
        <v>0</v>
      </c>
    </row>
    <row r="196" spans="1:11" ht="15" customHeight="1">
      <c r="A196" s="14">
        <f>cleaned_data!$M$195</f>
        <v>443275.59</v>
      </c>
      <c r="B196" s="14">
        <f>cleaned_data!$F$195</f>
        <v>1268</v>
      </c>
      <c r="C196" s="14">
        <f>cleaned_data!$E$195</f>
        <v>37705.879999999997</v>
      </c>
      <c r="D196" s="14">
        <f>cleaned_data!$I$195</f>
        <v>84.1</v>
      </c>
      <c r="E196" s="14">
        <f>cleaned_data!$H$195</f>
        <v>9</v>
      </c>
      <c r="F196" s="14">
        <f>dummy_variables!$D$195</f>
        <v>0</v>
      </c>
      <c r="G196" s="14">
        <f>dummy_variables!$E$195</f>
        <v>0</v>
      </c>
      <c r="H196" s="14">
        <f>dummy_variables!$F$195</f>
        <v>0</v>
      </c>
      <c r="I196" s="14">
        <f>dummy_variables!$G$195</f>
        <v>0</v>
      </c>
      <c r="J196" s="14">
        <f>dummy_variables!$H$195</f>
        <v>0</v>
      </c>
      <c r="K196" s="14">
        <f>dummy_variables!$I$195</f>
        <v>0</v>
      </c>
    </row>
    <row r="197" spans="1:11" ht="15" customHeight="1">
      <c r="A197" s="14">
        <f>cleaned_data!$M$196</f>
        <v>554012.06999999995</v>
      </c>
      <c r="B197" s="14">
        <f>cleaned_data!$F$196</f>
        <v>4423</v>
      </c>
      <c r="C197" s="14">
        <f>cleaned_data!$E$196</f>
        <v>54966.18</v>
      </c>
      <c r="D197" s="14">
        <f>cleaned_data!$I$196</f>
        <v>88.7</v>
      </c>
      <c r="E197" s="14">
        <f>cleaned_data!$H$196</f>
        <v>13</v>
      </c>
      <c r="F197" s="14">
        <f>dummy_variables!$D$196</f>
        <v>0</v>
      </c>
      <c r="G197" s="14">
        <f>dummy_variables!$E$196</f>
        <v>0</v>
      </c>
      <c r="H197" s="14">
        <f>dummy_variables!$F$196</f>
        <v>0</v>
      </c>
      <c r="I197" s="14">
        <f>dummy_variables!$G$196</f>
        <v>0</v>
      </c>
      <c r="J197" s="14">
        <f>dummy_variables!$H$196</f>
        <v>0</v>
      </c>
      <c r="K197" s="14">
        <f>dummy_variables!$I$196</f>
        <v>0</v>
      </c>
    </row>
    <row r="198" spans="1:11" ht="15" customHeight="1">
      <c r="A198" s="14">
        <f>cleaned_data!$M$197</f>
        <v>643428.85</v>
      </c>
      <c r="B198" s="14">
        <f>cleaned_data!$F$197</f>
        <v>6177</v>
      </c>
      <c r="C198" s="14">
        <f>cleaned_data!$E$197</f>
        <v>81796.740000000005</v>
      </c>
      <c r="D198" s="14">
        <f>cleaned_data!$I$197</f>
        <v>87.9</v>
      </c>
      <c r="E198" s="14">
        <f>cleaned_data!$H$197</f>
        <v>14</v>
      </c>
      <c r="F198" s="14">
        <f>dummy_variables!$D$197</f>
        <v>0</v>
      </c>
      <c r="G198" s="14">
        <f>dummy_variables!$E$197</f>
        <v>0</v>
      </c>
      <c r="H198" s="14">
        <f>dummy_variables!$F$197</f>
        <v>1</v>
      </c>
      <c r="I198" s="14">
        <f>dummy_variables!$G$197</f>
        <v>0</v>
      </c>
      <c r="J198" s="14">
        <f>dummy_variables!$H$197</f>
        <v>0</v>
      </c>
      <c r="K198" s="14">
        <f>dummy_variables!$I$197</f>
        <v>1</v>
      </c>
    </row>
    <row r="199" spans="1:11" ht="15" customHeight="1">
      <c r="A199" s="14">
        <f>cleaned_data!$M$198</f>
        <v>611924.27</v>
      </c>
      <c r="B199" s="14">
        <f>cleaned_data!$F$198</f>
        <v>5150</v>
      </c>
      <c r="C199" s="14">
        <f>cleaned_data!$E$198</f>
        <v>51133.43</v>
      </c>
      <c r="D199" s="14">
        <f>cleaned_data!$I$198</f>
        <v>88.5</v>
      </c>
      <c r="E199" s="14">
        <f>cleaned_data!$H$198</f>
        <v>12</v>
      </c>
      <c r="F199" s="14">
        <f>dummy_variables!$D$198</f>
        <v>0</v>
      </c>
      <c r="G199" s="14">
        <f>dummy_variables!$E$198</f>
        <v>0</v>
      </c>
      <c r="H199" s="14">
        <f>dummy_variables!$F$198</f>
        <v>1</v>
      </c>
      <c r="I199" s="14">
        <f>dummy_variables!$G$198</f>
        <v>0</v>
      </c>
      <c r="J199" s="14">
        <f>dummy_variables!$H$198</f>
        <v>0</v>
      </c>
      <c r="K199" s="14">
        <f>dummy_variables!$I$198</f>
        <v>1</v>
      </c>
    </row>
    <row r="200" spans="1:11" ht="15" customHeight="1">
      <c r="A200" s="14">
        <f>cleaned_data!$M$199</f>
        <v>559422.02</v>
      </c>
      <c r="B200" s="14">
        <f>cleaned_data!$F$199</f>
        <v>3783</v>
      </c>
      <c r="C200" s="14">
        <f>cleaned_data!$E$199</f>
        <v>40220.18</v>
      </c>
      <c r="D200" s="14">
        <f>cleaned_data!$I$199</f>
        <v>86.6</v>
      </c>
      <c r="E200" s="14">
        <f>cleaned_data!$H$199</f>
        <v>14</v>
      </c>
      <c r="F200" s="14">
        <f>dummy_variables!$D$199</f>
        <v>0</v>
      </c>
      <c r="G200" s="14">
        <f>dummy_variables!$E$199</f>
        <v>0</v>
      </c>
      <c r="H200" s="14">
        <f>dummy_variables!$F$199</f>
        <v>1</v>
      </c>
      <c r="I200" s="14">
        <f>dummy_variables!$G$199</f>
        <v>0</v>
      </c>
      <c r="J200" s="14">
        <f>dummy_variables!$H$199</f>
        <v>0</v>
      </c>
      <c r="K200" s="14">
        <f>dummy_variables!$I$199</f>
        <v>1</v>
      </c>
    </row>
    <row r="201" spans="1:11" ht="15" customHeight="1">
      <c r="A201" s="14">
        <f>cleaned_data!$M$200</f>
        <v>449465.06</v>
      </c>
      <c r="B201" s="14">
        <f>cleaned_data!$F$200</f>
        <v>3135</v>
      </c>
      <c r="C201" s="14">
        <f>cleaned_data!$E$200</f>
        <v>41657.64</v>
      </c>
      <c r="D201" s="14">
        <f>cleaned_data!$I$200</f>
        <v>85.4</v>
      </c>
      <c r="E201" s="14">
        <f>cleaned_data!$H$200</f>
        <v>7</v>
      </c>
      <c r="F201" s="14">
        <f>dummy_variables!$D$200</f>
        <v>0</v>
      </c>
      <c r="G201" s="14">
        <f>dummy_variables!$E$200</f>
        <v>0</v>
      </c>
      <c r="H201" s="14">
        <f>dummy_variables!$F$200</f>
        <v>1</v>
      </c>
      <c r="I201" s="14">
        <f>dummy_variables!$G$200</f>
        <v>0</v>
      </c>
      <c r="J201" s="14">
        <f>dummy_variables!$H$200</f>
        <v>0</v>
      </c>
      <c r="K201" s="14">
        <f>dummy_variables!$I$200</f>
        <v>1</v>
      </c>
    </row>
    <row r="202" spans="1:11" ht="15" customHeight="1">
      <c r="A202" s="14">
        <f>cleaned_data!$M$201</f>
        <v>691447.43</v>
      </c>
      <c r="B202" s="14">
        <f>cleaned_data!$F$201</f>
        <v>4970</v>
      </c>
      <c r="C202" s="14">
        <f>cleaned_data!$E$201</f>
        <v>71851.45</v>
      </c>
      <c r="D202" s="14">
        <f>cleaned_data!$I$201</f>
        <v>89.6</v>
      </c>
      <c r="E202" s="14">
        <f>cleaned_data!$H$201</f>
        <v>11</v>
      </c>
      <c r="F202" s="14">
        <f>dummy_variables!$D$201</f>
        <v>0</v>
      </c>
      <c r="G202" s="14">
        <f>dummy_variables!$E$201</f>
        <v>0</v>
      </c>
      <c r="H202" s="14">
        <f>dummy_variables!$F$201</f>
        <v>1</v>
      </c>
      <c r="I202" s="14">
        <f>dummy_variables!$G$201</f>
        <v>1</v>
      </c>
      <c r="J202" s="14">
        <f>dummy_variables!$H$201</f>
        <v>0</v>
      </c>
      <c r="K202" s="14">
        <f>dummy_variables!$I$201</f>
        <v>0</v>
      </c>
    </row>
    <row r="203" spans="1:11" ht="15" customHeight="1">
      <c r="A203" s="14">
        <f>cleaned_data!$M$202</f>
        <v>574066.61</v>
      </c>
      <c r="B203" s="14">
        <f>cleaned_data!$F$202</f>
        <v>4366</v>
      </c>
      <c r="C203" s="14">
        <f>cleaned_data!$E$202</f>
        <v>54002.83</v>
      </c>
      <c r="D203" s="14">
        <f>cleaned_data!$I$202</f>
        <v>90.6</v>
      </c>
      <c r="E203" s="14">
        <f>cleaned_data!$H$202</f>
        <v>15</v>
      </c>
      <c r="F203" s="14">
        <f>dummy_variables!$D$202</f>
        <v>0</v>
      </c>
      <c r="G203" s="14">
        <f>dummy_variables!$E$202</f>
        <v>0</v>
      </c>
      <c r="H203" s="14">
        <f>dummy_variables!$F$202</f>
        <v>1</v>
      </c>
      <c r="I203" s="14">
        <f>dummy_variables!$G$202</f>
        <v>1</v>
      </c>
      <c r="J203" s="14">
        <f>dummy_variables!$H$202</f>
        <v>0</v>
      </c>
      <c r="K203" s="14">
        <f>dummy_variables!$I$202</f>
        <v>0</v>
      </c>
    </row>
    <row r="204" spans="1:11" ht="15" customHeight="1">
      <c r="A204" s="14">
        <f>cleaned_data!$M$203</f>
        <v>578949.84</v>
      </c>
      <c r="B204" s="14">
        <f>cleaned_data!$F$203</f>
        <v>5012</v>
      </c>
      <c r="C204" s="14">
        <f>cleaned_data!$E$203</f>
        <v>54479.33</v>
      </c>
      <c r="D204" s="14">
        <f>cleaned_data!$I$203</f>
        <v>86</v>
      </c>
      <c r="E204" s="14">
        <f>cleaned_data!$H$203</f>
        <v>13</v>
      </c>
      <c r="F204" s="14">
        <f>dummy_variables!$D$203</f>
        <v>0</v>
      </c>
      <c r="G204" s="14">
        <f>dummy_variables!$E$203</f>
        <v>0</v>
      </c>
      <c r="H204" s="14">
        <f>dummy_variables!$F$203</f>
        <v>1</v>
      </c>
      <c r="I204" s="14">
        <f>dummy_variables!$G$203</f>
        <v>1</v>
      </c>
      <c r="J204" s="14">
        <f>dummy_variables!$H$203</f>
        <v>0</v>
      </c>
      <c r="K204" s="14">
        <f>dummy_variables!$I$203</f>
        <v>0</v>
      </c>
    </row>
    <row r="205" spans="1:11" ht="15" customHeight="1">
      <c r="A205" s="14">
        <f>cleaned_data!$M$204</f>
        <v>735786.64</v>
      </c>
      <c r="B205" s="14">
        <f>cleaned_data!$F$204</f>
        <v>5575</v>
      </c>
      <c r="C205" s="14">
        <f>cleaned_data!$E$204</f>
        <v>61391.8</v>
      </c>
      <c r="D205" s="14">
        <f>cleaned_data!$I$204</f>
        <v>90</v>
      </c>
      <c r="E205" s="14">
        <f>cleaned_data!$H$204</f>
        <v>18</v>
      </c>
      <c r="F205" s="14">
        <f>dummy_variables!$D$204</f>
        <v>0</v>
      </c>
      <c r="G205" s="14">
        <f>dummy_variables!$E$204</f>
        <v>0</v>
      </c>
      <c r="H205" s="14">
        <f>dummy_variables!$F$204</f>
        <v>1</v>
      </c>
      <c r="I205" s="14">
        <f>dummy_variables!$G$204</f>
        <v>1</v>
      </c>
      <c r="J205" s="14">
        <f>dummy_variables!$H$204</f>
        <v>0</v>
      </c>
      <c r="K205" s="14">
        <f>dummy_variables!$I$204</f>
        <v>0</v>
      </c>
    </row>
    <row r="206" spans="1:11" ht="15" customHeight="1">
      <c r="A206" s="14">
        <f>cleaned_data!$M$205</f>
        <v>598904.9</v>
      </c>
      <c r="B206" s="14">
        <f>cleaned_data!$F$205</f>
        <v>5955</v>
      </c>
      <c r="C206" s="14">
        <f>cleaned_data!$E$205</f>
        <v>22312.93</v>
      </c>
      <c r="D206" s="14">
        <f>cleaned_data!$I$205</f>
        <v>84.2</v>
      </c>
      <c r="E206" s="14">
        <f>cleaned_data!$H$205</f>
        <v>13</v>
      </c>
      <c r="F206" s="14">
        <f>dummy_variables!$D$205</f>
        <v>1</v>
      </c>
      <c r="G206" s="14">
        <f>dummy_variables!$E$205</f>
        <v>0</v>
      </c>
      <c r="H206" s="14">
        <f>dummy_variables!$F$205</f>
        <v>0</v>
      </c>
      <c r="I206" s="14">
        <f>dummy_variables!$G$205</f>
        <v>0</v>
      </c>
      <c r="J206" s="14">
        <f>dummy_variables!$H$205</f>
        <v>0</v>
      </c>
      <c r="K206" s="14">
        <f>dummy_variables!$I$205</f>
        <v>0</v>
      </c>
    </row>
    <row r="207" spans="1:11" ht="15" customHeight="1">
      <c r="A207" s="14">
        <f>cleaned_data!$M$206</f>
        <v>787715.51</v>
      </c>
      <c r="B207" s="14">
        <f>cleaned_data!$F$206</f>
        <v>6389</v>
      </c>
      <c r="C207" s="14">
        <f>cleaned_data!$E$206</f>
        <v>78111.97</v>
      </c>
      <c r="D207" s="14">
        <f>cleaned_data!$I$206</f>
        <v>83.9</v>
      </c>
      <c r="E207" s="14">
        <f>cleaned_data!$H$206</f>
        <v>13</v>
      </c>
      <c r="F207" s="14">
        <f>dummy_variables!$D$206</f>
        <v>1</v>
      </c>
      <c r="G207" s="14">
        <f>dummy_variables!$E$206</f>
        <v>0</v>
      </c>
      <c r="H207" s="14">
        <f>dummy_variables!$F$206</f>
        <v>0</v>
      </c>
      <c r="I207" s="14">
        <f>dummy_variables!$G$206</f>
        <v>0</v>
      </c>
      <c r="J207" s="14">
        <f>dummy_variables!$H$206</f>
        <v>0</v>
      </c>
      <c r="K207" s="14">
        <f>dummy_variables!$I$206</f>
        <v>0</v>
      </c>
    </row>
    <row r="208" spans="1:11" ht="15" customHeight="1">
      <c r="A208" s="14">
        <f>cleaned_data!$M$207</f>
        <v>607084.92000000004</v>
      </c>
      <c r="B208" s="14">
        <f>cleaned_data!$F$207</f>
        <v>6896</v>
      </c>
      <c r="C208" s="14">
        <f>cleaned_data!$E$207</f>
        <v>35203.230000000003</v>
      </c>
      <c r="D208" s="14">
        <f>cleaned_data!$I$207</f>
        <v>80.8</v>
      </c>
      <c r="E208" s="14">
        <f>cleaned_data!$H$207</f>
        <v>14</v>
      </c>
      <c r="F208" s="14">
        <f>dummy_variables!$D$207</f>
        <v>1</v>
      </c>
      <c r="G208" s="14">
        <f>dummy_variables!$E$207</f>
        <v>0</v>
      </c>
      <c r="H208" s="14">
        <f>dummy_variables!$F$207</f>
        <v>0</v>
      </c>
      <c r="I208" s="14">
        <f>dummy_variables!$G$207</f>
        <v>0</v>
      </c>
      <c r="J208" s="14">
        <f>dummy_variables!$H$207</f>
        <v>0</v>
      </c>
      <c r="K208" s="14">
        <f>dummy_variables!$I$207</f>
        <v>0</v>
      </c>
    </row>
    <row r="209" spans="1:11" ht="15" customHeight="1">
      <c r="A209" s="14">
        <f>cleaned_data!$M$208</f>
        <v>650795.49</v>
      </c>
      <c r="B209" s="14">
        <f>cleaned_data!$F$208</f>
        <v>6015</v>
      </c>
      <c r="C209" s="14">
        <f>cleaned_data!$E$208</f>
        <v>64104.28</v>
      </c>
      <c r="D209" s="14">
        <f>cleaned_data!$I$208</f>
        <v>88.7</v>
      </c>
      <c r="E209" s="14">
        <f>cleaned_data!$H$208</f>
        <v>15</v>
      </c>
      <c r="F209" s="14">
        <f>dummy_variables!$D$208</f>
        <v>1</v>
      </c>
      <c r="G209" s="14">
        <f>dummy_variables!$E$208</f>
        <v>0</v>
      </c>
      <c r="H209" s="14">
        <f>dummy_variables!$F$208</f>
        <v>0</v>
      </c>
      <c r="I209" s="14">
        <f>dummy_variables!$G$208</f>
        <v>0</v>
      </c>
      <c r="J209" s="14">
        <f>dummy_variables!$H$208</f>
        <v>0</v>
      </c>
      <c r="K209" s="14">
        <f>dummy_variables!$I$208</f>
        <v>0</v>
      </c>
    </row>
    <row r="210" spans="1:11" ht="15" customHeight="1">
      <c r="A210" s="14">
        <f>cleaned_data!$M$209</f>
        <v>825060.52</v>
      </c>
      <c r="B210" s="14">
        <f>cleaned_data!$F$209</f>
        <v>9476</v>
      </c>
      <c r="C210" s="14">
        <f>cleaned_data!$E$209</f>
        <v>92090.14</v>
      </c>
      <c r="D210" s="14">
        <f>cleaned_data!$I$209</f>
        <v>94.3</v>
      </c>
      <c r="E210" s="14">
        <f>cleaned_data!$H$209</f>
        <v>24</v>
      </c>
      <c r="F210" s="14">
        <f>dummy_variables!$D$209</f>
        <v>0</v>
      </c>
      <c r="G210" s="14">
        <f>dummy_variables!$E$209</f>
        <v>1</v>
      </c>
      <c r="H210" s="14">
        <f>dummy_variables!$F$209</f>
        <v>0</v>
      </c>
      <c r="I210" s="14">
        <f>dummy_variables!$G$209</f>
        <v>0</v>
      </c>
      <c r="J210" s="14">
        <f>dummy_variables!$H$209</f>
        <v>0</v>
      </c>
      <c r="K210" s="14">
        <f>dummy_variables!$I$209</f>
        <v>0</v>
      </c>
    </row>
    <row r="211" spans="1:11" ht="15" customHeight="1">
      <c r="A211" s="14">
        <f>cleaned_data!$M$210</f>
        <v>795464.47</v>
      </c>
      <c r="B211" s="14">
        <f>cleaned_data!$F$210</f>
        <v>7875</v>
      </c>
      <c r="C211" s="14">
        <f>cleaned_data!$E$210</f>
        <v>54300.87</v>
      </c>
      <c r="D211" s="14">
        <f>cleaned_data!$I$210</f>
        <v>94.1</v>
      </c>
      <c r="E211" s="14">
        <f>cleaned_data!$H$210</f>
        <v>19</v>
      </c>
      <c r="F211" s="14">
        <f>dummy_variables!$D$210</f>
        <v>0</v>
      </c>
      <c r="G211" s="14">
        <f>dummy_variables!$E$210</f>
        <v>1</v>
      </c>
      <c r="H211" s="14">
        <f>dummy_variables!$F$210</f>
        <v>0</v>
      </c>
      <c r="I211" s="14">
        <f>dummy_variables!$G$210</f>
        <v>0</v>
      </c>
      <c r="J211" s="14">
        <f>dummy_variables!$H$210</f>
        <v>0</v>
      </c>
      <c r="K211" s="14">
        <f>dummy_variables!$I$210</f>
        <v>0</v>
      </c>
    </row>
    <row r="212" spans="1:11" ht="15" customHeight="1">
      <c r="A212" s="14">
        <f>cleaned_data!$M$211</f>
        <v>671868.59</v>
      </c>
      <c r="B212" s="14">
        <f>cleaned_data!$F$211</f>
        <v>9283</v>
      </c>
      <c r="C212" s="14">
        <f>cleaned_data!$E$211</f>
        <v>37983.35</v>
      </c>
      <c r="D212" s="14">
        <f>cleaned_data!$I$211</f>
        <v>83.2</v>
      </c>
      <c r="E212" s="14">
        <f>cleaned_data!$H$211</f>
        <v>19</v>
      </c>
      <c r="F212" s="14">
        <f>dummy_variables!$D$211</f>
        <v>0</v>
      </c>
      <c r="G212" s="14">
        <f>dummy_variables!$E$211</f>
        <v>1</v>
      </c>
      <c r="H212" s="14">
        <f>dummy_variables!$F$211</f>
        <v>0</v>
      </c>
      <c r="I212" s="14">
        <f>dummy_variables!$G$211</f>
        <v>0</v>
      </c>
      <c r="J212" s="14">
        <f>dummy_variables!$H$211</f>
        <v>0</v>
      </c>
      <c r="K212" s="14">
        <f>dummy_variables!$I$211</f>
        <v>0</v>
      </c>
    </row>
    <row r="213" spans="1:11" ht="15" customHeight="1">
      <c r="A213" s="14">
        <f>cleaned_data!$M$212</f>
        <v>675917.63</v>
      </c>
      <c r="B213" s="14">
        <f>cleaned_data!$F$212</f>
        <v>8303</v>
      </c>
      <c r="C213" s="14">
        <f>cleaned_data!$E$212</f>
        <v>56413.83</v>
      </c>
      <c r="D213" s="14">
        <f>cleaned_data!$I$212</f>
        <v>93.6</v>
      </c>
      <c r="E213" s="14">
        <f>cleaned_data!$H$212</f>
        <v>18</v>
      </c>
      <c r="F213" s="14">
        <f>dummy_variables!$D$212</f>
        <v>0</v>
      </c>
      <c r="G213" s="14">
        <f>dummy_variables!$E$212</f>
        <v>1</v>
      </c>
      <c r="H213" s="14">
        <f>dummy_variables!$F$212</f>
        <v>0</v>
      </c>
      <c r="I213" s="14">
        <f>dummy_variables!$G$212</f>
        <v>0</v>
      </c>
      <c r="J213" s="14">
        <f>dummy_variables!$H$212</f>
        <v>0</v>
      </c>
      <c r="K213" s="14">
        <f>dummy_variables!$I$212</f>
        <v>0</v>
      </c>
    </row>
    <row r="214" spans="1:11" ht="15" customHeight="1">
      <c r="A214" s="14">
        <f>cleaned_data!$M$213</f>
        <v>810446.53</v>
      </c>
      <c r="B214" s="14">
        <f>cleaned_data!$F$213</f>
        <v>10125</v>
      </c>
      <c r="C214" s="14">
        <f>cleaned_data!$E$213</f>
        <v>63457.19</v>
      </c>
      <c r="D214" s="14">
        <f>cleaned_data!$I$213</f>
        <v>87</v>
      </c>
      <c r="E214" s="14">
        <f>cleaned_data!$H$213</f>
        <v>24</v>
      </c>
      <c r="F214" s="14">
        <f>dummy_variables!$D$213</f>
        <v>0</v>
      </c>
      <c r="G214" s="14">
        <f>dummy_variables!$E$213</f>
        <v>0</v>
      </c>
      <c r="H214" s="14">
        <f>dummy_variables!$F$213</f>
        <v>0</v>
      </c>
      <c r="I214" s="14">
        <f>dummy_variables!$G$213</f>
        <v>0</v>
      </c>
      <c r="J214" s="14">
        <f>dummy_variables!$H$213</f>
        <v>0</v>
      </c>
      <c r="K214" s="14">
        <f>dummy_variables!$I$213</f>
        <v>0</v>
      </c>
    </row>
    <row r="215" spans="1:11" ht="15" customHeight="1">
      <c r="A215" s="14">
        <f>cleaned_data!$M$214</f>
        <v>691288.19</v>
      </c>
      <c r="B215" s="14">
        <f>cleaned_data!$F$214</f>
        <v>9458</v>
      </c>
      <c r="C215" s="14">
        <f>cleaned_data!$E$214</f>
        <v>62949.7</v>
      </c>
      <c r="D215" s="14">
        <f>cleaned_data!$I$214</f>
        <v>84.9</v>
      </c>
      <c r="E215" s="14">
        <f>cleaned_data!$H$214</f>
        <v>19</v>
      </c>
      <c r="F215" s="14">
        <f>dummy_variables!$D$214</f>
        <v>0</v>
      </c>
      <c r="G215" s="14">
        <f>dummy_variables!$E$214</f>
        <v>0</v>
      </c>
      <c r="H215" s="14">
        <f>dummy_variables!$F$214</f>
        <v>0</v>
      </c>
      <c r="I215" s="14">
        <f>dummy_variables!$G$214</f>
        <v>0</v>
      </c>
      <c r="J215" s="14">
        <f>dummy_variables!$H$214</f>
        <v>0</v>
      </c>
      <c r="K215" s="14">
        <f>dummy_variables!$I$214</f>
        <v>0</v>
      </c>
    </row>
    <row r="216" spans="1:11" ht="15" customHeight="1">
      <c r="A216" s="14">
        <f>cleaned_data!$M$215</f>
        <v>946833.54</v>
      </c>
      <c r="B216" s="14">
        <f>cleaned_data!$F$215</f>
        <v>12870</v>
      </c>
      <c r="C216" s="14">
        <f>cleaned_data!$E$215</f>
        <v>107970.19</v>
      </c>
      <c r="D216" s="14">
        <f>cleaned_data!$I$215</f>
        <v>91.7</v>
      </c>
      <c r="E216" s="14">
        <f>cleaned_data!$H$215</f>
        <v>31</v>
      </c>
      <c r="F216" s="14">
        <f>dummy_variables!$D$215</f>
        <v>0</v>
      </c>
      <c r="G216" s="14">
        <f>dummy_variables!$E$215</f>
        <v>0</v>
      </c>
      <c r="H216" s="14">
        <f>dummy_variables!$F$215</f>
        <v>0</v>
      </c>
      <c r="I216" s="14">
        <f>dummy_variables!$G$215</f>
        <v>0</v>
      </c>
      <c r="J216" s="14">
        <f>dummy_variables!$H$215</f>
        <v>0</v>
      </c>
      <c r="K216" s="14">
        <f>dummy_variables!$I$215</f>
        <v>0</v>
      </c>
    </row>
    <row r="217" spans="1:11" ht="15" customHeight="1">
      <c r="A217" s="14">
        <f>cleaned_data!$M$216</f>
        <v>761963.23</v>
      </c>
      <c r="B217" s="14">
        <f>cleaned_data!$F$216</f>
        <v>9752</v>
      </c>
      <c r="C217" s="14">
        <f>cleaned_data!$E$216</f>
        <v>49405.75</v>
      </c>
      <c r="D217" s="14">
        <f>cleaned_data!$I$216</f>
        <v>87</v>
      </c>
      <c r="E217" s="14">
        <f>cleaned_data!$H$216</f>
        <v>21</v>
      </c>
      <c r="F217" s="14">
        <f>dummy_variables!$D$216</f>
        <v>0</v>
      </c>
      <c r="G217" s="14">
        <f>dummy_variables!$E$216</f>
        <v>0</v>
      </c>
      <c r="H217" s="14">
        <f>dummy_variables!$F$216</f>
        <v>0</v>
      </c>
      <c r="I217" s="14">
        <f>dummy_variables!$G$216</f>
        <v>0</v>
      </c>
      <c r="J217" s="14">
        <f>dummy_variables!$H$216</f>
        <v>0</v>
      </c>
      <c r="K217" s="14">
        <f>dummy_variables!$I$216</f>
        <v>0</v>
      </c>
    </row>
    <row r="218" spans="1:11" ht="15" customHeight="1">
      <c r="A218" s="14">
        <f>cleaned_data!$M$217</f>
        <v>812152.6</v>
      </c>
      <c r="B218" s="14">
        <f>cleaned_data!$F$217</f>
        <v>9505</v>
      </c>
      <c r="C218" s="14">
        <f>cleaned_data!$E$217</f>
        <v>50887.46</v>
      </c>
      <c r="D218" s="14">
        <f>cleaned_data!$I$217</f>
        <v>89.7</v>
      </c>
      <c r="E218" s="14">
        <f>cleaned_data!$H$217</f>
        <v>25</v>
      </c>
      <c r="F218" s="14">
        <f>dummy_variables!$D$217</f>
        <v>0</v>
      </c>
      <c r="G218" s="14">
        <f>dummy_variables!$E$217</f>
        <v>0</v>
      </c>
      <c r="H218" s="14">
        <f>dummy_variables!$F$217</f>
        <v>1</v>
      </c>
      <c r="I218" s="14">
        <f>dummy_variables!$G$217</f>
        <v>0</v>
      </c>
      <c r="J218" s="14">
        <f>dummy_variables!$H$217</f>
        <v>0</v>
      </c>
      <c r="K218" s="14">
        <f>dummy_variables!$I$217</f>
        <v>1</v>
      </c>
    </row>
    <row r="219" spans="1:11" ht="15" customHeight="1">
      <c r="A219" s="14">
        <f>cleaned_data!$M$218</f>
        <v>804975.5</v>
      </c>
      <c r="B219" s="14">
        <f>cleaned_data!$F$218</f>
        <v>9412</v>
      </c>
      <c r="C219" s="14">
        <f>cleaned_data!$E$218</f>
        <v>41819.449999999997</v>
      </c>
      <c r="D219" s="14">
        <f>cleaned_data!$I$218</f>
        <v>91</v>
      </c>
      <c r="E219" s="14">
        <f>cleaned_data!$H$218</f>
        <v>22</v>
      </c>
      <c r="F219" s="14">
        <f>dummy_variables!$D$218</f>
        <v>0</v>
      </c>
      <c r="G219" s="14">
        <f>dummy_variables!$E$218</f>
        <v>0</v>
      </c>
      <c r="H219" s="14">
        <f>dummy_variables!$F$218</f>
        <v>1</v>
      </c>
      <c r="I219" s="14">
        <f>dummy_variables!$G$218</f>
        <v>0</v>
      </c>
      <c r="J219" s="14">
        <f>dummy_variables!$H$218</f>
        <v>0</v>
      </c>
      <c r="K219" s="14">
        <f>dummy_variables!$I$218</f>
        <v>1</v>
      </c>
    </row>
    <row r="220" spans="1:11" ht="15" customHeight="1">
      <c r="A220" s="14">
        <f>cleaned_data!$M$219</f>
        <v>752321.72</v>
      </c>
      <c r="B220" s="14">
        <f>cleaned_data!$F$219</f>
        <v>9644</v>
      </c>
      <c r="C220" s="14">
        <f>cleaned_data!$E$219</f>
        <v>35296.54</v>
      </c>
      <c r="D220" s="14">
        <f>cleaned_data!$I$219</f>
        <v>88</v>
      </c>
      <c r="E220" s="14">
        <f>cleaned_data!$H$219</f>
        <v>22</v>
      </c>
      <c r="F220" s="14">
        <f>dummy_variables!$D$219</f>
        <v>0</v>
      </c>
      <c r="G220" s="14">
        <f>dummy_variables!$E$219</f>
        <v>0</v>
      </c>
      <c r="H220" s="14">
        <f>dummy_variables!$F$219</f>
        <v>1</v>
      </c>
      <c r="I220" s="14">
        <f>dummy_variables!$G$219</f>
        <v>0</v>
      </c>
      <c r="J220" s="14">
        <f>dummy_variables!$H$219</f>
        <v>0</v>
      </c>
      <c r="K220" s="14">
        <f>dummy_variables!$I$219</f>
        <v>1</v>
      </c>
    </row>
    <row r="221" spans="1:11" ht="15" customHeight="1">
      <c r="A221" s="14">
        <f>cleaned_data!$M$220</f>
        <v>836908.24</v>
      </c>
      <c r="B221" s="14">
        <f>cleaned_data!$F$220</f>
        <v>11224</v>
      </c>
      <c r="C221" s="14">
        <f>cleaned_data!$E$220</f>
        <v>47391.09</v>
      </c>
      <c r="D221" s="14">
        <f>cleaned_data!$I$220</f>
        <v>88.4</v>
      </c>
      <c r="E221" s="14">
        <f>cleaned_data!$H$220</f>
        <v>25</v>
      </c>
      <c r="F221" s="14">
        <f>dummy_variables!$D$220</f>
        <v>0</v>
      </c>
      <c r="G221" s="14">
        <f>dummy_variables!$E$220</f>
        <v>0</v>
      </c>
      <c r="H221" s="14">
        <f>dummy_variables!$F$220</f>
        <v>1</v>
      </c>
      <c r="I221" s="14">
        <f>dummy_variables!$G$220</f>
        <v>0</v>
      </c>
      <c r="J221" s="14">
        <f>dummy_variables!$H$220</f>
        <v>0</v>
      </c>
      <c r="K221" s="14">
        <f>dummy_variables!$I$220</f>
        <v>1</v>
      </c>
    </row>
    <row r="222" spans="1:11" ht="15" customHeight="1">
      <c r="A222" s="14">
        <f>cleaned_data!$M$221</f>
        <v>674289.1</v>
      </c>
      <c r="B222" s="14">
        <f>cleaned_data!$F$221</f>
        <v>5394</v>
      </c>
      <c r="C222" s="14">
        <f>cleaned_data!$E$221</f>
        <v>69180.539999999994</v>
      </c>
      <c r="D222" s="14">
        <f>cleaned_data!$I$221</f>
        <v>82.9</v>
      </c>
      <c r="E222" s="14">
        <f>cleaned_data!$H$221</f>
        <v>12</v>
      </c>
      <c r="F222" s="14">
        <f>dummy_variables!$D$221</f>
        <v>1</v>
      </c>
      <c r="G222" s="14">
        <f>dummy_variables!$E$221</f>
        <v>0</v>
      </c>
      <c r="H222" s="14">
        <f>dummy_variables!$F$221</f>
        <v>0</v>
      </c>
      <c r="I222" s="14">
        <f>dummy_variables!$G$221</f>
        <v>1</v>
      </c>
      <c r="J222" s="14">
        <f>dummy_variables!$H$221</f>
        <v>0</v>
      </c>
      <c r="K222" s="14">
        <f>dummy_variables!$I$221</f>
        <v>0</v>
      </c>
    </row>
    <row r="223" spans="1:11" ht="15" customHeight="1">
      <c r="A223" s="14">
        <f>cleaned_data!$M$222</f>
        <v>622892.42000000004</v>
      </c>
      <c r="B223" s="14">
        <f>cleaned_data!$F$222</f>
        <v>5014</v>
      </c>
      <c r="C223" s="14">
        <f>cleaned_data!$E$222</f>
        <v>33987.33</v>
      </c>
      <c r="D223" s="14">
        <f>cleaned_data!$I$222</f>
        <v>94.3</v>
      </c>
      <c r="E223" s="14">
        <f>cleaned_data!$H$222</f>
        <v>17</v>
      </c>
      <c r="F223" s="14">
        <f>dummy_variables!$D$222</f>
        <v>1</v>
      </c>
      <c r="G223" s="14">
        <f>dummy_variables!$E$222</f>
        <v>0</v>
      </c>
      <c r="H223" s="14">
        <f>dummy_variables!$F$222</f>
        <v>0</v>
      </c>
      <c r="I223" s="14">
        <f>dummy_variables!$G$222</f>
        <v>1</v>
      </c>
      <c r="J223" s="14">
        <f>dummy_variables!$H$222</f>
        <v>0</v>
      </c>
      <c r="K223" s="14">
        <f>dummy_variables!$I$222</f>
        <v>0</v>
      </c>
    </row>
    <row r="224" spans="1:11" ht="15" customHeight="1">
      <c r="A224" s="14">
        <f>cleaned_data!$M$223</f>
        <v>673348.56</v>
      </c>
      <c r="B224" s="14">
        <f>cleaned_data!$F$223</f>
        <v>4467</v>
      </c>
      <c r="C224" s="14">
        <f>cleaned_data!$E$223</f>
        <v>58785.33</v>
      </c>
      <c r="D224" s="14">
        <f>cleaned_data!$I$223</f>
        <v>90.7</v>
      </c>
      <c r="E224" s="14">
        <f>cleaned_data!$H$223</f>
        <v>14</v>
      </c>
      <c r="F224" s="14">
        <f>dummy_variables!$D$223</f>
        <v>1</v>
      </c>
      <c r="G224" s="14">
        <f>dummy_variables!$E$223</f>
        <v>0</v>
      </c>
      <c r="H224" s="14">
        <f>dummy_variables!$F$223</f>
        <v>0</v>
      </c>
      <c r="I224" s="14">
        <f>dummy_variables!$G$223</f>
        <v>1</v>
      </c>
      <c r="J224" s="14">
        <f>dummy_variables!$H$223</f>
        <v>0</v>
      </c>
      <c r="K224" s="14">
        <f>dummy_variables!$I$223</f>
        <v>0</v>
      </c>
    </row>
    <row r="225" spans="1:11" ht="15" customHeight="1">
      <c r="A225" s="14">
        <f>cleaned_data!$M$224</f>
        <v>606278.30000000005</v>
      </c>
      <c r="B225" s="14">
        <f>cleaned_data!$F$224</f>
        <v>4678</v>
      </c>
      <c r="C225" s="14">
        <f>cleaned_data!$E$224</f>
        <v>16451.849999999999</v>
      </c>
      <c r="D225" s="14">
        <f>cleaned_data!$I$224</f>
        <v>95.9</v>
      </c>
      <c r="E225" s="14">
        <f>cleaned_data!$H$224</f>
        <v>11</v>
      </c>
      <c r="F225" s="14">
        <f>dummy_variables!$D$224</f>
        <v>1</v>
      </c>
      <c r="G225" s="14">
        <f>dummy_variables!$E$224</f>
        <v>0</v>
      </c>
      <c r="H225" s="14">
        <f>dummy_variables!$F$224</f>
        <v>0</v>
      </c>
      <c r="I225" s="14">
        <f>dummy_variables!$G$224</f>
        <v>1</v>
      </c>
      <c r="J225" s="14">
        <f>dummy_variables!$H$224</f>
        <v>0</v>
      </c>
      <c r="K225" s="14">
        <f>dummy_variables!$I$224</f>
        <v>0</v>
      </c>
    </row>
    <row r="226" spans="1:11" ht="15" customHeight="1">
      <c r="A226" s="14">
        <f>cleaned_data!$M$225</f>
        <v>712219.81</v>
      </c>
      <c r="B226" s="14">
        <f>cleaned_data!$F$225</f>
        <v>7291</v>
      </c>
      <c r="C226" s="14">
        <f>cleaned_data!$E$225</f>
        <v>53367.73</v>
      </c>
      <c r="D226" s="14">
        <f>cleaned_data!$I$225</f>
        <v>90.6</v>
      </c>
      <c r="E226" s="14">
        <f>cleaned_data!$H$225</f>
        <v>18</v>
      </c>
      <c r="F226" s="14">
        <f>dummy_variables!$D$225</f>
        <v>0</v>
      </c>
      <c r="G226" s="14">
        <f>dummy_variables!$E$225</f>
        <v>0</v>
      </c>
      <c r="H226" s="14">
        <f>dummy_variables!$F$225</f>
        <v>0</v>
      </c>
      <c r="I226" s="14">
        <f>dummy_variables!$G$225</f>
        <v>0</v>
      </c>
      <c r="J226" s="14">
        <f>dummy_variables!$H$225</f>
        <v>0</v>
      </c>
      <c r="K226" s="14">
        <f>dummy_variables!$I$225</f>
        <v>0</v>
      </c>
    </row>
    <row r="227" spans="1:11" ht="15" customHeight="1">
      <c r="A227" s="14">
        <f>cleaned_data!$M$226</f>
        <v>672670.54</v>
      </c>
      <c r="B227" s="14">
        <f>cleaned_data!$F$226</f>
        <v>7404</v>
      </c>
      <c r="C227" s="14">
        <f>cleaned_data!$E$226</f>
        <v>27194.639999999999</v>
      </c>
      <c r="D227" s="14">
        <f>cleaned_data!$I$226</f>
        <v>90.2</v>
      </c>
      <c r="E227" s="14">
        <f>cleaned_data!$H$226</f>
        <v>18</v>
      </c>
      <c r="F227" s="14">
        <f>dummy_variables!$D$226</f>
        <v>0</v>
      </c>
      <c r="G227" s="14">
        <f>dummy_variables!$E$226</f>
        <v>0</v>
      </c>
      <c r="H227" s="14">
        <f>dummy_variables!$F$226</f>
        <v>0</v>
      </c>
      <c r="I227" s="14">
        <f>dummy_variables!$G$226</f>
        <v>0</v>
      </c>
      <c r="J227" s="14">
        <f>dummy_variables!$H$226</f>
        <v>0</v>
      </c>
      <c r="K227" s="14">
        <f>dummy_variables!$I$226</f>
        <v>0</v>
      </c>
    </row>
    <row r="228" spans="1:11" ht="15" customHeight="1">
      <c r="A228" s="14">
        <f>cleaned_data!$M$227</f>
        <v>732667.92</v>
      </c>
      <c r="B228" s="14">
        <f>cleaned_data!$F$227</f>
        <v>7880</v>
      </c>
      <c r="C228" s="14">
        <f>cleaned_data!$E$227</f>
        <v>66962.740000000005</v>
      </c>
      <c r="D228" s="14">
        <f>cleaned_data!$I$227</f>
        <v>90.4</v>
      </c>
      <c r="E228" s="14">
        <f>cleaned_data!$H$227</f>
        <v>19</v>
      </c>
      <c r="F228" s="14">
        <f>dummy_variables!$D$227</f>
        <v>0</v>
      </c>
      <c r="G228" s="14">
        <f>dummy_variables!$E$227</f>
        <v>0</v>
      </c>
      <c r="H228" s="14">
        <f>dummy_variables!$F$227</f>
        <v>0</v>
      </c>
      <c r="I228" s="14">
        <f>dummy_variables!$G$227</f>
        <v>0</v>
      </c>
      <c r="J228" s="14">
        <f>dummy_variables!$H$227</f>
        <v>0</v>
      </c>
      <c r="K228" s="14">
        <f>dummy_variables!$I$227</f>
        <v>0</v>
      </c>
    </row>
    <row r="229" spans="1:11" ht="15" customHeight="1">
      <c r="A229" s="14">
        <f>cleaned_data!$M$228</f>
        <v>723531.4</v>
      </c>
      <c r="B229" s="14">
        <f>cleaned_data!$F$228</f>
        <v>8773</v>
      </c>
      <c r="C229" s="14">
        <f>cleaned_data!$E$228</f>
        <v>73540.990000000005</v>
      </c>
      <c r="D229" s="14">
        <f>cleaned_data!$I$228</f>
        <v>84.4</v>
      </c>
      <c r="E229" s="14">
        <f>cleaned_data!$H$228</f>
        <v>21</v>
      </c>
      <c r="F229" s="14">
        <f>dummy_variables!$D$228</f>
        <v>0</v>
      </c>
      <c r="G229" s="14">
        <f>dummy_variables!$E$228</f>
        <v>0</v>
      </c>
      <c r="H229" s="14">
        <f>dummy_variables!$F$228</f>
        <v>0</v>
      </c>
      <c r="I229" s="14">
        <f>dummy_variables!$G$228</f>
        <v>0</v>
      </c>
      <c r="J229" s="14">
        <f>dummy_variables!$H$228</f>
        <v>0</v>
      </c>
      <c r="K229" s="14">
        <f>dummy_variables!$I$228</f>
        <v>0</v>
      </c>
    </row>
    <row r="230" spans="1:11" ht="15" customHeight="1">
      <c r="A230" s="14">
        <f>cleaned_data!$M$229</f>
        <v>641564.6</v>
      </c>
      <c r="B230" s="14">
        <f>cleaned_data!$F$229</f>
        <v>4713</v>
      </c>
      <c r="C230" s="14">
        <f>cleaned_data!$E$229</f>
        <v>68212.289999999994</v>
      </c>
      <c r="D230" s="14">
        <f>cleaned_data!$I$229</f>
        <v>82.6</v>
      </c>
      <c r="E230" s="14">
        <f>cleaned_data!$H$229</f>
        <v>15</v>
      </c>
      <c r="F230" s="14">
        <f>dummy_variables!$D$229</f>
        <v>0</v>
      </c>
      <c r="G230" s="14">
        <f>dummy_variables!$E$229</f>
        <v>1</v>
      </c>
      <c r="H230" s="14">
        <f>dummy_variables!$F$229</f>
        <v>0</v>
      </c>
      <c r="I230" s="14">
        <f>dummy_variables!$G$229</f>
        <v>0</v>
      </c>
      <c r="J230" s="14">
        <f>dummy_variables!$H$229</f>
        <v>0</v>
      </c>
      <c r="K230" s="14">
        <f>dummy_variables!$I$229</f>
        <v>0</v>
      </c>
    </row>
    <row r="231" spans="1:11" ht="15" customHeight="1">
      <c r="A231" s="14">
        <f>cleaned_data!$M$230</f>
        <v>536545.49</v>
      </c>
      <c r="B231" s="14">
        <f>cleaned_data!$F$230</f>
        <v>2842</v>
      </c>
      <c r="C231" s="14">
        <f>cleaned_data!$E$230</f>
        <v>57225.98</v>
      </c>
      <c r="D231" s="14">
        <f>cleaned_data!$I$230</f>
        <v>79.5</v>
      </c>
      <c r="E231" s="14">
        <f>cleaned_data!$H$230</f>
        <v>10</v>
      </c>
      <c r="F231" s="14">
        <f>dummy_variables!$D$230</f>
        <v>0</v>
      </c>
      <c r="G231" s="14">
        <f>dummy_variables!$E$230</f>
        <v>1</v>
      </c>
      <c r="H231" s="14">
        <f>dummy_variables!$F$230</f>
        <v>0</v>
      </c>
      <c r="I231" s="14">
        <f>dummy_variables!$G$230</f>
        <v>0</v>
      </c>
      <c r="J231" s="14">
        <f>dummy_variables!$H$230</f>
        <v>0</v>
      </c>
      <c r="K231" s="14">
        <f>dummy_variables!$I$230</f>
        <v>0</v>
      </c>
    </row>
    <row r="232" spans="1:11" ht="15" customHeight="1">
      <c r="A232" s="14">
        <f>cleaned_data!$M$231</f>
        <v>527681.56000000006</v>
      </c>
      <c r="B232" s="14">
        <f>cleaned_data!$F$231</f>
        <v>3872</v>
      </c>
      <c r="C232" s="14">
        <f>cleaned_data!$E$231</f>
        <v>42932.02</v>
      </c>
      <c r="D232" s="14">
        <f>cleaned_data!$I$231</f>
        <v>83.2</v>
      </c>
      <c r="E232" s="14">
        <f>cleaned_data!$H$231</f>
        <v>12</v>
      </c>
      <c r="F232" s="14">
        <f>dummy_variables!$D$231</f>
        <v>0</v>
      </c>
      <c r="G232" s="14">
        <f>dummy_variables!$E$231</f>
        <v>1</v>
      </c>
      <c r="H232" s="14">
        <f>dummy_variables!$F$231</f>
        <v>0</v>
      </c>
      <c r="I232" s="14">
        <f>dummy_variables!$G$231</f>
        <v>0</v>
      </c>
      <c r="J232" s="14">
        <f>dummy_variables!$H$231</f>
        <v>0</v>
      </c>
      <c r="K232" s="14">
        <f>dummy_variables!$I$231</f>
        <v>0</v>
      </c>
    </row>
    <row r="233" spans="1:11" ht="15" customHeight="1">
      <c r="A233" s="14">
        <f>cleaned_data!$M$232</f>
        <v>529598.93999999994</v>
      </c>
      <c r="B233" s="14">
        <f>cleaned_data!$F$232</f>
        <v>1375</v>
      </c>
      <c r="C233" s="14">
        <f>cleaned_data!$E$232</f>
        <v>39341.449999999997</v>
      </c>
      <c r="D233" s="14">
        <f>cleaned_data!$I$232</f>
        <v>95</v>
      </c>
      <c r="E233" s="14">
        <f>cleaned_data!$H$232</f>
        <v>5</v>
      </c>
      <c r="F233" s="14">
        <f>dummy_variables!$D$232</f>
        <v>0</v>
      </c>
      <c r="G233" s="14">
        <f>dummy_variables!$E$232</f>
        <v>1</v>
      </c>
      <c r="H233" s="14">
        <f>dummy_variables!$F$232</f>
        <v>0</v>
      </c>
      <c r="I233" s="14">
        <f>dummy_variables!$G$232</f>
        <v>0</v>
      </c>
      <c r="J233" s="14">
        <f>dummy_variables!$H$232</f>
        <v>0</v>
      </c>
      <c r="K233" s="14">
        <f>dummy_variables!$I$232</f>
        <v>0</v>
      </c>
    </row>
    <row r="234" spans="1:11" ht="15" customHeight="1">
      <c r="A234" s="14">
        <f>cleaned_data!$M$233</f>
        <v>570963.31000000006</v>
      </c>
      <c r="B234" s="14">
        <f>cleaned_data!$F$233</f>
        <v>5957</v>
      </c>
      <c r="C234" s="14">
        <f>cleaned_data!$E$233</f>
        <v>37324.230000000003</v>
      </c>
      <c r="D234" s="14">
        <f>cleaned_data!$I$233</f>
        <v>85.9</v>
      </c>
      <c r="E234" s="14">
        <f>cleaned_data!$H$233</f>
        <v>12</v>
      </c>
      <c r="F234" s="14">
        <f>dummy_variables!$D$233</f>
        <v>0</v>
      </c>
      <c r="G234" s="14">
        <f>dummy_variables!$E$233</f>
        <v>0</v>
      </c>
      <c r="H234" s="14">
        <f>dummy_variables!$F$233</f>
        <v>0</v>
      </c>
      <c r="I234" s="14">
        <f>dummy_variables!$G$233</f>
        <v>0</v>
      </c>
      <c r="J234" s="14">
        <f>dummy_variables!$H$233</f>
        <v>0</v>
      </c>
      <c r="K234" s="14">
        <f>dummy_variables!$I$233</f>
        <v>0</v>
      </c>
    </row>
    <row r="235" spans="1:11" ht="15" customHeight="1">
      <c r="A235" s="14">
        <f>cleaned_data!$M$234</f>
        <v>870937.4</v>
      </c>
      <c r="B235" s="14">
        <f>cleaned_data!$F$234</f>
        <v>8961</v>
      </c>
      <c r="C235" s="14">
        <f>cleaned_data!$E$234</f>
        <v>113736</v>
      </c>
      <c r="D235" s="14">
        <f>cleaned_data!$I$234</f>
        <v>86.2</v>
      </c>
      <c r="E235" s="14">
        <f>cleaned_data!$H$234</f>
        <v>24</v>
      </c>
      <c r="F235" s="14">
        <f>dummy_variables!$D$234</f>
        <v>0</v>
      </c>
      <c r="G235" s="14">
        <f>dummy_variables!$E$234</f>
        <v>0</v>
      </c>
      <c r="H235" s="14">
        <f>dummy_variables!$F$234</f>
        <v>0</v>
      </c>
      <c r="I235" s="14">
        <f>dummy_variables!$G$234</f>
        <v>0</v>
      </c>
      <c r="J235" s="14">
        <f>dummy_variables!$H$234</f>
        <v>0</v>
      </c>
      <c r="K235" s="14">
        <f>dummy_variables!$I$234</f>
        <v>0</v>
      </c>
    </row>
    <row r="236" spans="1:11" ht="15" customHeight="1">
      <c r="A236" s="14">
        <f>cleaned_data!$M$235</f>
        <v>596969.27</v>
      </c>
      <c r="B236" s="14">
        <f>cleaned_data!$F$235</f>
        <v>6545</v>
      </c>
      <c r="C236" s="14">
        <f>cleaned_data!$E$235</f>
        <v>33173.949999999997</v>
      </c>
      <c r="D236" s="14">
        <f>cleaned_data!$I$235</f>
        <v>84.4</v>
      </c>
      <c r="E236" s="14">
        <f>cleaned_data!$H$235</f>
        <v>15</v>
      </c>
      <c r="F236" s="14">
        <f>dummy_variables!$D$235</f>
        <v>0</v>
      </c>
      <c r="G236" s="14">
        <f>dummy_variables!$E$235</f>
        <v>0</v>
      </c>
      <c r="H236" s="14">
        <f>dummy_variables!$F$235</f>
        <v>0</v>
      </c>
      <c r="I236" s="14">
        <f>dummy_variables!$G$235</f>
        <v>0</v>
      </c>
      <c r="J236" s="14">
        <f>dummy_variables!$H$235</f>
        <v>0</v>
      </c>
      <c r="K236" s="14">
        <f>dummy_variables!$I$235</f>
        <v>0</v>
      </c>
    </row>
    <row r="237" spans="1:11" ht="15" customHeight="1">
      <c r="A237" s="14">
        <f>cleaned_data!$M$236</f>
        <v>647512.85</v>
      </c>
      <c r="B237" s="14">
        <f>cleaned_data!$F$236</f>
        <v>5457</v>
      </c>
      <c r="C237" s="14">
        <f>cleaned_data!$E$236</f>
        <v>25818.080000000002</v>
      </c>
      <c r="D237" s="14">
        <f>cleaned_data!$I$236</f>
        <v>95.4</v>
      </c>
      <c r="E237" s="14">
        <f>cleaned_data!$H$236</f>
        <v>11</v>
      </c>
      <c r="F237" s="14">
        <f>dummy_variables!$D$236</f>
        <v>0</v>
      </c>
      <c r="G237" s="14">
        <f>dummy_variables!$E$236</f>
        <v>0</v>
      </c>
      <c r="H237" s="14">
        <f>dummy_variables!$F$236</f>
        <v>0</v>
      </c>
      <c r="I237" s="14">
        <f>dummy_variables!$G$236</f>
        <v>0</v>
      </c>
      <c r="J237" s="14">
        <f>dummy_variables!$H$236</f>
        <v>0</v>
      </c>
      <c r="K237" s="14">
        <f>dummy_variables!$I$236</f>
        <v>0</v>
      </c>
    </row>
    <row r="238" spans="1:11" ht="15" customHeight="1">
      <c r="A238" s="14">
        <f>cleaned_data!$M$237</f>
        <v>658072.14</v>
      </c>
      <c r="B238" s="14">
        <f>cleaned_data!$F$237</f>
        <v>4264</v>
      </c>
      <c r="C238" s="14">
        <f>cleaned_data!$E$237</f>
        <v>47241.919999999998</v>
      </c>
      <c r="D238" s="14">
        <f>cleaned_data!$I$237</f>
        <v>95.3</v>
      </c>
      <c r="E238" s="14">
        <f>cleaned_data!$H$237</f>
        <v>13</v>
      </c>
      <c r="F238" s="14">
        <f>dummy_variables!$D$237</f>
        <v>0</v>
      </c>
      <c r="G238" s="14">
        <f>dummy_variables!$E$237</f>
        <v>0</v>
      </c>
      <c r="H238" s="14">
        <f>dummy_variables!$F$237</f>
        <v>1</v>
      </c>
      <c r="I238" s="14">
        <f>dummy_variables!$G$237</f>
        <v>0</v>
      </c>
      <c r="J238" s="14">
        <f>dummy_variables!$H$237</f>
        <v>0</v>
      </c>
      <c r="K238" s="14">
        <f>dummy_variables!$I$237</f>
        <v>1</v>
      </c>
    </row>
    <row r="239" spans="1:11" ht="15" customHeight="1">
      <c r="A239" s="14">
        <f>cleaned_data!$M$238</f>
        <v>723305.11</v>
      </c>
      <c r="B239" s="14">
        <f>cleaned_data!$F$238</f>
        <v>5321</v>
      </c>
      <c r="C239" s="14">
        <f>cleaned_data!$E$238</f>
        <v>61650.79</v>
      </c>
      <c r="D239" s="14">
        <f>cleaned_data!$I$238</f>
        <v>89.2</v>
      </c>
      <c r="E239" s="14">
        <f>cleaned_data!$H$238</f>
        <v>17</v>
      </c>
      <c r="F239" s="14">
        <f>dummy_variables!$D$238</f>
        <v>0</v>
      </c>
      <c r="G239" s="14">
        <f>dummy_variables!$E$238</f>
        <v>0</v>
      </c>
      <c r="H239" s="14">
        <f>dummy_variables!$F$238</f>
        <v>1</v>
      </c>
      <c r="I239" s="14">
        <f>dummy_variables!$G$238</f>
        <v>0</v>
      </c>
      <c r="J239" s="14">
        <f>dummy_variables!$H$238</f>
        <v>0</v>
      </c>
      <c r="K239" s="14">
        <f>dummy_variables!$I$238</f>
        <v>1</v>
      </c>
    </row>
    <row r="240" spans="1:11" ht="15" customHeight="1">
      <c r="A240" s="14">
        <f>cleaned_data!$M$239</f>
        <v>640666.53</v>
      </c>
      <c r="B240" s="14">
        <f>cleaned_data!$F$239</f>
        <v>5479</v>
      </c>
      <c r="C240" s="14">
        <f>cleaned_data!$E$239</f>
        <v>62582.71</v>
      </c>
      <c r="D240" s="14">
        <f>cleaned_data!$I$239</f>
        <v>81.2</v>
      </c>
      <c r="E240" s="14">
        <f>cleaned_data!$H$239</f>
        <v>16</v>
      </c>
      <c r="F240" s="14">
        <f>dummy_variables!$D$239</f>
        <v>0</v>
      </c>
      <c r="G240" s="14">
        <f>dummy_variables!$E$239</f>
        <v>0</v>
      </c>
      <c r="H240" s="14">
        <f>dummy_variables!$F$239</f>
        <v>1</v>
      </c>
      <c r="I240" s="14">
        <f>dummy_variables!$G$239</f>
        <v>0</v>
      </c>
      <c r="J240" s="14">
        <f>dummy_variables!$H$239</f>
        <v>0</v>
      </c>
      <c r="K240" s="14">
        <f>dummy_variables!$I$239</f>
        <v>1</v>
      </c>
    </row>
    <row r="241" spans="1:11" ht="15" customHeight="1">
      <c r="A241" s="14">
        <f>cleaned_data!$M$240</f>
        <v>670629.48</v>
      </c>
      <c r="B241" s="14">
        <f>cleaned_data!$F$240</f>
        <v>6169</v>
      </c>
      <c r="C241" s="14">
        <f>cleaned_data!$E$240</f>
        <v>47944.14</v>
      </c>
      <c r="D241" s="14">
        <f>cleaned_data!$I$240</f>
        <v>92.2</v>
      </c>
      <c r="E241" s="14">
        <f>cleaned_data!$H$240</f>
        <v>17</v>
      </c>
      <c r="F241" s="14">
        <f>dummy_variables!$D$240</f>
        <v>0</v>
      </c>
      <c r="G241" s="14">
        <f>dummy_variables!$E$240</f>
        <v>0</v>
      </c>
      <c r="H241" s="14">
        <f>dummy_variables!$F$240</f>
        <v>1</v>
      </c>
      <c r="I241" s="14">
        <f>dummy_variables!$G$240</f>
        <v>0</v>
      </c>
      <c r="J241" s="14">
        <f>dummy_variables!$H$240</f>
        <v>0</v>
      </c>
      <c r="K241" s="14">
        <f>dummy_variables!$I$240</f>
        <v>1</v>
      </c>
    </row>
    <row r="242" spans="1:11" ht="15" customHeight="1">
      <c r="A242" s="14">
        <f>cleaned_data!$M$241</f>
        <v>721079.35</v>
      </c>
      <c r="B242" s="14">
        <f>cleaned_data!$F$241</f>
        <v>9908</v>
      </c>
      <c r="C242" s="14">
        <f>cleaned_data!$E$241</f>
        <v>46495.4</v>
      </c>
      <c r="D242" s="14">
        <f>cleaned_data!$I$241</f>
        <v>89.4</v>
      </c>
      <c r="E242" s="14">
        <f>cleaned_data!$H$241</f>
        <v>22</v>
      </c>
      <c r="F242" s="14">
        <f>dummy_variables!$D$241</f>
        <v>0</v>
      </c>
      <c r="G242" s="14">
        <f>dummy_variables!$E$241</f>
        <v>1</v>
      </c>
      <c r="H242" s="14">
        <f>dummy_variables!$F$241</f>
        <v>0</v>
      </c>
      <c r="I242" s="14">
        <f>dummy_variables!$G$241</f>
        <v>0</v>
      </c>
      <c r="J242" s="14">
        <f>dummy_variables!$H$241</f>
        <v>0</v>
      </c>
      <c r="K242" s="14">
        <f>dummy_variables!$I$241</f>
        <v>1</v>
      </c>
    </row>
    <row r="243" spans="1:11" ht="15" customHeight="1">
      <c r="A243" s="14">
        <f>cleaned_data!$M$242</f>
        <v>810355.02</v>
      </c>
      <c r="B243" s="14">
        <f>cleaned_data!$F$242</f>
        <v>9996</v>
      </c>
      <c r="C243" s="14">
        <f>cleaned_data!$E$242</f>
        <v>72961.95</v>
      </c>
      <c r="D243" s="14">
        <f>cleaned_data!$I$242</f>
        <v>89.1</v>
      </c>
      <c r="E243" s="14">
        <f>cleaned_data!$H$242</f>
        <v>22</v>
      </c>
      <c r="F243" s="14">
        <f>dummy_variables!$D$242</f>
        <v>0</v>
      </c>
      <c r="G243" s="14">
        <f>dummy_variables!$E$242</f>
        <v>1</v>
      </c>
      <c r="H243" s="14">
        <f>dummy_variables!$F$242</f>
        <v>0</v>
      </c>
      <c r="I243" s="14">
        <f>dummy_variables!$G$242</f>
        <v>0</v>
      </c>
      <c r="J243" s="14">
        <f>dummy_variables!$H$242</f>
        <v>0</v>
      </c>
      <c r="K243" s="14">
        <f>dummy_variables!$I$242</f>
        <v>1</v>
      </c>
    </row>
    <row r="244" spans="1:11" ht="15" customHeight="1">
      <c r="A244" s="14">
        <f>cleaned_data!$M$243</f>
        <v>761919.25</v>
      </c>
      <c r="B244" s="14">
        <f>cleaned_data!$F$243</f>
        <v>9702</v>
      </c>
      <c r="C244" s="14">
        <f>cleaned_data!$E$243</f>
        <v>59060.05</v>
      </c>
      <c r="D244" s="14">
        <f>cleaned_data!$I$243</f>
        <v>80.900000000000006</v>
      </c>
      <c r="E244" s="14">
        <f>cleaned_data!$H$243</f>
        <v>23</v>
      </c>
      <c r="F244" s="14">
        <f>dummy_variables!$D$243</f>
        <v>0</v>
      </c>
      <c r="G244" s="14">
        <f>dummy_variables!$E$243</f>
        <v>1</v>
      </c>
      <c r="H244" s="14">
        <f>dummy_variables!$F$243</f>
        <v>0</v>
      </c>
      <c r="I244" s="14">
        <f>dummy_variables!$G$243</f>
        <v>0</v>
      </c>
      <c r="J244" s="14">
        <f>dummy_variables!$H$243</f>
        <v>0</v>
      </c>
      <c r="K244" s="14">
        <f>dummy_variables!$I$243</f>
        <v>1</v>
      </c>
    </row>
    <row r="245" spans="1:11" ht="15" customHeight="1">
      <c r="A245" s="14">
        <f>cleaned_data!$M$244</f>
        <v>737070.18</v>
      </c>
      <c r="B245" s="14">
        <f>cleaned_data!$F$244</f>
        <v>9314</v>
      </c>
      <c r="C245" s="14">
        <f>cleaned_data!$E$244</f>
        <v>26248.1</v>
      </c>
      <c r="D245" s="14">
        <f>cleaned_data!$I$244</f>
        <v>83.7</v>
      </c>
      <c r="E245" s="14">
        <f>cleaned_data!$H$244</f>
        <v>21</v>
      </c>
      <c r="F245" s="14">
        <f>dummy_variables!$D$244</f>
        <v>0</v>
      </c>
      <c r="G245" s="14">
        <f>dummy_variables!$E$244</f>
        <v>1</v>
      </c>
      <c r="H245" s="14">
        <f>dummy_variables!$F$244</f>
        <v>0</v>
      </c>
      <c r="I245" s="14">
        <f>dummy_variables!$G$244</f>
        <v>0</v>
      </c>
      <c r="J245" s="14">
        <f>dummy_variables!$H$244</f>
        <v>0</v>
      </c>
      <c r="K245" s="14">
        <f>dummy_variables!$I$244</f>
        <v>1</v>
      </c>
    </row>
    <row r="246" spans="1:11" ht="15" customHeight="1">
      <c r="A246" s="14">
        <f>cleaned_data!$M$245</f>
        <v>776992.93</v>
      </c>
      <c r="B246" s="14">
        <f>cleaned_data!$F$245</f>
        <v>8055</v>
      </c>
      <c r="C246" s="14">
        <f>cleaned_data!$E$245</f>
        <v>69900.12</v>
      </c>
      <c r="D246" s="14">
        <f>cleaned_data!$I$245</f>
        <v>85.6</v>
      </c>
      <c r="E246" s="14">
        <f>cleaned_data!$H$245</f>
        <v>22</v>
      </c>
      <c r="F246" s="14">
        <f>dummy_variables!$D$245</f>
        <v>1</v>
      </c>
      <c r="G246" s="14">
        <f>dummy_variables!$E$245</f>
        <v>0</v>
      </c>
      <c r="H246" s="14">
        <f>dummy_variables!$F$245</f>
        <v>0</v>
      </c>
      <c r="I246" s="14">
        <f>dummy_variables!$G$245</f>
        <v>0</v>
      </c>
      <c r="J246" s="14">
        <f>dummy_variables!$H$245</f>
        <v>1</v>
      </c>
      <c r="K246" s="14">
        <f>dummy_variables!$I$245</f>
        <v>0</v>
      </c>
    </row>
    <row r="247" spans="1:11" ht="15" customHeight="1">
      <c r="A247" s="14">
        <f>cleaned_data!$M$246</f>
        <v>676337.41</v>
      </c>
      <c r="B247" s="14">
        <f>cleaned_data!$F$246</f>
        <v>5648</v>
      </c>
      <c r="C247" s="14">
        <f>cleaned_data!$E$246</f>
        <v>51781.599999999999</v>
      </c>
      <c r="D247" s="14">
        <f>cleaned_data!$I$246</f>
        <v>85.5</v>
      </c>
      <c r="E247" s="14">
        <f>cleaned_data!$H$246</f>
        <v>13</v>
      </c>
      <c r="F247" s="14">
        <f>dummy_variables!$D$246</f>
        <v>1</v>
      </c>
      <c r="G247" s="14">
        <f>dummy_variables!$E$246</f>
        <v>0</v>
      </c>
      <c r="H247" s="14">
        <f>dummy_variables!$F$246</f>
        <v>0</v>
      </c>
      <c r="I247" s="14">
        <f>dummy_variables!$G$246</f>
        <v>0</v>
      </c>
      <c r="J247" s="14">
        <f>dummy_variables!$H$246</f>
        <v>1</v>
      </c>
      <c r="K247" s="14">
        <f>dummy_variables!$I$246</f>
        <v>0</v>
      </c>
    </row>
    <row r="248" spans="1:11" ht="15" customHeight="1">
      <c r="A248" s="14">
        <f>cleaned_data!$M$247</f>
        <v>828219.67</v>
      </c>
      <c r="B248" s="14">
        <f>cleaned_data!$F$247</f>
        <v>10076</v>
      </c>
      <c r="C248" s="14">
        <f>cleaned_data!$E$247</f>
        <v>70799.64</v>
      </c>
      <c r="D248" s="14">
        <f>cleaned_data!$I$247</f>
        <v>84.8</v>
      </c>
      <c r="E248" s="14">
        <f>cleaned_data!$H$247</f>
        <v>24</v>
      </c>
      <c r="F248" s="14">
        <f>dummy_variables!$D$247</f>
        <v>1</v>
      </c>
      <c r="G248" s="14">
        <f>dummy_variables!$E$247</f>
        <v>0</v>
      </c>
      <c r="H248" s="14">
        <f>dummy_variables!$F$247</f>
        <v>0</v>
      </c>
      <c r="I248" s="14">
        <f>dummy_variables!$G$247</f>
        <v>0</v>
      </c>
      <c r="J248" s="14">
        <f>dummy_variables!$H$247</f>
        <v>1</v>
      </c>
      <c r="K248" s="14">
        <f>dummy_variables!$I$247</f>
        <v>0</v>
      </c>
    </row>
    <row r="249" spans="1:11" ht="15" customHeight="1">
      <c r="A249" s="14">
        <f>cleaned_data!$M$248</f>
        <v>763159.92</v>
      </c>
      <c r="B249" s="14">
        <f>cleaned_data!$F$248</f>
        <v>8004</v>
      </c>
      <c r="C249" s="14">
        <f>cleaned_data!$E$248</f>
        <v>53546.34</v>
      </c>
      <c r="D249" s="14">
        <f>cleaned_data!$I$248</f>
        <v>95.2</v>
      </c>
      <c r="E249" s="14">
        <f>cleaned_data!$H$248</f>
        <v>21</v>
      </c>
      <c r="F249" s="14">
        <f>dummy_variables!$D$248</f>
        <v>1</v>
      </c>
      <c r="G249" s="14">
        <f>dummy_variables!$E$248</f>
        <v>0</v>
      </c>
      <c r="H249" s="14">
        <f>dummy_variables!$F$248</f>
        <v>0</v>
      </c>
      <c r="I249" s="14">
        <f>dummy_variables!$G$248</f>
        <v>0</v>
      </c>
      <c r="J249" s="14">
        <f>dummy_variables!$H$248</f>
        <v>1</v>
      </c>
      <c r="K249" s="14">
        <f>dummy_variables!$I$248</f>
        <v>0</v>
      </c>
    </row>
    <row r="250" spans="1:11" ht="15" customHeight="1">
      <c r="A250" s="14">
        <f>cleaned_data!$M$249</f>
        <v>802001.68</v>
      </c>
      <c r="B250" s="14">
        <f>cleaned_data!$F$249</f>
        <v>8934</v>
      </c>
      <c r="C250" s="14">
        <f>cleaned_data!$E$249</f>
        <v>76942.2</v>
      </c>
      <c r="D250" s="14">
        <f>cleaned_data!$I$249</f>
        <v>91</v>
      </c>
      <c r="E250" s="14">
        <f>cleaned_data!$H$249</f>
        <v>20</v>
      </c>
      <c r="F250" s="14">
        <f>dummy_variables!$D$249</f>
        <v>0</v>
      </c>
      <c r="G250" s="14">
        <f>dummy_variables!$E$249</f>
        <v>0</v>
      </c>
      <c r="H250" s="14">
        <f>dummy_variables!$F$249</f>
        <v>0</v>
      </c>
      <c r="I250" s="14">
        <f>dummy_variables!$G$249</f>
        <v>0</v>
      </c>
      <c r="J250" s="14">
        <f>dummy_variables!$H$249</f>
        <v>0</v>
      </c>
      <c r="K250" s="14">
        <f>dummy_variables!$I$249</f>
        <v>0</v>
      </c>
    </row>
    <row r="251" spans="1:11" ht="15" customHeight="1">
      <c r="A251" s="14">
        <f>cleaned_data!$M$250</f>
        <v>750471.34</v>
      </c>
      <c r="B251" s="14">
        <f>cleaned_data!$F$250</f>
        <v>8733</v>
      </c>
      <c r="C251" s="14">
        <f>cleaned_data!$E$250</f>
        <v>48060.78</v>
      </c>
      <c r="D251" s="14">
        <f>cleaned_data!$I$250</f>
        <v>89.9</v>
      </c>
      <c r="E251" s="14">
        <f>cleaned_data!$H$250</f>
        <v>20</v>
      </c>
      <c r="F251" s="14">
        <f>dummy_variables!$D$250</f>
        <v>0</v>
      </c>
      <c r="G251" s="14">
        <f>dummy_variables!$E$250</f>
        <v>0</v>
      </c>
      <c r="H251" s="14">
        <f>dummy_variables!$F$250</f>
        <v>0</v>
      </c>
      <c r="I251" s="14">
        <f>dummy_variables!$G$250</f>
        <v>0</v>
      </c>
      <c r="J251" s="14">
        <f>dummy_variables!$H$250</f>
        <v>0</v>
      </c>
      <c r="K251" s="14">
        <f>dummy_variables!$I$250</f>
        <v>0</v>
      </c>
    </row>
    <row r="252" spans="1:11" ht="15" customHeight="1">
      <c r="A252" s="14">
        <f>cleaned_data!$M$251</f>
        <v>679230.86</v>
      </c>
      <c r="B252" s="14">
        <f>cleaned_data!$F$251</f>
        <v>7374</v>
      </c>
      <c r="C252" s="14">
        <f>cleaned_data!$E$251</f>
        <v>57390.04</v>
      </c>
      <c r="D252" s="14">
        <f>cleaned_data!$I$251</f>
        <v>91.8</v>
      </c>
      <c r="E252" s="14">
        <f>cleaned_data!$H$251</f>
        <v>21</v>
      </c>
      <c r="F252" s="14">
        <f>dummy_variables!$D$251</f>
        <v>0</v>
      </c>
      <c r="G252" s="14">
        <f>dummy_variables!$E$251</f>
        <v>0</v>
      </c>
      <c r="H252" s="14">
        <f>dummy_variables!$F$251</f>
        <v>0</v>
      </c>
      <c r="I252" s="14">
        <f>dummy_variables!$G$251</f>
        <v>0</v>
      </c>
      <c r="J252" s="14">
        <f>dummy_variables!$H$251</f>
        <v>0</v>
      </c>
      <c r="K252" s="14">
        <f>dummy_variables!$I$251</f>
        <v>0</v>
      </c>
    </row>
    <row r="253" spans="1:11" ht="15" customHeight="1">
      <c r="A253" s="14">
        <f>cleaned_data!$M$252</f>
        <v>679888.74</v>
      </c>
      <c r="B253" s="14">
        <f>cleaned_data!$F$252</f>
        <v>8119</v>
      </c>
      <c r="C253" s="14">
        <f>cleaned_data!$E$252</f>
        <v>21536.18</v>
      </c>
      <c r="D253" s="14">
        <f>cleaned_data!$I$252</f>
        <v>90.4</v>
      </c>
      <c r="E253" s="14">
        <f>cleaned_data!$H$252</f>
        <v>20</v>
      </c>
      <c r="F253" s="14">
        <f>dummy_variables!$D$252</f>
        <v>0</v>
      </c>
      <c r="G253" s="14">
        <f>dummy_variables!$E$252</f>
        <v>0</v>
      </c>
      <c r="H253" s="14">
        <f>dummy_variables!$F$252</f>
        <v>0</v>
      </c>
      <c r="I253" s="14">
        <f>dummy_variables!$G$252</f>
        <v>0</v>
      </c>
      <c r="J253" s="14">
        <f>dummy_variables!$H$252</f>
        <v>0</v>
      </c>
      <c r="K253" s="14">
        <f>dummy_variables!$I$252</f>
        <v>0</v>
      </c>
    </row>
    <row r="254" spans="1:11" ht="15" customHeight="1">
      <c r="A254" s="14">
        <f>cleaned_data!$M$253</f>
        <v>606783.67000000004</v>
      </c>
      <c r="B254" s="14">
        <f>cleaned_data!$F$253</f>
        <v>3875</v>
      </c>
      <c r="C254" s="14">
        <f>cleaned_data!$E$253</f>
        <v>40923.67</v>
      </c>
      <c r="D254" s="14">
        <f>cleaned_data!$I$253</f>
        <v>96.1</v>
      </c>
      <c r="E254" s="14">
        <f>cleaned_data!$H$253</f>
        <v>10</v>
      </c>
      <c r="F254" s="14">
        <f>dummy_variables!$D$253</f>
        <v>0</v>
      </c>
      <c r="G254" s="14">
        <f>dummy_variables!$E$253</f>
        <v>0</v>
      </c>
      <c r="H254" s="14">
        <f>dummy_variables!$F$253</f>
        <v>0</v>
      </c>
      <c r="I254" s="14">
        <f>dummy_variables!$G$253</f>
        <v>1</v>
      </c>
      <c r="J254" s="14">
        <f>dummy_variables!$H$253</f>
        <v>0</v>
      </c>
      <c r="K254" s="14">
        <f>dummy_variables!$I$253</f>
        <v>0</v>
      </c>
    </row>
    <row r="255" spans="1:11" ht="15" customHeight="1">
      <c r="A255" s="14">
        <f>cleaned_data!$M$254</f>
        <v>642751.42000000004</v>
      </c>
      <c r="B255" s="14">
        <f>cleaned_data!$F$254</f>
        <v>5765</v>
      </c>
      <c r="C255" s="14">
        <f>cleaned_data!$E$254</f>
        <v>72932.55</v>
      </c>
      <c r="D255" s="14">
        <f>cleaned_data!$I$254</f>
        <v>81.8</v>
      </c>
      <c r="E255" s="14">
        <f>cleaned_data!$H$254</f>
        <v>17</v>
      </c>
      <c r="F255" s="14">
        <f>dummy_variables!$D$254</f>
        <v>0</v>
      </c>
      <c r="G255" s="14">
        <f>dummy_variables!$E$254</f>
        <v>0</v>
      </c>
      <c r="H255" s="14">
        <f>dummy_variables!$F$254</f>
        <v>0</v>
      </c>
      <c r="I255" s="14">
        <f>dummy_variables!$G$254</f>
        <v>1</v>
      </c>
      <c r="J255" s="14">
        <f>dummy_variables!$H$254</f>
        <v>0</v>
      </c>
      <c r="K255" s="14">
        <f>dummy_variables!$I$254</f>
        <v>0</v>
      </c>
    </row>
    <row r="256" spans="1:11" ht="15" customHeight="1">
      <c r="A256" s="14">
        <f>cleaned_data!$M$255</f>
        <v>647953.78</v>
      </c>
      <c r="B256" s="14">
        <f>cleaned_data!$F$255</f>
        <v>6322</v>
      </c>
      <c r="C256" s="14">
        <f>cleaned_data!$E$255</f>
        <v>38361.93</v>
      </c>
      <c r="D256" s="14">
        <f>cleaned_data!$I$255</f>
        <v>88.4</v>
      </c>
      <c r="E256" s="14">
        <f>cleaned_data!$H$255</f>
        <v>15</v>
      </c>
      <c r="F256" s="14">
        <f>dummy_variables!$D$255</f>
        <v>0</v>
      </c>
      <c r="G256" s="14">
        <f>dummy_variables!$E$255</f>
        <v>0</v>
      </c>
      <c r="H256" s="14">
        <f>dummy_variables!$F$255</f>
        <v>0</v>
      </c>
      <c r="I256" s="14">
        <f>dummy_variables!$G$255</f>
        <v>1</v>
      </c>
      <c r="J256" s="14">
        <f>dummy_variables!$H$255</f>
        <v>0</v>
      </c>
      <c r="K256" s="14">
        <f>dummy_variables!$I$255</f>
        <v>0</v>
      </c>
    </row>
    <row r="257" spans="1:11" ht="15" customHeight="1">
      <c r="A257" s="14">
        <f>cleaned_data!$M$256</f>
        <v>729440.45</v>
      </c>
      <c r="B257" s="14">
        <f>cleaned_data!$F$256</f>
        <v>6840</v>
      </c>
      <c r="C257" s="14">
        <f>cleaned_data!$E$256</f>
        <v>97480.94</v>
      </c>
      <c r="D257" s="14">
        <f>cleaned_data!$I$256</f>
        <v>79.2</v>
      </c>
      <c r="E257" s="14">
        <f>cleaned_data!$H$256</f>
        <v>14</v>
      </c>
      <c r="F257" s="14">
        <f>dummy_variables!$D$256</f>
        <v>0</v>
      </c>
      <c r="G257" s="14">
        <f>dummy_variables!$E$256</f>
        <v>0</v>
      </c>
      <c r="H257" s="14">
        <f>dummy_variables!$F$256</f>
        <v>0</v>
      </c>
      <c r="I257" s="14">
        <f>dummy_variables!$G$256</f>
        <v>1</v>
      </c>
      <c r="J257" s="14">
        <f>dummy_variables!$H$256</f>
        <v>0</v>
      </c>
      <c r="K257" s="14">
        <f>dummy_variables!$I$256</f>
        <v>0</v>
      </c>
    </row>
    <row r="258" spans="1:11" ht="15" customHeight="1">
      <c r="A258" s="14">
        <f>cleaned_data!$M$257</f>
        <v>764949</v>
      </c>
      <c r="B258" s="14">
        <f>cleaned_data!$F$257</f>
        <v>6782</v>
      </c>
      <c r="C258" s="14">
        <f>cleaned_data!$E$257</f>
        <v>81801.8</v>
      </c>
      <c r="D258" s="14">
        <f>cleaned_data!$I$257</f>
        <v>99</v>
      </c>
      <c r="E258" s="14">
        <f>cleaned_data!$H$257</f>
        <v>16</v>
      </c>
      <c r="F258" s="14">
        <f>dummy_variables!$D$257</f>
        <v>1</v>
      </c>
      <c r="G258" s="14">
        <f>dummy_variables!$E$257</f>
        <v>0</v>
      </c>
      <c r="H258" s="14">
        <f>dummy_variables!$F$257</f>
        <v>0</v>
      </c>
      <c r="I258" s="14">
        <f>dummy_variables!$G$257</f>
        <v>0</v>
      </c>
      <c r="J258" s="14">
        <f>dummy_variables!$H$257</f>
        <v>1</v>
      </c>
      <c r="K258" s="14">
        <f>dummy_variables!$I$257</f>
        <v>0</v>
      </c>
    </row>
    <row r="259" spans="1:11" ht="15" customHeight="1">
      <c r="A259" s="14">
        <f>cleaned_data!$M$258</f>
        <v>799046.94</v>
      </c>
      <c r="B259" s="14">
        <f>cleaned_data!$F$258</f>
        <v>6856</v>
      </c>
      <c r="C259" s="14">
        <f>cleaned_data!$E$258</f>
        <v>63582.11</v>
      </c>
      <c r="D259" s="14">
        <f>cleaned_data!$I$258</f>
        <v>89.5</v>
      </c>
      <c r="E259" s="14">
        <f>cleaned_data!$H$258</f>
        <v>17</v>
      </c>
      <c r="F259" s="14">
        <f>dummy_variables!$D$258</f>
        <v>1</v>
      </c>
      <c r="G259" s="14">
        <f>dummy_variables!$E$258</f>
        <v>0</v>
      </c>
      <c r="H259" s="14">
        <f>dummy_variables!$F$258</f>
        <v>0</v>
      </c>
      <c r="I259" s="14">
        <f>dummy_variables!$G$258</f>
        <v>0</v>
      </c>
      <c r="J259" s="14">
        <f>dummy_variables!$H$258</f>
        <v>1</v>
      </c>
      <c r="K259" s="14">
        <f>dummy_variables!$I$258</f>
        <v>0</v>
      </c>
    </row>
    <row r="260" spans="1:11" ht="15" customHeight="1">
      <c r="A260" s="14">
        <f>cleaned_data!$M$259</f>
        <v>720079.54</v>
      </c>
      <c r="B260" s="14">
        <f>cleaned_data!$F$259</f>
        <v>5641</v>
      </c>
      <c r="C260" s="14">
        <f>cleaned_data!$E$259</f>
        <v>75412.740000000005</v>
      </c>
      <c r="D260" s="14">
        <f>cleaned_data!$I$259</f>
        <v>87.9</v>
      </c>
      <c r="E260" s="14">
        <f>cleaned_data!$H$259</f>
        <v>13</v>
      </c>
      <c r="F260" s="14">
        <f>dummy_variables!$D$259</f>
        <v>1</v>
      </c>
      <c r="G260" s="14">
        <f>dummy_variables!$E$259</f>
        <v>0</v>
      </c>
      <c r="H260" s="14">
        <f>dummy_variables!$F$259</f>
        <v>0</v>
      </c>
      <c r="I260" s="14">
        <f>dummy_variables!$G$259</f>
        <v>0</v>
      </c>
      <c r="J260" s="14">
        <f>dummy_variables!$H$259</f>
        <v>1</v>
      </c>
      <c r="K260" s="14">
        <f>dummy_variables!$I$259</f>
        <v>0</v>
      </c>
    </row>
    <row r="261" spans="1:11" ht="15" customHeight="1">
      <c r="A261" s="14">
        <f>cleaned_data!$M$260</f>
        <v>612390.14</v>
      </c>
      <c r="B261" s="14">
        <f>cleaned_data!$F$260</f>
        <v>5787</v>
      </c>
      <c r="C261" s="14">
        <f>cleaned_data!$E$260</f>
        <v>36290.080000000002</v>
      </c>
      <c r="D261" s="14">
        <f>cleaned_data!$I$260</f>
        <v>88.3</v>
      </c>
      <c r="E261" s="14">
        <f>cleaned_data!$H$260</f>
        <v>17</v>
      </c>
      <c r="F261" s="14">
        <f>dummy_variables!$D$260</f>
        <v>1</v>
      </c>
      <c r="G261" s="14">
        <f>dummy_variables!$E$260</f>
        <v>0</v>
      </c>
      <c r="H261" s="14">
        <f>dummy_variables!$F$260</f>
        <v>0</v>
      </c>
      <c r="I261" s="14">
        <f>dummy_variables!$G$260</f>
        <v>0</v>
      </c>
      <c r="J261" s="14">
        <f>dummy_variables!$H$260</f>
        <v>1</v>
      </c>
      <c r="K261" s="14">
        <f>dummy_variables!$I$260</f>
        <v>0</v>
      </c>
    </row>
    <row r="262" spans="1:11" ht="15" customHeight="1">
      <c r="A262" s="14">
        <f>cleaned_data!$M$261</f>
        <v>840108.12</v>
      </c>
      <c r="B262" s="14">
        <f>cleaned_data!$F$261</f>
        <v>8165</v>
      </c>
      <c r="C262" s="14">
        <f>cleaned_data!$E$261</f>
        <v>65272.58</v>
      </c>
      <c r="D262" s="14">
        <f>cleaned_data!$I$261</f>
        <v>87.8</v>
      </c>
      <c r="E262" s="14">
        <f>cleaned_data!$H$261</f>
        <v>19</v>
      </c>
      <c r="F262" s="14">
        <f>dummy_variables!$D$261</f>
        <v>0</v>
      </c>
      <c r="G262" s="14">
        <f>dummy_variables!$E$261</f>
        <v>1</v>
      </c>
      <c r="H262" s="14">
        <f>dummy_variables!$F$261</f>
        <v>0</v>
      </c>
      <c r="I262" s="14">
        <f>dummy_variables!$G$261</f>
        <v>0</v>
      </c>
      <c r="J262" s="14">
        <f>dummy_variables!$H$261</f>
        <v>1</v>
      </c>
      <c r="K262" s="14">
        <f>dummy_variables!$I$261</f>
        <v>0</v>
      </c>
    </row>
    <row r="263" spans="1:11" ht="15" customHeight="1">
      <c r="A263" s="14">
        <f>cleaned_data!$M$262</f>
        <v>697888.09</v>
      </c>
      <c r="B263" s="14">
        <f>cleaned_data!$F$262</f>
        <v>7574</v>
      </c>
      <c r="C263" s="14">
        <f>cleaned_data!$E$262</f>
        <v>28670.43</v>
      </c>
      <c r="D263" s="14">
        <f>cleaned_data!$I$262</f>
        <v>82.7</v>
      </c>
      <c r="E263" s="14">
        <f>cleaned_data!$H$262</f>
        <v>19</v>
      </c>
      <c r="F263" s="14">
        <f>dummy_variables!$D$262</f>
        <v>0</v>
      </c>
      <c r="G263" s="14">
        <f>dummy_variables!$E$262</f>
        <v>1</v>
      </c>
      <c r="H263" s="14">
        <f>dummy_variables!$F$262</f>
        <v>0</v>
      </c>
      <c r="I263" s="14">
        <f>dummy_variables!$G$262</f>
        <v>0</v>
      </c>
      <c r="J263" s="14">
        <f>dummy_variables!$H$262</f>
        <v>1</v>
      </c>
      <c r="K263" s="14">
        <f>dummy_variables!$I$262</f>
        <v>0</v>
      </c>
    </row>
    <row r="264" spans="1:11" ht="15" customHeight="1">
      <c r="A264" s="14">
        <f>cleaned_data!$M$263</f>
        <v>746115.59</v>
      </c>
      <c r="B264" s="14">
        <f>cleaned_data!$F$263</f>
        <v>8634</v>
      </c>
      <c r="C264" s="14">
        <f>cleaned_data!$E$263</f>
        <v>44189.34</v>
      </c>
      <c r="D264" s="14">
        <f>cleaned_data!$I$263</f>
        <v>87.5</v>
      </c>
      <c r="E264" s="14">
        <f>cleaned_data!$H$263</f>
        <v>19</v>
      </c>
      <c r="F264" s="14">
        <f>dummy_variables!$D$263</f>
        <v>0</v>
      </c>
      <c r="G264" s="14">
        <f>dummy_variables!$E$263</f>
        <v>1</v>
      </c>
      <c r="H264" s="14">
        <f>dummy_variables!$F$263</f>
        <v>0</v>
      </c>
      <c r="I264" s="14">
        <f>dummy_variables!$G$263</f>
        <v>0</v>
      </c>
      <c r="J264" s="14">
        <f>dummy_variables!$H$263</f>
        <v>1</v>
      </c>
      <c r="K264" s="14">
        <f>dummy_variables!$I$263</f>
        <v>0</v>
      </c>
    </row>
    <row r="265" spans="1:11" ht="15" customHeight="1">
      <c r="A265" s="14">
        <f>cleaned_data!$M$264</f>
        <v>776110.32</v>
      </c>
      <c r="B265" s="14">
        <f>cleaned_data!$F$264</f>
        <v>7836</v>
      </c>
      <c r="C265" s="14">
        <f>cleaned_data!$E$264</f>
        <v>38397.82</v>
      </c>
      <c r="D265" s="14">
        <f>cleaned_data!$I$264</f>
        <v>92.2</v>
      </c>
      <c r="E265" s="14">
        <f>cleaned_data!$H$264</f>
        <v>21</v>
      </c>
      <c r="F265" s="14">
        <f>dummy_variables!$D$264</f>
        <v>0</v>
      </c>
      <c r="G265" s="14">
        <f>dummy_variables!$E$264</f>
        <v>1</v>
      </c>
      <c r="H265" s="14">
        <f>dummy_variables!$F$264</f>
        <v>0</v>
      </c>
      <c r="I265" s="14">
        <f>dummy_variables!$G$264</f>
        <v>0</v>
      </c>
      <c r="J265" s="14">
        <f>dummy_variables!$H$264</f>
        <v>1</v>
      </c>
      <c r="K265" s="14">
        <f>dummy_variables!$I$264</f>
        <v>0</v>
      </c>
    </row>
    <row r="266" spans="1:11" ht="15" customHeight="1">
      <c r="A266" s="14">
        <f>cleaned_data!$M$265</f>
        <v>528852.62</v>
      </c>
      <c r="B266" s="14">
        <f>cleaned_data!$F$265</f>
        <v>3047</v>
      </c>
      <c r="C266" s="14">
        <f>cleaned_data!$E$265</f>
        <v>14519.37</v>
      </c>
      <c r="D266" s="14">
        <f>cleaned_data!$I$265</f>
        <v>90.3</v>
      </c>
      <c r="E266" s="14">
        <f>cleaned_data!$H$265</f>
        <v>10</v>
      </c>
      <c r="F266" s="14">
        <f>dummy_variables!$D$265</f>
        <v>0</v>
      </c>
      <c r="G266" s="14">
        <f>dummy_variables!$E$265</f>
        <v>0</v>
      </c>
      <c r="H266" s="14">
        <f>dummy_variables!$F$265</f>
        <v>0</v>
      </c>
      <c r="I266" s="14">
        <f>dummy_variables!$G$265</f>
        <v>0</v>
      </c>
      <c r="J266" s="14">
        <f>dummy_variables!$H$265</f>
        <v>0</v>
      </c>
      <c r="K266" s="14">
        <f>dummy_variables!$I$265</f>
        <v>1</v>
      </c>
    </row>
    <row r="267" spans="1:11" ht="15" customHeight="1">
      <c r="A267" s="14">
        <f>cleaned_data!$M$266</f>
        <v>605751.32999999996</v>
      </c>
      <c r="B267" s="14">
        <f>cleaned_data!$F$266</f>
        <v>4783</v>
      </c>
      <c r="C267" s="14">
        <f>cleaned_data!$E$266</f>
        <v>43288.2</v>
      </c>
      <c r="D267" s="14">
        <f>cleaned_data!$I$266</f>
        <v>87.3</v>
      </c>
      <c r="E267" s="14">
        <f>cleaned_data!$H$266</f>
        <v>13</v>
      </c>
      <c r="F267" s="14">
        <f>dummy_variables!$D$266</f>
        <v>0</v>
      </c>
      <c r="G267" s="14">
        <f>dummy_variables!$E$266</f>
        <v>0</v>
      </c>
      <c r="H267" s="14">
        <f>dummy_variables!$F$266</f>
        <v>0</v>
      </c>
      <c r="I267" s="14">
        <f>dummy_variables!$G$266</f>
        <v>0</v>
      </c>
      <c r="J267" s="14">
        <f>dummy_variables!$H$266</f>
        <v>0</v>
      </c>
      <c r="K267" s="14">
        <f>dummy_variables!$I$266</f>
        <v>1</v>
      </c>
    </row>
    <row r="268" spans="1:11" ht="15" customHeight="1">
      <c r="A268" s="14">
        <f>cleaned_data!$M$267</f>
        <v>677640.65</v>
      </c>
      <c r="B268" s="14">
        <f>cleaned_data!$F$267</f>
        <v>4902</v>
      </c>
      <c r="C268" s="14">
        <f>cleaned_data!$E$267</f>
        <v>51450.55</v>
      </c>
      <c r="D268" s="14">
        <f>cleaned_data!$I$267</f>
        <v>83.7</v>
      </c>
      <c r="E268" s="14">
        <f>cleaned_data!$H$267</f>
        <v>11</v>
      </c>
      <c r="F268" s="14">
        <f>dummy_variables!$D$267</f>
        <v>0</v>
      </c>
      <c r="G268" s="14">
        <f>dummy_variables!$E$267</f>
        <v>0</v>
      </c>
      <c r="H268" s="14">
        <f>dummy_variables!$F$267</f>
        <v>0</v>
      </c>
      <c r="I268" s="14">
        <f>dummy_variables!$G$267</f>
        <v>0</v>
      </c>
      <c r="J268" s="14">
        <f>dummy_variables!$H$267</f>
        <v>0</v>
      </c>
      <c r="K268" s="14">
        <f>dummy_variables!$I$267</f>
        <v>1</v>
      </c>
    </row>
    <row r="269" spans="1:11" ht="15" customHeight="1">
      <c r="A269" s="14">
        <f>cleaned_data!$M$268</f>
        <v>636613.23</v>
      </c>
      <c r="B269" s="14">
        <f>cleaned_data!$F$268</f>
        <v>4022</v>
      </c>
      <c r="C269" s="14">
        <f>cleaned_data!$E$268</f>
        <v>58688.26</v>
      </c>
      <c r="D269" s="14">
        <f>cleaned_data!$I$268</f>
        <v>93.8</v>
      </c>
      <c r="E269" s="14">
        <f>cleaned_data!$H$268</f>
        <v>12</v>
      </c>
      <c r="F269" s="14">
        <f>dummy_variables!$D$268</f>
        <v>0</v>
      </c>
      <c r="G269" s="14">
        <f>dummy_variables!$E$268</f>
        <v>0</v>
      </c>
      <c r="H269" s="14">
        <f>dummy_variables!$F$268</f>
        <v>0</v>
      </c>
      <c r="I269" s="14">
        <f>dummy_variables!$G$268</f>
        <v>0</v>
      </c>
      <c r="J269" s="14">
        <f>dummy_variables!$H$268</f>
        <v>0</v>
      </c>
      <c r="K269" s="14">
        <f>dummy_variables!$I$268</f>
        <v>1</v>
      </c>
    </row>
    <row r="270" spans="1:11" ht="15" customHeight="1">
      <c r="A270" s="14">
        <f>cleaned_data!$M$269</f>
        <v>708985.19</v>
      </c>
      <c r="B270" s="14">
        <f>cleaned_data!$F$269</f>
        <v>7324</v>
      </c>
      <c r="C270" s="14">
        <f>cleaned_data!$E$269</f>
        <v>58981.91</v>
      </c>
      <c r="D270" s="14">
        <f>cleaned_data!$I$269</f>
        <v>95.8</v>
      </c>
      <c r="E270" s="14">
        <f>cleaned_data!$H$269</f>
        <v>15</v>
      </c>
      <c r="F270" s="14">
        <f>dummy_variables!$D$269</f>
        <v>0</v>
      </c>
      <c r="G270" s="14">
        <f>dummy_variables!$E$269</f>
        <v>0</v>
      </c>
      <c r="H270" s="14">
        <f>dummy_variables!$F$269</f>
        <v>0</v>
      </c>
      <c r="I270" s="14">
        <f>dummy_variables!$G$269</f>
        <v>0</v>
      </c>
      <c r="J270" s="14">
        <f>dummy_variables!$H$269</f>
        <v>0</v>
      </c>
      <c r="K270" s="14">
        <f>dummy_variables!$I$269</f>
        <v>0</v>
      </c>
    </row>
    <row r="271" spans="1:11" ht="15" customHeight="1">
      <c r="A271" s="14">
        <f>cleaned_data!$M$270</f>
        <v>767792.94</v>
      </c>
      <c r="B271" s="14">
        <f>cleaned_data!$F$270</f>
        <v>8129</v>
      </c>
      <c r="C271" s="14">
        <f>cleaned_data!$E$270</f>
        <v>73454.539999999994</v>
      </c>
      <c r="D271" s="14">
        <f>cleaned_data!$I$270</f>
        <v>85.2</v>
      </c>
      <c r="E271" s="14">
        <f>cleaned_data!$H$270</f>
        <v>20</v>
      </c>
      <c r="F271" s="14">
        <f>dummy_variables!$D$270</f>
        <v>0</v>
      </c>
      <c r="G271" s="14">
        <f>dummy_variables!$E$270</f>
        <v>0</v>
      </c>
      <c r="H271" s="14">
        <f>dummy_variables!$F$270</f>
        <v>0</v>
      </c>
      <c r="I271" s="14">
        <f>dummy_variables!$G$270</f>
        <v>0</v>
      </c>
      <c r="J271" s="14">
        <f>dummy_variables!$H$270</f>
        <v>0</v>
      </c>
      <c r="K271" s="14">
        <f>dummy_variables!$I$270</f>
        <v>0</v>
      </c>
    </row>
    <row r="272" spans="1:11" ht="15" customHeight="1">
      <c r="A272" s="14">
        <f>cleaned_data!$M$271</f>
        <v>745580.51</v>
      </c>
      <c r="B272" s="14">
        <f>cleaned_data!$F$271</f>
        <v>7969</v>
      </c>
      <c r="C272" s="14">
        <f>cleaned_data!$E$271</f>
        <v>56602.39</v>
      </c>
      <c r="D272" s="14">
        <f>cleaned_data!$I$271</f>
        <v>88.3</v>
      </c>
      <c r="E272" s="14">
        <f>cleaned_data!$H$271</f>
        <v>21</v>
      </c>
      <c r="F272" s="14">
        <f>dummy_variables!$D$271</f>
        <v>0</v>
      </c>
      <c r="G272" s="14">
        <f>dummy_variables!$E$271</f>
        <v>0</v>
      </c>
      <c r="H272" s="14">
        <f>dummy_variables!$F$271</f>
        <v>0</v>
      </c>
      <c r="I272" s="14">
        <f>dummy_variables!$G$271</f>
        <v>0</v>
      </c>
      <c r="J272" s="14">
        <f>dummy_variables!$H$271</f>
        <v>0</v>
      </c>
      <c r="K272" s="14">
        <f>dummy_variables!$I$271</f>
        <v>0</v>
      </c>
    </row>
    <row r="273" spans="1:11" ht="15" customHeight="1">
      <c r="A273" s="14">
        <f>cleaned_data!$M$272</f>
        <v>762328.31</v>
      </c>
      <c r="B273" s="14">
        <f>cleaned_data!$F$272</f>
        <v>7240</v>
      </c>
      <c r="C273" s="14">
        <f>cleaned_data!$E$272</f>
        <v>67722.289999999994</v>
      </c>
      <c r="D273" s="14">
        <f>cleaned_data!$I$272</f>
        <v>92.9</v>
      </c>
      <c r="E273" s="14">
        <f>cleaned_data!$H$272</f>
        <v>15</v>
      </c>
      <c r="F273" s="14">
        <f>dummy_variables!$D$272</f>
        <v>0</v>
      </c>
      <c r="G273" s="14">
        <f>dummy_variables!$E$272</f>
        <v>0</v>
      </c>
      <c r="H273" s="14">
        <f>dummy_variables!$F$272</f>
        <v>0</v>
      </c>
      <c r="I273" s="14">
        <f>dummy_variables!$G$272</f>
        <v>0</v>
      </c>
      <c r="J273" s="14">
        <f>dummy_variables!$H$272</f>
        <v>0</v>
      </c>
      <c r="K273" s="14">
        <f>dummy_variables!$I$272</f>
        <v>0</v>
      </c>
    </row>
    <row r="274" spans="1:11" ht="15" customHeight="1">
      <c r="A274" s="14">
        <f>cleaned_data!$M$273</f>
        <v>660633.99</v>
      </c>
      <c r="B274" s="14">
        <f>cleaned_data!$F$273</f>
        <v>8052</v>
      </c>
      <c r="C274" s="14">
        <f>cleaned_data!$E$273</f>
        <v>48752.92</v>
      </c>
      <c r="D274" s="14">
        <f>cleaned_data!$I$273</f>
        <v>94.9</v>
      </c>
      <c r="E274" s="14">
        <f>cleaned_data!$H$273</f>
        <v>16</v>
      </c>
      <c r="F274" s="14">
        <f>dummy_variables!$D$273</f>
        <v>0</v>
      </c>
      <c r="G274" s="14">
        <f>dummy_variables!$E$273</f>
        <v>1</v>
      </c>
      <c r="H274" s="14">
        <f>dummy_variables!$F$273</f>
        <v>0</v>
      </c>
      <c r="I274" s="14">
        <f>dummy_variables!$G$273</f>
        <v>0</v>
      </c>
      <c r="J274" s="14">
        <f>dummy_variables!$H$273</f>
        <v>0</v>
      </c>
      <c r="K274" s="14">
        <f>dummy_variables!$I$273</f>
        <v>0</v>
      </c>
    </row>
    <row r="275" spans="1:11" ht="15" customHeight="1">
      <c r="A275" s="14">
        <f>cleaned_data!$M$274</f>
        <v>739374.56</v>
      </c>
      <c r="B275" s="14">
        <f>cleaned_data!$F$274</f>
        <v>8018</v>
      </c>
      <c r="C275" s="14">
        <f>cleaned_data!$E$274</f>
        <v>23914.97</v>
      </c>
      <c r="D275" s="14">
        <f>cleaned_data!$I$274</f>
        <v>89</v>
      </c>
      <c r="E275" s="14">
        <f>cleaned_data!$H$274</f>
        <v>20</v>
      </c>
      <c r="F275" s="14">
        <f>dummy_variables!$D$274</f>
        <v>0</v>
      </c>
      <c r="G275" s="14">
        <f>dummy_variables!$E$274</f>
        <v>1</v>
      </c>
      <c r="H275" s="14">
        <f>dummy_variables!$F$274</f>
        <v>0</v>
      </c>
      <c r="I275" s="14">
        <f>dummy_variables!$G$274</f>
        <v>0</v>
      </c>
      <c r="J275" s="14">
        <f>dummy_variables!$H$274</f>
        <v>0</v>
      </c>
      <c r="K275" s="14">
        <f>dummy_variables!$I$274</f>
        <v>0</v>
      </c>
    </row>
    <row r="276" spans="1:11" ht="15" customHeight="1">
      <c r="A276" s="14">
        <f>cleaned_data!$M$275</f>
        <v>799756.46</v>
      </c>
      <c r="B276" s="14">
        <f>cleaned_data!$F$275</f>
        <v>10192</v>
      </c>
      <c r="C276" s="14">
        <f>cleaned_data!$E$275</f>
        <v>61995.3</v>
      </c>
      <c r="D276" s="14">
        <f>cleaned_data!$I$275</f>
        <v>87.6</v>
      </c>
      <c r="E276" s="14">
        <f>cleaned_data!$H$275</f>
        <v>21</v>
      </c>
      <c r="F276" s="14">
        <f>dummy_variables!$D$275</f>
        <v>0</v>
      </c>
      <c r="G276" s="14">
        <f>dummy_variables!$E$275</f>
        <v>1</v>
      </c>
      <c r="H276" s="14">
        <f>dummy_variables!$F$275</f>
        <v>0</v>
      </c>
      <c r="I276" s="14">
        <f>dummy_variables!$G$275</f>
        <v>0</v>
      </c>
      <c r="J276" s="14">
        <f>dummy_variables!$H$275</f>
        <v>0</v>
      </c>
      <c r="K276" s="14">
        <f>dummy_variables!$I$275</f>
        <v>0</v>
      </c>
    </row>
    <row r="277" spans="1:11" ht="15" customHeight="1">
      <c r="A277" s="14">
        <f>cleaned_data!$M$276</f>
        <v>593343</v>
      </c>
      <c r="B277" s="14">
        <f>cleaned_data!$F$276</f>
        <v>7446</v>
      </c>
      <c r="C277" s="14">
        <f>cleaned_data!$E$276</f>
        <v>29344.93</v>
      </c>
      <c r="D277" s="14">
        <f>cleaned_data!$I$276</f>
        <v>86.2</v>
      </c>
      <c r="E277" s="14">
        <f>cleaned_data!$H$276</f>
        <v>15</v>
      </c>
      <c r="F277" s="14">
        <f>dummy_variables!$D$276</f>
        <v>0</v>
      </c>
      <c r="G277" s="14">
        <f>dummy_variables!$E$276</f>
        <v>1</v>
      </c>
      <c r="H277" s="14">
        <f>dummy_variables!$F$276</f>
        <v>0</v>
      </c>
      <c r="I277" s="14">
        <f>dummy_variables!$G$276</f>
        <v>0</v>
      </c>
      <c r="J277" s="14">
        <f>dummy_variables!$H$276</f>
        <v>0</v>
      </c>
      <c r="K277" s="14">
        <f>dummy_variables!$I$276</f>
        <v>0</v>
      </c>
    </row>
    <row r="278" spans="1:11" ht="15" customHeight="1">
      <c r="A278" s="14">
        <f>cleaned_data!$M$277</f>
        <v>645039.97</v>
      </c>
      <c r="B278" s="14">
        <f>cleaned_data!$F$277</f>
        <v>5689</v>
      </c>
      <c r="C278" s="14">
        <f>cleaned_data!$E$277</f>
        <v>50532.17</v>
      </c>
      <c r="D278" s="14">
        <f>cleaned_data!$I$277</f>
        <v>85.6</v>
      </c>
      <c r="E278" s="14">
        <f>cleaned_data!$H$277</f>
        <v>17</v>
      </c>
      <c r="F278" s="14">
        <f>dummy_variables!$D$277</f>
        <v>0</v>
      </c>
      <c r="G278" s="14">
        <f>dummy_variables!$E$277</f>
        <v>0</v>
      </c>
      <c r="H278" s="14">
        <f>dummy_variables!$F$277</f>
        <v>0</v>
      </c>
      <c r="I278" s="14">
        <f>dummy_variables!$G$277</f>
        <v>0</v>
      </c>
      <c r="J278" s="14">
        <f>dummy_variables!$H$277</f>
        <v>0</v>
      </c>
      <c r="K278" s="14">
        <f>dummy_variables!$I$277</f>
        <v>1</v>
      </c>
    </row>
    <row r="279" spans="1:11" ht="15" customHeight="1">
      <c r="A279" s="14">
        <f>cleaned_data!$M$278</f>
        <v>561597.32999999996</v>
      </c>
      <c r="B279" s="14">
        <f>cleaned_data!$F$278</f>
        <v>3326</v>
      </c>
      <c r="C279" s="14">
        <f>cleaned_data!$E$278</f>
        <v>17562.57</v>
      </c>
      <c r="D279" s="14">
        <f>cleaned_data!$I$278</f>
        <v>88.1</v>
      </c>
      <c r="E279" s="14">
        <f>cleaned_data!$H$278</f>
        <v>14</v>
      </c>
      <c r="F279" s="14">
        <f>dummy_variables!$D$278</f>
        <v>0</v>
      </c>
      <c r="G279" s="14">
        <f>dummy_variables!$E$278</f>
        <v>0</v>
      </c>
      <c r="H279" s="14">
        <f>dummy_variables!$F$278</f>
        <v>0</v>
      </c>
      <c r="I279" s="14">
        <f>dummy_variables!$G$278</f>
        <v>0</v>
      </c>
      <c r="J279" s="14">
        <f>dummy_variables!$H$278</f>
        <v>0</v>
      </c>
      <c r="K279" s="14">
        <f>dummy_variables!$I$278</f>
        <v>1</v>
      </c>
    </row>
    <row r="280" spans="1:11" ht="15" customHeight="1">
      <c r="A280" s="14">
        <f>cleaned_data!$M$279</f>
        <v>635837.74</v>
      </c>
      <c r="B280" s="14">
        <f>cleaned_data!$F$279</f>
        <v>5767</v>
      </c>
      <c r="C280" s="14">
        <f>cleaned_data!$E$279</f>
        <v>47648.71</v>
      </c>
      <c r="D280" s="14">
        <f>cleaned_data!$I$279</f>
        <v>89.8</v>
      </c>
      <c r="E280" s="14">
        <f>cleaned_data!$H$279</f>
        <v>17</v>
      </c>
      <c r="F280" s="14">
        <f>dummy_variables!$D$279</f>
        <v>0</v>
      </c>
      <c r="G280" s="14">
        <f>dummy_variables!$E$279</f>
        <v>0</v>
      </c>
      <c r="H280" s="14">
        <f>dummy_variables!$F$279</f>
        <v>0</v>
      </c>
      <c r="I280" s="14">
        <f>dummy_variables!$G$279</f>
        <v>0</v>
      </c>
      <c r="J280" s="14">
        <f>dummy_variables!$H$279</f>
        <v>0</v>
      </c>
      <c r="K280" s="14">
        <f>dummy_variables!$I$279</f>
        <v>1</v>
      </c>
    </row>
    <row r="281" spans="1:11" ht="15" customHeight="1">
      <c r="A281" s="14">
        <f>cleaned_data!$M$280</f>
        <v>686737.87</v>
      </c>
      <c r="B281" s="14">
        <f>cleaned_data!$F$280</f>
        <v>5893</v>
      </c>
      <c r="C281" s="14">
        <f>cleaned_data!$E$280</f>
        <v>38297.58</v>
      </c>
      <c r="D281" s="14">
        <f>cleaned_data!$I$280</f>
        <v>77.599999999999994</v>
      </c>
      <c r="E281" s="14">
        <f>cleaned_data!$H$280</f>
        <v>18</v>
      </c>
      <c r="F281" s="14">
        <f>dummy_variables!$D$280</f>
        <v>0</v>
      </c>
      <c r="G281" s="14">
        <f>dummy_variables!$E$280</f>
        <v>0</v>
      </c>
      <c r="H281" s="14">
        <f>dummy_variables!$F$280</f>
        <v>0</v>
      </c>
      <c r="I281" s="14">
        <f>dummy_variables!$G$280</f>
        <v>0</v>
      </c>
      <c r="J281" s="14">
        <f>dummy_variables!$H$280</f>
        <v>0</v>
      </c>
      <c r="K281" s="14">
        <f>dummy_variables!$I$280</f>
        <v>1</v>
      </c>
    </row>
    <row r="282" spans="1:11" ht="15" customHeight="1">
      <c r="A282" s="14">
        <f>cleaned_data!$M$281</f>
        <v>673076.34</v>
      </c>
      <c r="B282" s="14">
        <f>cleaned_data!$F$281</f>
        <v>8564</v>
      </c>
      <c r="C282" s="14">
        <f>cleaned_data!$E$281</f>
        <v>61784.11</v>
      </c>
      <c r="D282" s="14">
        <f>cleaned_data!$I$281</f>
        <v>87.4</v>
      </c>
      <c r="E282" s="14">
        <f>cleaned_data!$H$281</f>
        <v>17</v>
      </c>
      <c r="F282" s="14">
        <f>dummy_variables!$D$281</f>
        <v>0</v>
      </c>
      <c r="G282" s="14">
        <f>dummy_variables!$E$281</f>
        <v>0</v>
      </c>
      <c r="H282" s="14">
        <f>dummy_variables!$F$281</f>
        <v>1</v>
      </c>
      <c r="I282" s="14">
        <f>dummy_variables!$G$281</f>
        <v>0</v>
      </c>
      <c r="J282" s="14">
        <f>dummy_variables!$H$281</f>
        <v>1</v>
      </c>
      <c r="K282" s="14">
        <f>dummy_variables!$I$281</f>
        <v>0</v>
      </c>
    </row>
    <row r="283" spans="1:11" ht="15" customHeight="1">
      <c r="A283" s="14">
        <f>cleaned_data!$M$282</f>
        <v>738548.42</v>
      </c>
      <c r="B283" s="14">
        <f>cleaned_data!$F$282</f>
        <v>8001</v>
      </c>
      <c r="C283" s="14">
        <f>cleaned_data!$E$282</f>
        <v>36832.33</v>
      </c>
      <c r="D283" s="14">
        <f>cleaned_data!$I$282</f>
        <v>88.7</v>
      </c>
      <c r="E283" s="14">
        <f>cleaned_data!$H$282</f>
        <v>19</v>
      </c>
      <c r="F283" s="14">
        <f>dummy_variables!$D$282</f>
        <v>0</v>
      </c>
      <c r="G283" s="14">
        <f>dummy_variables!$E$282</f>
        <v>0</v>
      </c>
      <c r="H283" s="14">
        <f>dummy_variables!$F$282</f>
        <v>1</v>
      </c>
      <c r="I283" s="14">
        <f>dummy_variables!$G$282</f>
        <v>0</v>
      </c>
      <c r="J283" s="14">
        <f>dummy_variables!$H$282</f>
        <v>1</v>
      </c>
      <c r="K283" s="14">
        <f>dummy_variables!$I$282</f>
        <v>0</v>
      </c>
    </row>
    <row r="284" spans="1:11" ht="15" customHeight="1">
      <c r="A284" s="14">
        <f>cleaned_data!$M$283</f>
        <v>756619.77</v>
      </c>
      <c r="B284" s="14">
        <f>cleaned_data!$F$283</f>
        <v>9324</v>
      </c>
      <c r="C284" s="14">
        <f>cleaned_data!$E$283</f>
        <v>48609.41</v>
      </c>
      <c r="D284" s="14">
        <f>cleaned_data!$I$283</f>
        <v>86.5</v>
      </c>
      <c r="E284" s="14">
        <f>cleaned_data!$H$283</f>
        <v>18</v>
      </c>
      <c r="F284" s="14">
        <f>dummy_variables!$D$283</f>
        <v>0</v>
      </c>
      <c r="G284" s="14">
        <f>dummy_variables!$E$283</f>
        <v>0</v>
      </c>
      <c r="H284" s="14">
        <f>dummy_variables!$F$283</f>
        <v>1</v>
      </c>
      <c r="I284" s="14">
        <f>dummy_variables!$G$283</f>
        <v>0</v>
      </c>
      <c r="J284" s="14">
        <f>dummy_variables!$H$283</f>
        <v>1</v>
      </c>
      <c r="K284" s="14">
        <f>dummy_variables!$I$283</f>
        <v>0</v>
      </c>
    </row>
    <row r="285" spans="1:11" ht="15" customHeight="1">
      <c r="A285" s="14">
        <f>cleaned_data!$M$284</f>
        <v>761122.42</v>
      </c>
      <c r="B285" s="14">
        <f>cleaned_data!$F$284</f>
        <v>9109</v>
      </c>
      <c r="C285" s="14">
        <f>cleaned_data!$E$284</f>
        <v>70284.06</v>
      </c>
      <c r="D285" s="14">
        <f>cleaned_data!$I$284</f>
        <v>87</v>
      </c>
      <c r="E285" s="14">
        <f>cleaned_data!$H$284</f>
        <v>23</v>
      </c>
      <c r="F285" s="14">
        <f>dummy_variables!$D$284</f>
        <v>0</v>
      </c>
      <c r="G285" s="14">
        <f>dummy_variables!$E$284</f>
        <v>0</v>
      </c>
      <c r="H285" s="14">
        <f>dummy_variables!$F$284</f>
        <v>1</v>
      </c>
      <c r="I285" s="14">
        <f>dummy_variables!$G$284</f>
        <v>0</v>
      </c>
      <c r="J285" s="14">
        <f>dummy_variables!$H$284</f>
        <v>1</v>
      </c>
      <c r="K285" s="14">
        <f>dummy_variables!$I$284</f>
        <v>0</v>
      </c>
    </row>
    <row r="286" spans="1:11" ht="15" customHeight="1">
      <c r="A286" s="14">
        <f>cleaned_data!$M$285</f>
        <v>524899.56999999995</v>
      </c>
      <c r="B286" s="14">
        <f>cleaned_data!$F$285</f>
        <v>4022</v>
      </c>
      <c r="C286" s="14">
        <f>cleaned_data!$E$285</f>
        <v>45940.39</v>
      </c>
      <c r="D286" s="14">
        <f>cleaned_data!$I$285</f>
        <v>83</v>
      </c>
      <c r="E286" s="14">
        <f>cleaned_data!$H$285</f>
        <v>10</v>
      </c>
      <c r="F286" s="14">
        <f>dummy_variables!$D$285</f>
        <v>0</v>
      </c>
      <c r="G286" s="14">
        <f>dummy_variables!$E$285</f>
        <v>0</v>
      </c>
      <c r="H286" s="14">
        <f>dummy_variables!$F$285</f>
        <v>0</v>
      </c>
      <c r="I286" s="14">
        <f>dummy_variables!$G$285</f>
        <v>0</v>
      </c>
      <c r="J286" s="14">
        <f>dummy_variables!$H$285</f>
        <v>1</v>
      </c>
      <c r="K286" s="14">
        <f>dummy_variables!$I$285</f>
        <v>0</v>
      </c>
    </row>
    <row r="287" spans="1:11" ht="15" customHeight="1">
      <c r="A287" s="14">
        <f>cleaned_data!$M$286</f>
        <v>555557.77</v>
      </c>
      <c r="B287" s="14">
        <f>cleaned_data!$F$286</f>
        <v>4355</v>
      </c>
      <c r="C287" s="14">
        <f>cleaned_data!$E$286</f>
        <v>34771.26</v>
      </c>
      <c r="D287" s="14">
        <f>cleaned_data!$I$286</f>
        <v>87.9</v>
      </c>
      <c r="E287" s="14">
        <f>cleaned_data!$H$286</f>
        <v>15</v>
      </c>
      <c r="F287" s="14">
        <f>dummy_variables!$D$286</f>
        <v>0</v>
      </c>
      <c r="G287" s="14">
        <f>dummy_variables!$E$286</f>
        <v>0</v>
      </c>
      <c r="H287" s="14">
        <f>dummy_variables!$F$286</f>
        <v>0</v>
      </c>
      <c r="I287" s="14">
        <f>dummy_variables!$G$286</f>
        <v>0</v>
      </c>
      <c r="J287" s="14">
        <f>dummy_variables!$H$286</f>
        <v>1</v>
      </c>
      <c r="K287" s="14">
        <f>dummy_variables!$I$286</f>
        <v>0</v>
      </c>
    </row>
    <row r="288" spans="1:11" ht="15" customHeight="1">
      <c r="A288" s="14">
        <f>cleaned_data!$M$287</f>
        <v>714083.68</v>
      </c>
      <c r="B288" s="14">
        <f>cleaned_data!$F$287</f>
        <v>5745</v>
      </c>
      <c r="C288" s="14">
        <f>cleaned_data!$E$287</f>
        <v>66104.19</v>
      </c>
      <c r="D288" s="14">
        <f>cleaned_data!$I$287</f>
        <v>95.8</v>
      </c>
      <c r="E288" s="14">
        <f>cleaned_data!$H$287</f>
        <v>17</v>
      </c>
      <c r="F288" s="14">
        <f>dummy_variables!$D$287</f>
        <v>0</v>
      </c>
      <c r="G288" s="14">
        <f>dummy_variables!$E$287</f>
        <v>0</v>
      </c>
      <c r="H288" s="14">
        <f>dummy_variables!$F$287</f>
        <v>0</v>
      </c>
      <c r="I288" s="14">
        <f>dummy_variables!$G$287</f>
        <v>0</v>
      </c>
      <c r="J288" s="14">
        <f>dummy_variables!$H$287</f>
        <v>1</v>
      </c>
      <c r="K288" s="14">
        <f>dummy_variables!$I$287</f>
        <v>0</v>
      </c>
    </row>
    <row r="289" spans="1:11" ht="15" customHeight="1">
      <c r="A289" s="14">
        <f>cleaned_data!$M$288</f>
        <v>497439.82</v>
      </c>
      <c r="B289" s="14">
        <f>cleaned_data!$F$288</f>
        <v>3027</v>
      </c>
      <c r="C289" s="14">
        <f>cleaned_data!$E$288</f>
        <v>18599.21</v>
      </c>
      <c r="D289" s="14">
        <f>cleaned_data!$I$288</f>
        <v>80.900000000000006</v>
      </c>
      <c r="E289" s="14">
        <f>cleaned_data!$H$288</f>
        <v>11</v>
      </c>
      <c r="F289" s="14">
        <f>dummy_variables!$D$288</f>
        <v>0</v>
      </c>
      <c r="G289" s="14">
        <f>dummy_variables!$E$288</f>
        <v>0</v>
      </c>
      <c r="H289" s="14">
        <f>dummy_variables!$F$288</f>
        <v>0</v>
      </c>
      <c r="I289" s="14">
        <f>dummy_variables!$G$288</f>
        <v>0</v>
      </c>
      <c r="J289" s="14">
        <f>dummy_variables!$H$288</f>
        <v>1</v>
      </c>
      <c r="K289" s="14">
        <f>dummy_variables!$I$288</f>
        <v>0</v>
      </c>
    </row>
    <row r="290" spans="1:11" ht="15" customHeight="1">
      <c r="A290" s="14">
        <f>cleaned_data!$M$289</f>
        <v>636775.66</v>
      </c>
      <c r="B290" s="14">
        <f>cleaned_data!$F$289</f>
        <v>5562</v>
      </c>
      <c r="C290" s="14">
        <f>cleaned_data!$E$289</f>
        <v>60183.06</v>
      </c>
      <c r="D290" s="14">
        <f>cleaned_data!$I$289</f>
        <v>86.3</v>
      </c>
      <c r="E290" s="14">
        <f>cleaned_data!$H$289</f>
        <v>13</v>
      </c>
      <c r="F290" s="14">
        <f>dummy_variables!$D$289</f>
        <v>0</v>
      </c>
      <c r="G290" s="14">
        <f>dummy_variables!$E$289</f>
        <v>0</v>
      </c>
      <c r="H290" s="14">
        <f>dummy_variables!$F$289</f>
        <v>1</v>
      </c>
      <c r="I290" s="14">
        <f>dummy_variables!$G$289</f>
        <v>0</v>
      </c>
      <c r="J290" s="14">
        <f>dummy_variables!$H$289</f>
        <v>0</v>
      </c>
      <c r="K290" s="14">
        <f>dummy_variables!$I$289</f>
        <v>1</v>
      </c>
    </row>
    <row r="291" spans="1:11" ht="15" customHeight="1">
      <c r="A291" s="14">
        <f>cleaned_data!$M$290</f>
        <v>633009.53</v>
      </c>
      <c r="B291" s="14">
        <f>cleaned_data!$F$290</f>
        <v>4487</v>
      </c>
      <c r="C291" s="14">
        <f>cleaned_data!$E$290</f>
        <v>74539.14</v>
      </c>
      <c r="D291" s="14">
        <f>cleaned_data!$I$290</f>
        <v>90.4</v>
      </c>
      <c r="E291" s="14">
        <f>cleaned_data!$H$290</f>
        <v>10</v>
      </c>
      <c r="F291" s="14">
        <f>dummy_variables!$D$290</f>
        <v>0</v>
      </c>
      <c r="G291" s="14">
        <f>dummy_variables!$E$290</f>
        <v>0</v>
      </c>
      <c r="H291" s="14">
        <f>dummy_variables!$F$290</f>
        <v>1</v>
      </c>
      <c r="I291" s="14">
        <f>dummy_variables!$G$290</f>
        <v>0</v>
      </c>
      <c r="J291" s="14">
        <f>dummy_variables!$H$290</f>
        <v>0</v>
      </c>
      <c r="K291" s="14">
        <f>dummy_variables!$I$290</f>
        <v>1</v>
      </c>
    </row>
    <row r="292" spans="1:11" ht="15" customHeight="1">
      <c r="A292" s="14">
        <f>cleaned_data!$M$291</f>
        <v>609949</v>
      </c>
      <c r="B292" s="14">
        <f>cleaned_data!$F$291</f>
        <v>4162</v>
      </c>
      <c r="C292" s="14">
        <f>cleaned_data!$E$291</f>
        <v>55371.97</v>
      </c>
      <c r="D292" s="14">
        <f>cleaned_data!$I$291</f>
        <v>92</v>
      </c>
      <c r="E292" s="14">
        <f>cleaned_data!$H$291</f>
        <v>11</v>
      </c>
      <c r="F292" s="14">
        <f>dummy_variables!$D$291</f>
        <v>0</v>
      </c>
      <c r="G292" s="14">
        <f>dummy_variables!$E$291</f>
        <v>0</v>
      </c>
      <c r="H292" s="14">
        <f>dummy_variables!$F$291</f>
        <v>1</v>
      </c>
      <c r="I292" s="14">
        <f>dummy_variables!$G$291</f>
        <v>0</v>
      </c>
      <c r="J292" s="14">
        <f>dummy_variables!$H$291</f>
        <v>0</v>
      </c>
      <c r="K292" s="14">
        <f>dummy_variables!$I$291</f>
        <v>1</v>
      </c>
    </row>
    <row r="293" spans="1:11" ht="15" customHeight="1">
      <c r="A293" s="14">
        <f>cleaned_data!$M$292</f>
        <v>548103.69999999995</v>
      </c>
      <c r="B293" s="14">
        <f>cleaned_data!$F$292</f>
        <v>4094</v>
      </c>
      <c r="C293" s="14">
        <f>cleaned_data!$E$292</f>
        <v>40928.69</v>
      </c>
      <c r="D293" s="14">
        <f>cleaned_data!$I$292</f>
        <v>82.4</v>
      </c>
      <c r="E293" s="14">
        <f>cleaned_data!$H$292</f>
        <v>13</v>
      </c>
      <c r="F293" s="14">
        <f>dummy_variables!$D$292</f>
        <v>0</v>
      </c>
      <c r="G293" s="14">
        <f>dummy_variables!$E$292</f>
        <v>0</v>
      </c>
      <c r="H293" s="14">
        <f>dummy_variables!$F$292</f>
        <v>1</v>
      </c>
      <c r="I293" s="14">
        <f>dummy_variables!$G$292</f>
        <v>0</v>
      </c>
      <c r="J293" s="14">
        <f>dummy_variables!$H$292</f>
        <v>0</v>
      </c>
      <c r="K293" s="14">
        <f>dummy_variables!$I$292</f>
        <v>1</v>
      </c>
    </row>
    <row r="294" spans="1:11" ht="15" customHeight="1">
      <c r="A294" s="14">
        <f>cleaned_data!$M$293</f>
        <v>729424.42</v>
      </c>
      <c r="B294" s="14">
        <f>cleaned_data!$F$293</f>
        <v>8484</v>
      </c>
      <c r="C294" s="14">
        <f>cleaned_data!$E$293</f>
        <v>70012.41</v>
      </c>
      <c r="D294" s="14">
        <f>cleaned_data!$I$293</f>
        <v>72.900000000000006</v>
      </c>
      <c r="E294" s="14">
        <f>cleaned_data!$H$293</f>
        <v>23</v>
      </c>
      <c r="F294" s="14">
        <f>dummy_variables!$D$293</f>
        <v>0</v>
      </c>
      <c r="G294" s="14">
        <f>dummy_variables!$E$293</f>
        <v>0</v>
      </c>
      <c r="H294" s="14">
        <f>dummy_variables!$F$293</f>
        <v>1</v>
      </c>
      <c r="I294" s="14">
        <f>dummy_variables!$G$293</f>
        <v>0</v>
      </c>
      <c r="J294" s="14">
        <f>dummy_variables!$H$293</f>
        <v>0</v>
      </c>
      <c r="K294" s="14">
        <f>dummy_variables!$I$293</f>
        <v>0</v>
      </c>
    </row>
    <row r="295" spans="1:11" ht="15" customHeight="1">
      <c r="A295" s="14">
        <f>cleaned_data!$M$294</f>
        <v>696261.49</v>
      </c>
      <c r="B295" s="14">
        <f>cleaned_data!$F$294</f>
        <v>7794</v>
      </c>
      <c r="C295" s="14">
        <f>cleaned_data!$E$294</f>
        <v>68909.259999999995</v>
      </c>
      <c r="D295" s="14">
        <f>cleaned_data!$I$294</f>
        <v>89</v>
      </c>
      <c r="E295" s="14">
        <f>cleaned_data!$H$294</f>
        <v>22</v>
      </c>
      <c r="F295" s="14">
        <f>dummy_variables!$D$294</f>
        <v>0</v>
      </c>
      <c r="G295" s="14">
        <f>dummy_variables!$E$294</f>
        <v>0</v>
      </c>
      <c r="H295" s="14">
        <f>dummy_variables!$F$294</f>
        <v>1</v>
      </c>
      <c r="I295" s="14">
        <f>dummy_variables!$G$294</f>
        <v>0</v>
      </c>
      <c r="J295" s="14">
        <f>dummy_variables!$H$294</f>
        <v>0</v>
      </c>
      <c r="K295" s="14">
        <f>dummy_variables!$I$294</f>
        <v>0</v>
      </c>
    </row>
    <row r="296" spans="1:11" ht="15" customHeight="1">
      <c r="A296" s="14">
        <f>cleaned_data!$M$295</f>
        <v>813316.71</v>
      </c>
      <c r="B296" s="14">
        <f>cleaned_data!$F$295</f>
        <v>8300</v>
      </c>
      <c r="C296" s="14">
        <f>cleaned_data!$E$295</f>
        <v>56737.3</v>
      </c>
      <c r="D296" s="14">
        <f>cleaned_data!$I$295</f>
        <v>83.2</v>
      </c>
      <c r="E296" s="14">
        <f>cleaned_data!$H$295</f>
        <v>21</v>
      </c>
      <c r="F296" s="14">
        <f>dummy_variables!$D$295</f>
        <v>0</v>
      </c>
      <c r="G296" s="14">
        <f>dummy_variables!$E$295</f>
        <v>0</v>
      </c>
      <c r="H296" s="14">
        <f>dummy_variables!$F$295</f>
        <v>1</v>
      </c>
      <c r="I296" s="14">
        <f>dummy_variables!$G$295</f>
        <v>0</v>
      </c>
      <c r="J296" s="14">
        <f>dummy_variables!$H$295</f>
        <v>0</v>
      </c>
      <c r="K296" s="14">
        <f>dummy_variables!$I$295</f>
        <v>0</v>
      </c>
    </row>
    <row r="297" spans="1:11" ht="15" customHeight="1">
      <c r="A297" s="14">
        <f>cleaned_data!$M$296</f>
        <v>702068.92</v>
      </c>
      <c r="B297" s="14">
        <f>cleaned_data!$F$296</f>
        <v>7083</v>
      </c>
      <c r="C297" s="14">
        <f>cleaned_data!$E$296</f>
        <v>54080.91</v>
      </c>
      <c r="D297" s="14">
        <f>cleaned_data!$I$296</f>
        <v>97</v>
      </c>
      <c r="E297" s="14">
        <f>cleaned_data!$H$296</f>
        <v>15</v>
      </c>
      <c r="F297" s="14">
        <f>dummy_variables!$D$296</f>
        <v>0</v>
      </c>
      <c r="G297" s="14">
        <f>dummy_variables!$E$296</f>
        <v>0</v>
      </c>
      <c r="H297" s="14">
        <f>dummy_variables!$F$296</f>
        <v>1</v>
      </c>
      <c r="I297" s="14">
        <f>dummy_variables!$G$296</f>
        <v>0</v>
      </c>
      <c r="J297" s="14">
        <f>dummy_variables!$H$296</f>
        <v>0</v>
      </c>
      <c r="K297" s="14">
        <f>dummy_variables!$I$296</f>
        <v>0</v>
      </c>
    </row>
    <row r="298" spans="1:11" ht="15" customHeight="1">
      <c r="A298" s="14">
        <f>cleaned_data!$M$297</f>
        <v>546223.69999999995</v>
      </c>
      <c r="B298" s="14">
        <f>cleaned_data!$F$297</f>
        <v>3834</v>
      </c>
      <c r="C298" s="14">
        <f>cleaned_data!$E$297</f>
        <v>51996.32</v>
      </c>
      <c r="D298" s="14">
        <f>cleaned_data!$I$297</f>
        <v>86.7</v>
      </c>
      <c r="E298" s="14">
        <f>cleaned_data!$H$297</f>
        <v>8</v>
      </c>
      <c r="F298" s="14">
        <f>dummy_variables!$D$297</f>
        <v>0</v>
      </c>
      <c r="G298" s="14">
        <f>dummy_variables!$E$297</f>
        <v>0</v>
      </c>
      <c r="H298" s="14">
        <f>dummy_variables!$F$297</f>
        <v>0</v>
      </c>
      <c r="I298" s="14">
        <f>dummy_variables!$G$297</f>
        <v>0</v>
      </c>
      <c r="J298" s="14">
        <f>dummy_variables!$H$297</f>
        <v>0</v>
      </c>
      <c r="K298" s="14">
        <f>dummy_variables!$I$297</f>
        <v>1</v>
      </c>
    </row>
    <row r="299" spans="1:11" ht="15" customHeight="1">
      <c r="A299" s="14">
        <f>cleaned_data!$M$298</f>
        <v>533121.26</v>
      </c>
      <c r="B299" s="14">
        <f>cleaned_data!$F$298</f>
        <v>2358</v>
      </c>
      <c r="C299" s="14">
        <f>cleaned_data!$E$298</f>
        <v>40102.879999999997</v>
      </c>
      <c r="D299" s="14">
        <f>cleaned_data!$I$298</f>
        <v>88.7</v>
      </c>
      <c r="E299" s="14">
        <f>cleaned_data!$H$298</f>
        <v>9</v>
      </c>
      <c r="F299" s="14">
        <f>dummy_variables!$D$298</f>
        <v>0</v>
      </c>
      <c r="G299" s="14">
        <f>dummy_variables!$E$298</f>
        <v>0</v>
      </c>
      <c r="H299" s="14">
        <f>dummy_variables!$F$298</f>
        <v>0</v>
      </c>
      <c r="I299" s="14">
        <f>dummy_variables!$G$298</f>
        <v>0</v>
      </c>
      <c r="J299" s="14">
        <f>dummy_variables!$H$298</f>
        <v>0</v>
      </c>
      <c r="K299" s="14">
        <f>dummy_variables!$I$298</f>
        <v>1</v>
      </c>
    </row>
    <row r="300" spans="1:11" ht="15" customHeight="1">
      <c r="A300" s="14">
        <f>cleaned_data!$M$299</f>
        <v>498970.32</v>
      </c>
      <c r="B300" s="14">
        <f>cleaned_data!$F$299</f>
        <v>1231</v>
      </c>
      <c r="C300" s="14">
        <f>cleaned_data!$E$299</f>
        <v>59825.51</v>
      </c>
      <c r="D300" s="14">
        <f>cleaned_data!$I$299</f>
        <v>84.8</v>
      </c>
      <c r="E300" s="14">
        <f>cleaned_data!$H$299</f>
        <v>10</v>
      </c>
      <c r="F300" s="14">
        <f>dummy_variables!$D$299</f>
        <v>0</v>
      </c>
      <c r="G300" s="14">
        <f>dummy_variables!$E$299</f>
        <v>0</v>
      </c>
      <c r="H300" s="14">
        <f>dummy_variables!$F$299</f>
        <v>0</v>
      </c>
      <c r="I300" s="14">
        <f>dummy_variables!$G$299</f>
        <v>0</v>
      </c>
      <c r="J300" s="14">
        <f>dummy_variables!$H$299</f>
        <v>0</v>
      </c>
      <c r="K300" s="14">
        <f>dummy_variables!$I$299</f>
        <v>1</v>
      </c>
    </row>
    <row r="301" spans="1:11" ht="15" customHeight="1">
      <c r="A301" s="14">
        <f>cleaned_data!$M$300</f>
        <v>487738.26</v>
      </c>
      <c r="B301" s="14">
        <f>cleaned_data!$F$300</f>
        <v>1723</v>
      </c>
      <c r="C301" s="14">
        <f>cleaned_data!$E$300</f>
        <v>27398.28</v>
      </c>
      <c r="D301" s="14">
        <f>cleaned_data!$I$300</f>
        <v>81</v>
      </c>
      <c r="E301" s="14">
        <f>cleaned_data!$H$300</f>
        <v>9</v>
      </c>
      <c r="F301" s="14">
        <f>dummy_variables!$D$300</f>
        <v>0</v>
      </c>
      <c r="G301" s="14">
        <f>dummy_variables!$E$300</f>
        <v>0</v>
      </c>
      <c r="H301" s="14">
        <f>dummy_variables!$F$300</f>
        <v>0</v>
      </c>
      <c r="I301" s="14">
        <f>dummy_variables!$G$300</f>
        <v>0</v>
      </c>
      <c r="J301" s="14">
        <f>dummy_variables!$H$300</f>
        <v>0</v>
      </c>
      <c r="K301" s="14">
        <f>dummy_variables!$I$300</f>
        <v>1</v>
      </c>
    </row>
    <row r="302" spans="1:11" ht="15" customHeight="1">
      <c r="A302" s="14">
        <f>cleaned_data!$M$301</f>
        <v>668459.37</v>
      </c>
      <c r="B302" s="14">
        <f>cleaned_data!$F$301</f>
        <v>5896</v>
      </c>
      <c r="C302" s="14">
        <f>cleaned_data!$E$301</f>
        <v>55599.56</v>
      </c>
      <c r="D302" s="14">
        <f>cleaned_data!$I$301</f>
        <v>93.1</v>
      </c>
      <c r="E302" s="14">
        <f>cleaned_data!$H$301</f>
        <v>12</v>
      </c>
      <c r="F302" s="14">
        <f>dummy_variables!$D$301</f>
        <v>0</v>
      </c>
      <c r="G302" s="14">
        <f>dummy_variables!$E$301</f>
        <v>0</v>
      </c>
      <c r="H302" s="14">
        <f>dummy_variables!$F$301</f>
        <v>0</v>
      </c>
      <c r="I302" s="14">
        <f>dummy_variables!$G$301</f>
        <v>0</v>
      </c>
      <c r="J302" s="14">
        <f>dummy_variables!$H$301</f>
        <v>0</v>
      </c>
      <c r="K302" s="14">
        <f>dummy_variables!$I$301</f>
        <v>1</v>
      </c>
    </row>
    <row r="303" spans="1:11" ht="15" customHeight="1">
      <c r="A303" s="14">
        <f>cleaned_data!$M$302</f>
        <v>763162.45</v>
      </c>
      <c r="B303" s="14">
        <f>cleaned_data!$F$302</f>
        <v>5903</v>
      </c>
      <c r="C303" s="14">
        <f>cleaned_data!$E$302</f>
        <v>55477.61</v>
      </c>
      <c r="D303" s="14">
        <f>cleaned_data!$I$302</f>
        <v>96.2</v>
      </c>
      <c r="E303" s="14">
        <f>cleaned_data!$H$302</f>
        <v>14</v>
      </c>
      <c r="F303" s="14">
        <f>dummy_variables!$D$302</f>
        <v>0</v>
      </c>
      <c r="G303" s="14">
        <f>dummy_variables!$E$302</f>
        <v>0</v>
      </c>
      <c r="H303" s="14">
        <f>dummy_variables!$F$302</f>
        <v>0</v>
      </c>
      <c r="I303" s="14">
        <f>dummy_variables!$G$302</f>
        <v>0</v>
      </c>
      <c r="J303" s="14">
        <f>dummy_variables!$H$302</f>
        <v>0</v>
      </c>
      <c r="K303" s="14">
        <f>dummy_variables!$I$302</f>
        <v>1</v>
      </c>
    </row>
    <row r="304" spans="1:11" ht="15" customHeight="1">
      <c r="A304" s="14">
        <f>cleaned_data!$M$303</f>
        <v>599017.32999999996</v>
      </c>
      <c r="B304" s="14">
        <f>cleaned_data!$F$303</f>
        <v>4898</v>
      </c>
      <c r="C304" s="14">
        <f>cleaned_data!$E$303</f>
        <v>46174.7</v>
      </c>
      <c r="D304" s="14">
        <f>cleaned_data!$I$303</f>
        <v>91.7</v>
      </c>
      <c r="E304" s="14">
        <f>cleaned_data!$H$303</f>
        <v>11</v>
      </c>
      <c r="F304" s="14">
        <f>dummy_variables!$D$303</f>
        <v>0</v>
      </c>
      <c r="G304" s="14">
        <f>dummy_variables!$E$303</f>
        <v>0</v>
      </c>
      <c r="H304" s="14">
        <f>dummy_variables!$F$303</f>
        <v>0</v>
      </c>
      <c r="I304" s="14">
        <f>dummy_variables!$G$303</f>
        <v>0</v>
      </c>
      <c r="J304" s="14">
        <f>dummy_variables!$H$303</f>
        <v>0</v>
      </c>
      <c r="K304" s="14">
        <f>dummy_variables!$I$303</f>
        <v>1</v>
      </c>
    </row>
    <row r="305" spans="1:11" ht="15" customHeight="1">
      <c r="A305" s="14">
        <f>cleaned_data!$M$304</f>
        <v>401582.58</v>
      </c>
      <c r="B305" s="14">
        <f>cleaned_data!$F$304</f>
        <v>1462</v>
      </c>
      <c r="C305" s="14">
        <f>cleaned_data!$E$304</f>
        <v>24362.98</v>
      </c>
      <c r="D305" s="14">
        <f>cleaned_data!$I$304</f>
        <v>89.3</v>
      </c>
      <c r="E305" s="14">
        <f>cleaned_data!$H$304</f>
        <v>6</v>
      </c>
      <c r="F305" s="14">
        <f>dummy_variables!$D$304</f>
        <v>0</v>
      </c>
      <c r="G305" s="14">
        <f>dummy_variables!$E$304</f>
        <v>0</v>
      </c>
      <c r="H305" s="14">
        <f>dummy_variables!$F$304</f>
        <v>0</v>
      </c>
      <c r="I305" s="14">
        <f>dummy_variables!$G$304</f>
        <v>0</v>
      </c>
      <c r="J305" s="14">
        <f>dummy_variables!$H$304</f>
        <v>0</v>
      </c>
      <c r="K305" s="14">
        <f>dummy_variables!$I$304</f>
        <v>1</v>
      </c>
    </row>
    <row r="306" spans="1:11" ht="15" customHeight="1">
      <c r="A306" s="14">
        <f>cleaned_data!$M$305</f>
        <v>703812.99</v>
      </c>
      <c r="B306" s="14">
        <f>cleaned_data!$F$305</f>
        <v>8252</v>
      </c>
      <c r="C306" s="14">
        <f>cleaned_data!$E$305</f>
        <v>40647.67</v>
      </c>
      <c r="D306" s="14">
        <f>cleaned_data!$I$305</f>
        <v>88.2</v>
      </c>
      <c r="E306" s="14">
        <f>cleaned_data!$H$305</f>
        <v>22</v>
      </c>
      <c r="F306" s="14">
        <f>dummy_variables!$D$305</f>
        <v>0</v>
      </c>
      <c r="G306" s="14">
        <f>dummy_variables!$E$305</f>
        <v>1</v>
      </c>
      <c r="H306" s="14">
        <f>dummy_variables!$F$305</f>
        <v>0</v>
      </c>
      <c r="I306" s="14">
        <f>dummy_variables!$G$305</f>
        <v>1</v>
      </c>
      <c r="J306" s="14">
        <f>dummy_variables!$H$305</f>
        <v>0</v>
      </c>
      <c r="K306" s="14">
        <f>dummy_variables!$I$305</f>
        <v>0</v>
      </c>
    </row>
    <row r="307" spans="1:11" ht="15" customHeight="1">
      <c r="A307" s="14">
        <f>cleaned_data!$M$306</f>
        <v>724346.73</v>
      </c>
      <c r="B307" s="14">
        <f>cleaned_data!$F$306</f>
        <v>7989</v>
      </c>
      <c r="C307" s="14">
        <f>cleaned_data!$E$306</f>
        <v>63986.98</v>
      </c>
      <c r="D307" s="14">
        <f>cleaned_data!$I$306</f>
        <v>83.3</v>
      </c>
      <c r="E307" s="14">
        <f>cleaned_data!$H$306</f>
        <v>20</v>
      </c>
      <c r="F307" s="14">
        <f>dummy_variables!$D$306</f>
        <v>0</v>
      </c>
      <c r="G307" s="14">
        <f>dummy_variables!$E$306</f>
        <v>1</v>
      </c>
      <c r="H307" s="14">
        <f>dummy_variables!$F$306</f>
        <v>0</v>
      </c>
      <c r="I307" s="14">
        <f>dummy_variables!$G$306</f>
        <v>1</v>
      </c>
      <c r="J307" s="14">
        <f>dummy_variables!$H$306</f>
        <v>0</v>
      </c>
      <c r="K307" s="14">
        <f>dummy_variables!$I$306</f>
        <v>0</v>
      </c>
    </row>
    <row r="308" spans="1:11" ht="15" customHeight="1">
      <c r="A308" s="14">
        <f>cleaned_data!$M$307</f>
        <v>730890.01</v>
      </c>
      <c r="B308" s="14">
        <f>cleaned_data!$F$307</f>
        <v>8268</v>
      </c>
      <c r="C308" s="14">
        <f>cleaned_data!$E$307</f>
        <v>52843.75</v>
      </c>
      <c r="D308" s="14">
        <f>cleaned_data!$I$307</f>
        <v>87.3</v>
      </c>
      <c r="E308" s="14">
        <f>cleaned_data!$H$307</f>
        <v>19</v>
      </c>
      <c r="F308" s="14">
        <f>dummy_variables!$D$307</f>
        <v>0</v>
      </c>
      <c r="G308" s="14">
        <f>dummy_variables!$E$307</f>
        <v>1</v>
      </c>
      <c r="H308" s="14">
        <f>dummy_variables!$F$307</f>
        <v>0</v>
      </c>
      <c r="I308" s="14">
        <f>dummy_variables!$G$307</f>
        <v>1</v>
      </c>
      <c r="J308" s="14">
        <f>dummy_variables!$H$307</f>
        <v>0</v>
      </c>
      <c r="K308" s="14">
        <f>dummy_variables!$I$307</f>
        <v>0</v>
      </c>
    </row>
    <row r="309" spans="1:11" ht="15" customHeight="1">
      <c r="A309" s="14">
        <f>cleaned_data!$M$308</f>
        <v>780580.95</v>
      </c>
      <c r="B309" s="14">
        <f>cleaned_data!$F$308</f>
        <v>8183</v>
      </c>
      <c r="C309" s="14">
        <f>cleaned_data!$E$308</f>
        <v>31997.25</v>
      </c>
      <c r="D309" s="14">
        <f>cleaned_data!$I$308</f>
        <v>93</v>
      </c>
      <c r="E309" s="14">
        <f>cleaned_data!$H$308</f>
        <v>18</v>
      </c>
      <c r="F309" s="14">
        <f>dummy_variables!$D$308</f>
        <v>0</v>
      </c>
      <c r="G309" s="14">
        <f>dummy_variables!$E$308</f>
        <v>1</v>
      </c>
      <c r="H309" s="14">
        <f>dummy_variables!$F$308</f>
        <v>0</v>
      </c>
      <c r="I309" s="14">
        <f>dummy_variables!$G$308</f>
        <v>1</v>
      </c>
      <c r="J309" s="14">
        <f>dummy_variables!$H$308</f>
        <v>0</v>
      </c>
      <c r="K309" s="14">
        <f>dummy_variables!$I$308</f>
        <v>0</v>
      </c>
    </row>
    <row r="310" spans="1:11" ht="15" customHeight="1">
      <c r="A310" s="14">
        <f>cleaned_data!$M$309</f>
        <v>727957.48</v>
      </c>
      <c r="B310" s="14">
        <f>cleaned_data!$F$309</f>
        <v>6534</v>
      </c>
      <c r="C310" s="14">
        <f>cleaned_data!$E$309</f>
        <v>54948.02</v>
      </c>
      <c r="D310" s="14">
        <f>cleaned_data!$I$309</f>
        <v>94.5</v>
      </c>
      <c r="E310" s="14">
        <f>cleaned_data!$H$309</f>
        <v>14</v>
      </c>
      <c r="F310" s="14">
        <f>dummy_variables!$D$309</f>
        <v>0</v>
      </c>
      <c r="G310" s="14">
        <f>dummy_variables!$E$309</f>
        <v>0</v>
      </c>
      <c r="H310" s="14">
        <f>dummy_variables!$F$309</f>
        <v>1</v>
      </c>
      <c r="I310" s="14">
        <f>dummy_variables!$G$309</f>
        <v>0</v>
      </c>
      <c r="J310" s="14">
        <f>dummy_variables!$H$309</f>
        <v>1</v>
      </c>
      <c r="K310" s="14">
        <f>dummy_variables!$I$309</f>
        <v>0</v>
      </c>
    </row>
    <row r="311" spans="1:11" ht="15" customHeight="1">
      <c r="A311" s="14">
        <f>cleaned_data!$M$310</f>
        <v>538376</v>
      </c>
      <c r="B311" s="14">
        <f>cleaned_data!$F$310</f>
        <v>5804</v>
      </c>
      <c r="C311" s="14">
        <f>cleaned_data!$E$310</f>
        <v>46146.239999999998</v>
      </c>
      <c r="D311" s="14">
        <f>cleaned_data!$I$310</f>
        <v>86.9</v>
      </c>
      <c r="E311" s="14">
        <f>cleaned_data!$H$310</f>
        <v>16</v>
      </c>
      <c r="F311" s="14">
        <f>dummy_variables!$D$310</f>
        <v>0</v>
      </c>
      <c r="G311" s="14">
        <f>dummy_variables!$E$310</f>
        <v>0</v>
      </c>
      <c r="H311" s="14">
        <f>dummy_variables!$F$310</f>
        <v>1</v>
      </c>
      <c r="I311" s="14">
        <f>dummy_variables!$G$310</f>
        <v>0</v>
      </c>
      <c r="J311" s="14">
        <f>dummy_variables!$H$310</f>
        <v>1</v>
      </c>
      <c r="K311" s="14">
        <f>dummy_variables!$I$310</f>
        <v>0</v>
      </c>
    </row>
    <row r="312" spans="1:11" ht="15" customHeight="1">
      <c r="A312" s="14">
        <f>cleaned_data!$M$311</f>
        <v>665342.49</v>
      </c>
      <c r="B312" s="14">
        <f>cleaned_data!$F$311</f>
        <v>6301</v>
      </c>
      <c r="C312" s="14">
        <f>cleaned_data!$E$311</f>
        <v>22387.26</v>
      </c>
      <c r="D312" s="14">
        <f>cleaned_data!$I$311</f>
        <v>85.9</v>
      </c>
      <c r="E312" s="14">
        <f>cleaned_data!$H$311</f>
        <v>14</v>
      </c>
      <c r="F312" s="14">
        <f>dummy_variables!$D$311</f>
        <v>0</v>
      </c>
      <c r="G312" s="14">
        <f>dummy_variables!$E$311</f>
        <v>0</v>
      </c>
      <c r="H312" s="14">
        <f>dummy_variables!$F$311</f>
        <v>1</v>
      </c>
      <c r="I312" s="14">
        <f>dummy_variables!$G$311</f>
        <v>0</v>
      </c>
      <c r="J312" s="14">
        <f>dummy_variables!$H$311</f>
        <v>1</v>
      </c>
      <c r="K312" s="14">
        <f>dummy_variables!$I$311</f>
        <v>0</v>
      </c>
    </row>
    <row r="313" spans="1:11" ht="15" customHeight="1">
      <c r="A313" s="14">
        <f>cleaned_data!$M$312</f>
        <v>651164.18000000005</v>
      </c>
      <c r="B313" s="14">
        <f>cleaned_data!$F$312</f>
        <v>6399</v>
      </c>
      <c r="C313" s="14">
        <f>cleaned_data!$E$312</f>
        <v>60684.05</v>
      </c>
      <c r="D313" s="14">
        <f>cleaned_data!$I$312</f>
        <v>99</v>
      </c>
      <c r="E313" s="14">
        <f>cleaned_data!$H$312</f>
        <v>16</v>
      </c>
      <c r="F313" s="14">
        <f>dummy_variables!$D$312</f>
        <v>0</v>
      </c>
      <c r="G313" s="14">
        <f>dummy_variables!$E$312</f>
        <v>0</v>
      </c>
      <c r="H313" s="14">
        <f>dummy_variables!$F$312</f>
        <v>1</v>
      </c>
      <c r="I313" s="14">
        <f>dummy_variables!$G$312</f>
        <v>0</v>
      </c>
      <c r="J313" s="14">
        <f>dummy_variables!$H$312</f>
        <v>1</v>
      </c>
      <c r="K313" s="14">
        <f>dummy_variables!$I$312</f>
        <v>0</v>
      </c>
    </row>
    <row r="314" spans="1:11" ht="15" customHeight="1">
      <c r="A314" s="14">
        <f>cleaned_data!$M$313</f>
        <v>628538.30000000005</v>
      </c>
      <c r="B314" s="14">
        <f>cleaned_data!$F$313</f>
        <v>5759</v>
      </c>
      <c r="C314" s="14">
        <f>cleaned_data!$E$313</f>
        <v>48465.599999999999</v>
      </c>
      <c r="D314" s="14">
        <f>cleaned_data!$I$313</f>
        <v>87.5</v>
      </c>
      <c r="E314" s="14">
        <f>cleaned_data!$H$313</f>
        <v>13</v>
      </c>
      <c r="F314" s="14">
        <f>dummy_variables!$D$313</f>
        <v>0</v>
      </c>
      <c r="G314" s="14">
        <f>dummy_variables!$E$313</f>
        <v>0</v>
      </c>
      <c r="H314" s="14">
        <f>dummy_variables!$F$313</f>
        <v>0</v>
      </c>
      <c r="I314" s="14">
        <f>dummy_variables!$G$313</f>
        <v>0</v>
      </c>
      <c r="J314" s="14">
        <f>dummy_variables!$H$313</f>
        <v>1</v>
      </c>
      <c r="K314" s="14">
        <f>dummy_variables!$I$313</f>
        <v>0</v>
      </c>
    </row>
    <row r="315" spans="1:11" ht="15" customHeight="1">
      <c r="A315" s="14">
        <f>cleaned_data!$M$314</f>
        <v>536524.84</v>
      </c>
      <c r="B315" s="14">
        <f>cleaned_data!$F$314</f>
        <v>5285</v>
      </c>
      <c r="C315" s="14">
        <f>cleaned_data!$E$314</f>
        <v>23702.38</v>
      </c>
      <c r="D315" s="14">
        <f>cleaned_data!$I$314</f>
        <v>79.7</v>
      </c>
      <c r="E315" s="14">
        <f>cleaned_data!$H$314</f>
        <v>14</v>
      </c>
      <c r="F315" s="14">
        <f>dummy_variables!$D$314</f>
        <v>0</v>
      </c>
      <c r="G315" s="14">
        <f>dummy_variables!$E$314</f>
        <v>0</v>
      </c>
      <c r="H315" s="14">
        <f>dummy_variables!$F$314</f>
        <v>0</v>
      </c>
      <c r="I315" s="14">
        <f>dummy_variables!$G$314</f>
        <v>0</v>
      </c>
      <c r="J315" s="14">
        <f>dummy_variables!$H$314</f>
        <v>1</v>
      </c>
      <c r="K315" s="14">
        <f>dummy_variables!$I$314</f>
        <v>0</v>
      </c>
    </row>
    <row r="316" spans="1:11" ht="15" customHeight="1">
      <c r="A316" s="14">
        <f>cleaned_data!$M$315</f>
        <v>621677.30000000005</v>
      </c>
      <c r="B316" s="14">
        <f>cleaned_data!$F$315</f>
        <v>5434</v>
      </c>
      <c r="C316" s="14">
        <f>cleaned_data!$E$315</f>
        <v>54322.94</v>
      </c>
      <c r="D316" s="14">
        <f>cleaned_data!$I$315</f>
        <v>85.7</v>
      </c>
      <c r="E316" s="14">
        <f>cleaned_data!$H$315</f>
        <v>13</v>
      </c>
      <c r="F316" s="14">
        <f>dummy_variables!$D$315</f>
        <v>0</v>
      </c>
      <c r="G316" s="14">
        <f>dummy_variables!$E$315</f>
        <v>0</v>
      </c>
      <c r="H316" s="14">
        <f>dummy_variables!$F$315</f>
        <v>0</v>
      </c>
      <c r="I316" s="14">
        <f>dummy_variables!$G$315</f>
        <v>0</v>
      </c>
      <c r="J316" s="14">
        <f>dummy_variables!$H$315</f>
        <v>1</v>
      </c>
      <c r="K316" s="14">
        <f>dummy_variables!$I$315</f>
        <v>0</v>
      </c>
    </row>
    <row r="317" spans="1:11" ht="15" customHeight="1">
      <c r="A317" s="14">
        <f>cleaned_data!$M$316</f>
        <v>771129.07</v>
      </c>
      <c r="B317" s="14">
        <f>cleaned_data!$F$316</f>
        <v>7479</v>
      </c>
      <c r="C317" s="14">
        <f>cleaned_data!$E$316</f>
        <v>86026.58</v>
      </c>
      <c r="D317" s="14">
        <f>cleaned_data!$I$316</f>
        <v>89</v>
      </c>
      <c r="E317" s="14">
        <f>cleaned_data!$H$316</f>
        <v>20</v>
      </c>
      <c r="F317" s="14">
        <f>dummy_variables!$D$316</f>
        <v>0</v>
      </c>
      <c r="G317" s="14">
        <f>dummy_variables!$E$316</f>
        <v>0</v>
      </c>
      <c r="H317" s="14">
        <f>dummy_variables!$F$316</f>
        <v>0</v>
      </c>
      <c r="I317" s="14">
        <f>dummy_variables!$G$316</f>
        <v>0</v>
      </c>
      <c r="J317" s="14">
        <f>dummy_variables!$H$316</f>
        <v>1</v>
      </c>
      <c r="K317" s="14">
        <f>dummy_variables!$I$316</f>
        <v>0</v>
      </c>
    </row>
    <row r="318" spans="1:11" ht="15" customHeight="1">
      <c r="A318" s="14">
        <f>cleaned_data!$M$317</f>
        <v>702052.47</v>
      </c>
      <c r="B318" s="14">
        <f>cleaned_data!$F$317</f>
        <v>6164</v>
      </c>
      <c r="C318" s="14">
        <f>cleaned_data!$E$317</f>
        <v>78967.520000000004</v>
      </c>
      <c r="D318" s="14">
        <f>cleaned_data!$I$317</f>
        <v>85.5</v>
      </c>
      <c r="E318" s="14">
        <f>cleaned_data!$H$317</f>
        <v>16</v>
      </c>
      <c r="F318" s="14">
        <f>dummy_variables!$D$317</f>
        <v>0</v>
      </c>
      <c r="G318" s="14">
        <f>dummy_variables!$E$317</f>
        <v>0</v>
      </c>
      <c r="H318" s="14">
        <f>dummy_variables!$F$317</f>
        <v>1</v>
      </c>
      <c r="I318" s="14">
        <f>dummy_variables!$G$317</f>
        <v>1</v>
      </c>
      <c r="J318" s="14">
        <f>dummy_variables!$H$317</f>
        <v>0</v>
      </c>
      <c r="K318" s="14">
        <f>dummy_variables!$I$317</f>
        <v>0</v>
      </c>
    </row>
    <row r="319" spans="1:11" ht="15" customHeight="1">
      <c r="A319" s="14">
        <f>cleaned_data!$M$318</f>
        <v>688368.46</v>
      </c>
      <c r="B319" s="14">
        <f>cleaned_data!$F$318</f>
        <v>7973</v>
      </c>
      <c r="C319" s="14">
        <f>cleaned_data!$E$318</f>
        <v>46767.99</v>
      </c>
      <c r="D319" s="14">
        <f>cleaned_data!$I$318</f>
        <v>94.8</v>
      </c>
      <c r="E319" s="14">
        <f>cleaned_data!$H$318</f>
        <v>18</v>
      </c>
      <c r="F319" s="14">
        <f>dummy_variables!$D$318</f>
        <v>0</v>
      </c>
      <c r="G319" s="14">
        <f>dummy_variables!$E$318</f>
        <v>0</v>
      </c>
      <c r="H319" s="14">
        <f>dummy_variables!$F$318</f>
        <v>1</v>
      </c>
      <c r="I319" s="14">
        <f>dummy_variables!$G$318</f>
        <v>1</v>
      </c>
      <c r="J319" s="14">
        <f>dummy_variables!$H$318</f>
        <v>0</v>
      </c>
      <c r="K319" s="14">
        <f>dummy_variables!$I$318</f>
        <v>0</v>
      </c>
    </row>
    <row r="320" spans="1:11" ht="15" customHeight="1">
      <c r="A320" s="14">
        <f>cleaned_data!$M$319</f>
        <v>712375.77</v>
      </c>
      <c r="B320" s="14">
        <f>cleaned_data!$F$319</f>
        <v>6000</v>
      </c>
      <c r="C320" s="14">
        <f>cleaned_data!$E$319</f>
        <v>62507.16</v>
      </c>
      <c r="D320" s="14">
        <f>cleaned_data!$I$319</f>
        <v>98.2</v>
      </c>
      <c r="E320" s="14">
        <f>cleaned_data!$H$319</f>
        <v>14</v>
      </c>
      <c r="F320" s="14">
        <f>dummy_variables!$D$319</f>
        <v>0</v>
      </c>
      <c r="G320" s="14">
        <f>dummy_variables!$E$319</f>
        <v>0</v>
      </c>
      <c r="H320" s="14">
        <f>dummy_variables!$F$319</f>
        <v>1</v>
      </c>
      <c r="I320" s="14">
        <f>dummy_variables!$G$319</f>
        <v>1</v>
      </c>
      <c r="J320" s="14">
        <f>dummy_variables!$H$319</f>
        <v>0</v>
      </c>
      <c r="K320" s="14">
        <f>dummy_variables!$I$319</f>
        <v>0</v>
      </c>
    </row>
    <row r="321" spans="1:11" ht="15" customHeight="1">
      <c r="A321" s="14">
        <f>cleaned_data!$M$320</f>
        <v>844710.67</v>
      </c>
      <c r="B321" s="14">
        <f>cleaned_data!$F$320</f>
        <v>9967</v>
      </c>
      <c r="C321" s="14">
        <f>cleaned_data!$E$320</f>
        <v>66456.28</v>
      </c>
      <c r="D321" s="14">
        <f>cleaned_data!$I$320</f>
        <v>94.7</v>
      </c>
      <c r="E321" s="14">
        <f>cleaned_data!$H$320</f>
        <v>20</v>
      </c>
      <c r="F321" s="14">
        <f>dummy_variables!$D$320</f>
        <v>0</v>
      </c>
      <c r="G321" s="14">
        <f>dummy_variables!$E$320</f>
        <v>0</v>
      </c>
      <c r="H321" s="14">
        <f>dummy_variables!$F$320</f>
        <v>1</v>
      </c>
      <c r="I321" s="14">
        <f>dummy_variables!$G$320</f>
        <v>1</v>
      </c>
      <c r="J321" s="14">
        <f>dummy_variables!$H$320</f>
        <v>0</v>
      </c>
      <c r="K321" s="14">
        <f>dummy_variables!$I$320</f>
        <v>0</v>
      </c>
    </row>
    <row r="322" spans="1:11" ht="15" customHeight="1">
      <c r="A322" s="14">
        <f>cleaned_data!$M$321</f>
        <v>620264.19999999995</v>
      </c>
      <c r="B322" s="14">
        <f>cleaned_data!$F$321</f>
        <v>5639</v>
      </c>
      <c r="C322" s="14">
        <f>cleaned_data!$E$321</f>
        <v>76614.320000000007</v>
      </c>
      <c r="D322" s="14">
        <f>cleaned_data!$I$321</f>
        <v>92.9</v>
      </c>
      <c r="E322" s="14">
        <f>cleaned_data!$H$321</f>
        <v>15</v>
      </c>
      <c r="F322" s="14">
        <f>dummy_variables!$D$321</f>
        <v>0</v>
      </c>
      <c r="G322" s="14">
        <f>dummy_variables!$E$321</f>
        <v>0</v>
      </c>
      <c r="H322" s="14">
        <f>dummy_variables!$F$321</f>
        <v>1</v>
      </c>
      <c r="I322" s="14">
        <f>dummy_variables!$G$321</f>
        <v>0</v>
      </c>
      <c r="J322" s="14">
        <f>dummy_variables!$H$321</f>
        <v>0</v>
      </c>
      <c r="K322" s="14">
        <f>dummy_variables!$I$321</f>
        <v>0</v>
      </c>
    </row>
    <row r="323" spans="1:11" ht="15" customHeight="1">
      <c r="A323" s="14">
        <f>cleaned_data!$M$322</f>
        <v>536845.42000000004</v>
      </c>
      <c r="B323" s="14">
        <f>cleaned_data!$F$322</f>
        <v>3466</v>
      </c>
      <c r="C323" s="14">
        <f>cleaned_data!$E$322</f>
        <v>24088.06</v>
      </c>
      <c r="D323" s="14">
        <f>cleaned_data!$I$322</f>
        <v>88</v>
      </c>
      <c r="E323" s="14">
        <f>cleaned_data!$H$322</f>
        <v>11</v>
      </c>
      <c r="F323" s="14">
        <f>dummy_variables!$D$322</f>
        <v>0</v>
      </c>
      <c r="G323" s="14">
        <f>dummy_variables!$E$322</f>
        <v>0</v>
      </c>
      <c r="H323" s="14">
        <f>dummy_variables!$F$322</f>
        <v>1</v>
      </c>
      <c r="I323" s="14">
        <f>dummy_variables!$G$322</f>
        <v>0</v>
      </c>
      <c r="J323" s="14">
        <f>dummy_variables!$H$322</f>
        <v>0</v>
      </c>
      <c r="K323" s="14">
        <f>dummy_variables!$I$322</f>
        <v>0</v>
      </c>
    </row>
    <row r="324" spans="1:11" ht="15" customHeight="1">
      <c r="A324" s="14">
        <f>cleaned_data!$M$323</f>
        <v>726776.22</v>
      </c>
      <c r="B324" s="14">
        <f>cleaned_data!$F$323</f>
        <v>7775</v>
      </c>
      <c r="C324" s="14">
        <f>cleaned_data!$E$323</f>
        <v>81902.58</v>
      </c>
      <c r="D324" s="14">
        <f>cleaned_data!$I$323</f>
        <v>85.2</v>
      </c>
      <c r="E324" s="14">
        <f>cleaned_data!$H$323</f>
        <v>20</v>
      </c>
      <c r="F324" s="14">
        <f>dummy_variables!$D$323</f>
        <v>0</v>
      </c>
      <c r="G324" s="14">
        <f>dummy_variables!$E$323</f>
        <v>0</v>
      </c>
      <c r="H324" s="14">
        <f>dummy_variables!$F$323</f>
        <v>1</v>
      </c>
      <c r="I324" s="14">
        <f>dummy_variables!$G$323</f>
        <v>0</v>
      </c>
      <c r="J324" s="14">
        <f>dummy_variables!$H$323</f>
        <v>0</v>
      </c>
      <c r="K324" s="14">
        <f>dummy_variables!$I$323</f>
        <v>0</v>
      </c>
    </row>
    <row r="325" spans="1:11" ht="15" customHeight="1">
      <c r="A325" s="14">
        <f>cleaned_data!$M$324</f>
        <v>559660.84</v>
      </c>
      <c r="B325" s="14">
        <f>cleaned_data!$F$324</f>
        <v>5317</v>
      </c>
      <c r="C325" s="14">
        <f>cleaned_data!$E$324</f>
        <v>40553.11</v>
      </c>
      <c r="D325" s="14">
        <f>cleaned_data!$I$324</f>
        <v>84.3</v>
      </c>
      <c r="E325" s="14">
        <f>cleaned_data!$H$324</f>
        <v>17</v>
      </c>
      <c r="F325" s="14">
        <f>dummy_variables!$D$324</f>
        <v>0</v>
      </c>
      <c r="G325" s="14">
        <f>dummy_variables!$E$324</f>
        <v>0</v>
      </c>
      <c r="H325" s="14">
        <f>dummy_variables!$F$324</f>
        <v>1</v>
      </c>
      <c r="I325" s="14">
        <f>dummy_variables!$G$324</f>
        <v>0</v>
      </c>
      <c r="J325" s="14">
        <f>dummy_variables!$H$324</f>
        <v>0</v>
      </c>
      <c r="K325" s="14">
        <f>dummy_variables!$I$324</f>
        <v>0</v>
      </c>
    </row>
  </sheetData>
  <mergeCells count="3">
    <mergeCell ref="A2:K2"/>
    <mergeCell ref="N6:P6"/>
    <mergeCell ref="N14:X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1"/>
  <sheetViews>
    <sheetView workbookViewId="0">
      <pane ySplit="4" topLeftCell="A5" activePane="bottomLeft" state="frozen"/>
      <selection pane="bottomLeft"/>
    </sheetView>
  </sheetViews>
  <sheetFormatPr defaultColWidth="8.6640625" defaultRowHeight="14.4"/>
  <cols>
    <col min="1" max="2" width="10" style="1" customWidth="1"/>
    <col min="3" max="3" width="8" style="1" customWidth="1"/>
    <col min="4" max="4" width="13" style="1" customWidth="1"/>
    <col min="5" max="5" width="18" style="1" customWidth="1"/>
    <col min="6" max="6" width="16" style="1" customWidth="1"/>
    <col min="7" max="7" width="14" style="1" customWidth="1"/>
  </cols>
  <sheetData>
    <row r="1" spans="1:7" ht="15.75" customHeight="1">
      <c r="A1" s="2" t="s">
        <v>141</v>
      </c>
    </row>
    <row r="2" spans="1:7" ht="15" customHeight="1">
      <c r="A2" s="37" t="s">
        <v>142</v>
      </c>
      <c r="B2" s="37"/>
      <c r="C2" s="37"/>
      <c r="D2" s="37"/>
      <c r="E2" s="37"/>
      <c r="F2" s="37"/>
    </row>
    <row r="4" spans="1:7" ht="23.2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143</v>
      </c>
      <c r="F4" s="4" t="s">
        <v>144</v>
      </c>
      <c r="G4" s="4" t="s">
        <v>145</v>
      </c>
    </row>
    <row r="5" spans="1:7" ht="15" customHeight="1">
      <c r="A5" s="5" t="str">
        <f>cleaned_data!$A$5</f>
        <v>STR-1001</v>
      </c>
      <c r="B5" s="25" t="str">
        <f>cleaned_data!$B$5</f>
        <v>2025-01-01</v>
      </c>
      <c r="C5" s="5" t="str">
        <f>cleaned_data!$C$5</f>
        <v>East</v>
      </c>
      <c r="D5" s="5" t="str">
        <f>cleaned_data!$D$5</f>
        <v>Residential</v>
      </c>
      <c r="E5" s="26">
        <f>cleaned_data!$M$5</f>
        <v>658832.62</v>
      </c>
      <c r="F5" s="26">
        <f>multiple_regression!$O$18+multiple_regression!$O$19*cleaned_data!$F$5+multiple_regression!$O$20*cleaned_data!$E$5+multiple_regression!$O$21*cleaned_data!$I$5+multiple_regression!$O$22*cleaned_data!$H$5+multiple_regression!$O$23*dummy_variables!$D$5+multiple_regression!$O$24*dummy_variables!$E$5+multiple_regression!$O$25*dummy_variables!$F$5+multiple_regression!$O$26*dummy_variables!$G$5+multiple_regression!$O$27*dummy_variables!$H$5+multiple_regression!$O$28*dummy_variables!$I$5</f>
        <v>681073.06400108756</v>
      </c>
      <c r="G5" s="26">
        <f t="shared" ref="G5:G68" si="0">E5-F5</f>
        <v>-22240.44400108757</v>
      </c>
    </row>
    <row r="6" spans="1:7" ht="15" customHeight="1">
      <c r="A6" s="5" t="str">
        <f>cleaned_data!$A$6</f>
        <v>STR-1001</v>
      </c>
      <c r="B6" s="25" t="str">
        <f>cleaned_data!$B$6</f>
        <v>2025-02-01</v>
      </c>
      <c r="C6" s="5" t="str">
        <f>cleaned_data!$C$6</f>
        <v>East</v>
      </c>
      <c r="D6" s="5" t="str">
        <f>cleaned_data!$D$6</f>
        <v>Residential</v>
      </c>
      <c r="E6" s="26">
        <f>cleaned_data!$M$6</f>
        <v>634436</v>
      </c>
      <c r="F6" s="26">
        <f>multiple_regression!$O$18+multiple_regression!$O$19*cleaned_data!$F$6+multiple_regression!$O$20*cleaned_data!$E$6+multiple_regression!$O$21*cleaned_data!$I$6+multiple_regression!$O$22*cleaned_data!$H$6+multiple_regression!$O$23*dummy_variables!$D$6+multiple_regression!$O$24*dummy_variables!$E$6+multiple_regression!$O$25*dummy_variables!$F$6+multiple_regression!$O$26*dummy_variables!$G$6+multiple_regression!$O$27*dummy_variables!$H$6+multiple_regression!$O$28*dummy_variables!$I$6</f>
        <v>700207.92476843169</v>
      </c>
      <c r="G6" s="26">
        <f t="shared" si="0"/>
        <v>-65771.924768431694</v>
      </c>
    </row>
    <row r="7" spans="1:7" ht="15" customHeight="1">
      <c r="A7" s="5" t="str">
        <f>cleaned_data!$A$7</f>
        <v>STR-1001</v>
      </c>
      <c r="B7" s="25" t="str">
        <f>cleaned_data!$B$7</f>
        <v>2025-03-01</v>
      </c>
      <c r="C7" s="5" t="str">
        <f>cleaned_data!$C$7</f>
        <v>East</v>
      </c>
      <c r="D7" s="5" t="str">
        <f>cleaned_data!$D$7</f>
        <v>Residential</v>
      </c>
      <c r="E7" s="26">
        <f>cleaned_data!$M$7</f>
        <v>678722.06</v>
      </c>
      <c r="F7" s="26">
        <f>multiple_regression!$O$18+multiple_regression!$O$19*cleaned_data!$F$7+multiple_regression!$O$20*cleaned_data!$E$7+multiple_regression!$O$21*cleaned_data!$I$7+multiple_regression!$O$22*cleaned_data!$H$7+multiple_regression!$O$23*dummy_variables!$D$7+multiple_regression!$O$24*dummy_variables!$E$7+multiple_regression!$O$25*dummy_variables!$F$7+multiple_regression!$O$26*dummy_variables!$G$7+multiple_regression!$O$27*dummy_variables!$H$7+multiple_regression!$O$28*dummy_variables!$I$7</f>
        <v>739583.52659778472</v>
      </c>
      <c r="G7" s="26">
        <f t="shared" si="0"/>
        <v>-60861.46659778466</v>
      </c>
    </row>
    <row r="8" spans="1:7" ht="15" customHeight="1">
      <c r="A8" s="5" t="str">
        <f>cleaned_data!$A$8</f>
        <v>STR-1001</v>
      </c>
      <c r="B8" s="25" t="str">
        <f>cleaned_data!$B$8</f>
        <v>2025-04-01</v>
      </c>
      <c r="C8" s="5" t="str">
        <f>cleaned_data!$C$8</f>
        <v>East</v>
      </c>
      <c r="D8" s="5" t="str">
        <f>cleaned_data!$D$8</f>
        <v>Residential</v>
      </c>
      <c r="E8" s="26">
        <f>cleaned_data!$M$8</f>
        <v>658920.30000000005</v>
      </c>
      <c r="F8" s="26">
        <f>multiple_regression!$O$18+multiple_regression!$O$19*cleaned_data!$F$8+multiple_regression!$O$20*cleaned_data!$E$8+multiple_regression!$O$21*cleaned_data!$I$8+multiple_regression!$O$22*cleaned_data!$H$8+multiple_regression!$O$23*dummy_variables!$D$8+multiple_regression!$O$24*dummy_variables!$E$8+multiple_regression!$O$25*dummy_variables!$F$8+multiple_regression!$O$26*dummy_variables!$G$8+multiple_regression!$O$27*dummy_variables!$H$8+multiple_regression!$O$28*dummy_variables!$I$8</f>
        <v>750221.69959265983</v>
      </c>
      <c r="G8" s="26">
        <f t="shared" si="0"/>
        <v>-91301.399592659785</v>
      </c>
    </row>
    <row r="9" spans="1:7" ht="15" customHeight="1">
      <c r="A9" s="5" t="str">
        <f>cleaned_data!$A$9</f>
        <v>STR-1002</v>
      </c>
      <c r="B9" s="25" t="str">
        <f>cleaned_data!$B$9</f>
        <v>2025-01-01</v>
      </c>
      <c r="C9" s="5" t="str">
        <f>cleaned_data!$C$9</f>
        <v>East</v>
      </c>
      <c r="D9" s="5" t="str">
        <f>cleaned_data!$D$9</f>
        <v>High Street</v>
      </c>
      <c r="E9" s="26">
        <f>cleaned_data!$M$9</f>
        <v>741341.44</v>
      </c>
      <c r="F9" s="26">
        <f>multiple_regression!$O$18+multiple_regression!$O$19*cleaned_data!$F$9+multiple_regression!$O$20*cleaned_data!$E$9+multiple_regression!$O$21*cleaned_data!$I$9+multiple_regression!$O$22*cleaned_data!$H$9+multiple_regression!$O$23*dummy_variables!$D$9+multiple_regression!$O$24*dummy_variables!$E$9+multiple_regression!$O$25*dummy_variables!$F$9+multiple_regression!$O$26*dummy_variables!$G$9+multiple_regression!$O$27*dummy_variables!$H$9+multiple_regression!$O$28*dummy_variables!$I$9</f>
        <v>787555.18663852627</v>
      </c>
      <c r="G9" s="26">
        <f t="shared" si="0"/>
        <v>-46213.746638526325</v>
      </c>
    </row>
    <row r="10" spans="1:7" ht="15" customHeight="1">
      <c r="A10" s="5" t="str">
        <f>cleaned_data!$A$10</f>
        <v>STR-1002</v>
      </c>
      <c r="B10" s="25" t="str">
        <f>cleaned_data!$B$10</f>
        <v>2025-02-01</v>
      </c>
      <c r="C10" s="5" t="str">
        <f>cleaned_data!$C$10</f>
        <v>East</v>
      </c>
      <c r="D10" s="5" t="str">
        <f>cleaned_data!$D$10</f>
        <v>High Street</v>
      </c>
      <c r="E10" s="26">
        <f>cleaned_data!$M$10</f>
        <v>761835.34</v>
      </c>
      <c r="F10" s="26">
        <f>multiple_regression!$O$18+multiple_regression!$O$19*cleaned_data!$F$10+multiple_regression!$O$20*cleaned_data!$E$10+multiple_regression!$O$21*cleaned_data!$I$10+multiple_regression!$O$22*cleaned_data!$H$10+multiple_regression!$O$23*dummy_variables!$D$10+multiple_regression!$O$24*dummy_variables!$E$10+multiple_regression!$O$25*dummy_variables!$F$10+multiple_regression!$O$26*dummy_variables!$G$10+multiple_regression!$O$27*dummy_variables!$H$10+multiple_regression!$O$28*dummy_variables!$I$10</f>
        <v>770886.53379302821</v>
      </c>
      <c r="G10" s="26">
        <f t="shared" si="0"/>
        <v>-9051.1937930282438</v>
      </c>
    </row>
    <row r="11" spans="1:7" ht="15" customHeight="1">
      <c r="A11" s="5" t="str">
        <f>cleaned_data!$A$11</f>
        <v>STR-1002</v>
      </c>
      <c r="B11" s="25" t="str">
        <f>cleaned_data!$B$11</f>
        <v>2025-03-01</v>
      </c>
      <c r="C11" s="5" t="str">
        <f>cleaned_data!$C$11</f>
        <v>East</v>
      </c>
      <c r="D11" s="5" t="str">
        <f>cleaned_data!$D$11</f>
        <v>High Street</v>
      </c>
      <c r="E11" s="26">
        <f>cleaned_data!$M$11</f>
        <v>806615.54</v>
      </c>
      <c r="F11" s="26">
        <f>multiple_regression!$O$18+multiple_regression!$O$19*cleaned_data!$F$11+multiple_regression!$O$20*cleaned_data!$E$11+multiple_regression!$O$21*cleaned_data!$I$11+multiple_regression!$O$22*cleaned_data!$H$11+multiple_regression!$O$23*dummy_variables!$D$11+multiple_regression!$O$24*dummy_variables!$E$11+multiple_regression!$O$25*dummy_variables!$F$11+multiple_regression!$O$26*dummy_variables!$G$11+multiple_regression!$O$27*dummy_variables!$H$11+multiple_regression!$O$28*dummy_variables!$I$11</f>
        <v>781399.30965364317</v>
      </c>
      <c r="G11" s="26">
        <f t="shared" si="0"/>
        <v>25216.230346356868</v>
      </c>
    </row>
    <row r="12" spans="1:7" ht="15" customHeight="1">
      <c r="A12" s="5" t="str">
        <f>cleaned_data!$A$12</f>
        <v>STR-1002</v>
      </c>
      <c r="B12" s="25" t="str">
        <f>cleaned_data!$B$12</f>
        <v>2025-04-01</v>
      </c>
      <c r="C12" s="5" t="str">
        <f>cleaned_data!$C$12</f>
        <v>East</v>
      </c>
      <c r="D12" s="5" t="str">
        <f>cleaned_data!$D$12</f>
        <v>High Street</v>
      </c>
      <c r="E12" s="26">
        <f>cleaned_data!$M$12</f>
        <v>850164.26</v>
      </c>
      <c r="F12" s="26">
        <f>multiple_regression!$O$18+multiple_regression!$O$19*cleaned_data!$F$12+multiple_regression!$O$20*cleaned_data!$E$12+multiple_regression!$O$21*cleaned_data!$I$12+multiple_regression!$O$22*cleaned_data!$H$12+multiple_regression!$O$23*dummy_variables!$D$12+multiple_regression!$O$24*dummy_variables!$E$12+multiple_regression!$O$25*dummy_variables!$F$12+multiple_regression!$O$26*dummy_variables!$G$12+multiple_regression!$O$27*dummy_variables!$H$12+multiple_regression!$O$28*dummy_variables!$I$12</f>
        <v>782097.08694616065</v>
      </c>
      <c r="G12" s="26">
        <f t="shared" si="0"/>
        <v>68067.17305383936</v>
      </c>
    </row>
    <row r="13" spans="1:7" ht="15" customHeight="1">
      <c r="A13" s="5" t="str">
        <f>cleaned_data!$A$13</f>
        <v>STR-1003</v>
      </c>
      <c r="B13" s="25" t="str">
        <f>cleaned_data!$B$13</f>
        <v>2025-01-01</v>
      </c>
      <c r="C13" s="5" t="str">
        <f>cleaned_data!$C$13</f>
        <v>North</v>
      </c>
      <c r="D13" s="5" t="str">
        <f>cleaned_data!$D$13</f>
        <v>Airport</v>
      </c>
      <c r="E13" s="26">
        <f>cleaned_data!$M$13</f>
        <v>930581.7</v>
      </c>
      <c r="F13" s="26">
        <f>multiple_regression!$O$18+multiple_regression!$O$19*cleaned_data!$F$13+multiple_regression!$O$20*cleaned_data!$E$13+multiple_regression!$O$21*cleaned_data!$I$13+multiple_regression!$O$22*cleaned_data!$H$13+multiple_regression!$O$23*dummy_variables!$D$13+multiple_regression!$O$24*dummy_variables!$E$13+multiple_regression!$O$25*dummy_variables!$F$13+multiple_regression!$O$26*dummy_variables!$G$13+multiple_regression!$O$27*dummy_variables!$H$13+multiple_regression!$O$28*dummy_variables!$I$13</f>
        <v>873444.96348194114</v>
      </c>
      <c r="G13" s="26">
        <f t="shared" si="0"/>
        <v>57136.736518058809</v>
      </c>
    </row>
    <row r="14" spans="1:7" ht="15" customHeight="1">
      <c r="A14" s="5" t="str">
        <f>cleaned_data!$A$14</f>
        <v>STR-1003</v>
      </c>
      <c r="B14" s="25" t="str">
        <f>cleaned_data!$B$14</f>
        <v>2025-02-01</v>
      </c>
      <c r="C14" s="5" t="str">
        <f>cleaned_data!$C$14</f>
        <v>North</v>
      </c>
      <c r="D14" s="5" t="str">
        <f>cleaned_data!$D$14</f>
        <v>Airport</v>
      </c>
      <c r="E14" s="26">
        <f>cleaned_data!$M$14</f>
        <v>779010.94</v>
      </c>
      <c r="F14" s="26">
        <f>multiple_regression!$O$18+multiple_regression!$O$19*cleaned_data!$F$14+multiple_regression!$O$20*cleaned_data!$E$14+multiple_regression!$O$21*cleaned_data!$I$14+multiple_regression!$O$22*cleaned_data!$H$14+multiple_regression!$O$23*dummy_variables!$D$14+multiple_regression!$O$24*dummy_variables!$E$14+multiple_regression!$O$25*dummy_variables!$F$14+multiple_regression!$O$26*dummy_variables!$G$14+multiple_regression!$O$27*dummy_variables!$H$14+multiple_regression!$O$28*dummy_variables!$I$14</f>
        <v>800511.5495061042</v>
      </c>
      <c r="G14" s="26">
        <f t="shared" si="0"/>
        <v>-21500.609506104258</v>
      </c>
    </row>
    <row r="15" spans="1:7" ht="15" customHeight="1">
      <c r="A15" s="5" t="str">
        <f>cleaned_data!$A$15</f>
        <v>STR-1003</v>
      </c>
      <c r="B15" s="25" t="str">
        <f>cleaned_data!$B$15</f>
        <v>2025-03-01</v>
      </c>
      <c r="C15" s="5" t="str">
        <f>cleaned_data!$C$15</f>
        <v>North</v>
      </c>
      <c r="D15" s="5" t="str">
        <f>cleaned_data!$D$15</f>
        <v>Airport</v>
      </c>
      <c r="E15" s="26">
        <f>cleaned_data!$M$15</f>
        <v>723060.76</v>
      </c>
      <c r="F15" s="26">
        <f>multiple_regression!$O$18+multiple_regression!$O$19*cleaned_data!$F$15+multiple_regression!$O$20*cleaned_data!$E$15+multiple_regression!$O$21*cleaned_data!$I$15+multiple_regression!$O$22*cleaned_data!$H$15+multiple_regression!$O$23*dummy_variables!$D$15+multiple_regression!$O$24*dummy_variables!$E$15+multiple_regression!$O$25*dummy_variables!$F$15+multiple_regression!$O$26*dummy_variables!$G$15+multiple_regression!$O$27*dummy_variables!$H$15+multiple_regression!$O$28*dummy_variables!$I$15</f>
        <v>765214.1240365319</v>
      </c>
      <c r="G15" s="26">
        <f t="shared" si="0"/>
        <v>-42153.364036531886</v>
      </c>
    </row>
    <row r="16" spans="1:7" ht="15" customHeight="1">
      <c r="A16" s="5" t="str">
        <f>cleaned_data!$A$16</f>
        <v>STR-1003</v>
      </c>
      <c r="B16" s="25" t="str">
        <f>cleaned_data!$B$16</f>
        <v>2025-04-01</v>
      </c>
      <c r="C16" s="5" t="str">
        <f>cleaned_data!$C$16</f>
        <v>North</v>
      </c>
      <c r="D16" s="5" t="str">
        <f>cleaned_data!$D$16</f>
        <v>Airport</v>
      </c>
      <c r="E16" s="26">
        <f>cleaned_data!$M$16</f>
        <v>910791.94</v>
      </c>
      <c r="F16" s="26">
        <f>multiple_regression!$O$18+multiple_regression!$O$19*cleaned_data!$F$16+multiple_regression!$O$20*cleaned_data!$E$16+multiple_regression!$O$21*cleaned_data!$I$16+multiple_regression!$O$22*cleaned_data!$H$16+multiple_regression!$O$23*dummy_variables!$D$16+multiple_regression!$O$24*dummy_variables!$E$16+multiple_regression!$O$25*dummy_variables!$F$16+multiple_regression!$O$26*dummy_variables!$G$16+multiple_regression!$O$27*dummy_variables!$H$16+multiple_regression!$O$28*dummy_variables!$I$16</f>
        <v>871822.07792838546</v>
      </c>
      <c r="G16" s="26">
        <f t="shared" si="0"/>
        <v>38969.86207161448</v>
      </c>
    </row>
    <row r="17" spans="1:7" ht="15" customHeight="1">
      <c r="A17" s="5" t="str">
        <f>cleaned_data!$A$17</f>
        <v>STR-1004</v>
      </c>
      <c r="B17" s="25" t="str">
        <f>cleaned_data!$B$17</f>
        <v>2025-01-01</v>
      </c>
      <c r="C17" s="5" t="str">
        <f>cleaned_data!$C$17</f>
        <v>East</v>
      </c>
      <c r="D17" s="5" t="str">
        <f>cleaned_data!$D$17</f>
        <v>Residential</v>
      </c>
      <c r="E17" s="26">
        <f>cleaned_data!$M$17</f>
        <v>922168.6</v>
      </c>
      <c r="F17" s="26">
        <f>multiple_regression!$O$18+multiple_regression!$O$19*cleaned_data!$F$17+multiple_regression!$O$20*cleaned_data!$E$17+multiple_regression!$O$21*cleaned_data!$I$17+multiple_regression!$O$22*cleaned_data!$H$17+multiple_regression!$O$23*dummy_variables!$D$17+multiple_regression!$O$24*dummy_variables!$E$17+multiple_regression!$O$25*dummy_variables!$F$17+multiple_regression!$O$26*dummy_variables!$G$17+multiple_regression!$O$27*dummy_variables!$H$17+multiple_regression!$O$28*dummy_variables!$I$17</f>
        <v>868113.28471323929</v>
      </c>
      <c r="G17" s="26">
        <f t="shared" si="0"/>
        <v>54055.315286760684</v>
      </c>
    </row>
    <row r="18" spans="1:7" ht="15" customHeight="1">
      <c r="A18" s="5" t="str">
        <f>cleaned_data!$A$18</f>
        <v>STR-1004</v>
      </c>
      <c r="B18" s="25" t="str">
        <f>cleaned_data!$B$18</f>
        <v>2025-02-01</v>
      </c>
      <c r="C18" s="5" t="str">
        <f>cleaned_data!$C$18</f>
        <v>East</v>
      </c>
      <c r="D18" s="5" t="str">
        <f>cleaned_data!$D$18</f>
        <v>Residential</v>
      </c>
      <c r="E18" s="26">
        <f>cleaned_data!$M$18</f>
        <v>726606.28</v>
      </c>
      <c r="F18" s="26">
        <f>multiple_regression!$O$18+multiple_regression!$O$19*cleaned_data!$F$18+multiple_regression!$O$20*cleaned_data!$E$18+multiple_regression!$O$21*cleaned_data!$I$18+multiple_regression!$O$22*cleaned_data!$H$18+multiple_regression!$O$23*dummy_variables!$D$18+multiple_regression!$O$24*dummy_variables!$E$18+multiple_regression!$O$25*dummy_variables!$F$18+multiple_regression!$O$26*dummy_variables!$G$18+multiple_regression!$O$27*dummy_variables!$H$18+multiple_regression!$O$28*dummy_variables!$I$18</f>
        <v>763628.34513036581</v>
      </c>
      <c r="G18" s="26">
        <f t="shared" si="0"/>
        <v>-37022.06513036578</v>
      </c>
    </row>
    <row r="19" spans="1:7" ht="15" customHeight="1">
      <c r="A19" s="5" t="str">
        <f>cleaned_data!$A$19</f>
        <v>STR-1004</v>
      </c>
      <c r="B19" s="25" t="str">
        <f>cleaned_data!$B$19</f>
        <v>2025-03-01</v>
      </c>
      <c r="C19" s="5" t="str">
        <f>cleaned_data!$C$19</f>
        <v>East</v>
      </c>
      <c r="D19" s="5" t="str">
        <f>cleaned_data!$D$19</f>
        <v>Residential</v>
      </c>
      <c r="E19" s="26">
        <f>cleaned_data!$M$19</f>
        <v>746501.09</v>
      </c>
      <c r="F19" s="26">
        <f>multiple_regression!$O$18+multiple_regression!$O$19*cleaned_data!$F$19+multiple_regression!$O$20*cleaned_data!$E$19+multiple_regression!$O$21*cleaned_data!$I$19+multiple_regression!$O$22*cleaned_data!$H$19+multiple_regression!$O$23*dummy_variables!$D$19+multiple_regression!$O$24*dummy_variables!$E$19+multiple_regression!$O$25*dummy_variables!$F$19+multiple_regression!$O$26*dummy_variables!$G$19+multiple_regression!$O$27*dummy_variables!$H$19+multiple_regression!$O$28*dummy_variables!$I$19</f>
        <v>744058.56017611374</v>
      </c>
      <c r="G19" s="26">
        <f t="shared" si="0"/>
        <v>2442.5298238862306</v>
      </c>
    </row>
    <row r="20" spans="1:7" ht="15" customHeight="1">
      <c r="A20" s="5" t="str">
        <f>cleaned_data!$A$20</f>
        <v>STR-1004</v>
      </c>
      <c r="B20" s="25" t="str">
        <f>cleaned_data!$B$20</f>
        <v>2025-04-01</v>
      </c>
      <c r="C20" s="5" t="str">
        <f>cleaned_data!$C$20</f>
        <v>East</v>
      </c>
      <c r="D20" s="5" t="str">
        <f>cleaned_data!$D$20</f>
        <v>Residential</v>
      </c>
      <c r="E20" s="26">
        <f>cleaned_data!$M$20</f>
        <v>834017.02</v>
      </c>
      <c r="F20" s="26">
        <f>multiple_regression!$O$18+multiple_regression!$O$19*cleaned_data!$F$20+multiple_regression!$O$20*cleaned_data!$E$20+multiple_regression!$O$21*cleaned_data!$I$20+multiple_regression!$O$22*cleaned_data!$H$20+multiple_regression!$O$23*dummy_variables!$D$20+multiple_regression!$O$24*dummy_variables!$E$20+multiple_regression!$O$25*dummy_variables!$F$20+multiple_regression!$O$26*dummy_variables!$G$20+multiple_regression!$O$27*dummy_variables!$H$20+multiple_regression!$O$28*dummy_variables!$I$20</f>
        <v>792513.83104282885</v>
      </c>
      <c r="G20" s="26">
        <f t="shared" si="0"/>
        <v>41503.188957171165</v>
      </c>
    </row>
    <row r="21" spans="1:7" ht="15" customHeight="1">
      <c r="A21" s="5" t="str">
        <f>cleaned_data!$A$21</f>
        <v>STR-1005</v>
      </c>
      <c r="B21" s="25" t="str">
        <f>cleaned_data!$B$21</f>
        <v>2025-01-01</v>
      </c>
      <c r="C21" s="5" t="str">
        <f>cleaned_data!$C$21</f>
        <v>South</v>
      </c>
      <c r="D21" s="5" t="str">
        <f>cleaned_data!$D$21</f>
        <v>Residential</v>
      </c>
      <c r="E21" s="26">
        <f>cleaned_data!$M$21</f>
        <v>666152.52</v>
      </c>
      <c r="F21" s="26">
        <f>multiple_regression!$O$18+multiple_regression!$O$19*cleaned_data!$F$21+multiple_regression!$O$20*cleaned_data!$E$21+multiple_regression!$O$21*cleaned_data!$I$21+multiple_regression!$O$22*cleaned_data!$H$21+multiple_regression!$O$23*dummy_variables!$D$21+multiple_regression!$O$24*dummy_variables!$E$21+multiple_regression!$O$25*dummy_variables!$F$21+multiple_regression!$O$26*dummy_variables!$G$21+multiple_regression!$O$27*dummy_variables!$H$21+multiple_regression!$O$28*dummy_variables!$I$21</f>
        <v>673310.65033124795</v>
      </c>
      <c r="G21" s="26">
        <f t="shared" si="0"/>
        <v>-7158.1303312479286</v>
      </c>
    </row>
    <row r="22" spans="1:7" ht="15" customHeight="1">
      <c r="A22" s="5" t="str">
        <f>cleaned_data!$A$22</f>
        <v>STR-1005</v>
      </c>
      <c r="B22" s="25" t="str">
        <f>cleaned_data!$B$22</f>
        <v>2025-02-01</v>
      </c>
      <c r="C22" s="5" t="str">
        <f>cleaned_data!$C$22</f>
        <v>South</v>
      </c>
      <c r="D22" s="5" t="str">
        <f>cleaned_data!$D$22</f>
        <v>Residential</v>
      </c>
      <c r="E22" s="26">
        <f>cleaned_data!$M$22</f>
        <v>573155.18999999994</v>
      </c>
      <c r="F22" s="26">
        <f>multiple_regression!$O$18+multiple_regression!$O$19*cleaned_data!$F$22+multiple_regression!$O$20*cleaned_data!$E$22+multiple_regression!$O$21*cleaned_data!$I$22+multiple_regression!$O$22*cleaned_data!$H$22+multiple_regression!$O$23*dummy_variables!$D$22+multiple_regression!$O$24*dummy_variables!$E$22+multiple_regression!$O$25*dummy_variables!$F$22+multiple_regression!$O$26*dummy_variables!$G$22+multiple_regression!$O$27*dummy_variables!$H$22+multiple_regression!$O$28*dummy_variables!$I$22</f>
        <v>587823.24614967301</v>
      </c>
      <c r="G22" s="26">
        <f t="shared" si="0"/>
        <v>-14668.056149673066</v>
      </c>
    </row>
    <row r="23" spans="1:7" ht="15" customHeight="1">
      <c r="A23" s="5" t="str">
        <f>cleaned_data!$A$23</f>
        <v>STR-1005</v>
      </c>
      <c r="B23" s="25" t="str">
        <f>cleaned_data!$B$23</f>
        <v>2025-03-01</v>
      </c>
      <c r="C23" s="5" t="str">
        <f>cleaned_data!$C$23</f>
        <v>South</v>
      </c>
      <c r="D23" s="5" t="str">
        <f>cleaned_data!$D$23</f>
        <v>Residential</v>
      </c>
      <c r="E23" s="26">
        <f>cleaned_data!$M$23</f>
        <v>666573.19999999995</v>
      </c>
      <c r="F23" s="26">
        <f>multiple_regression!$O$18+multiple_regression!$O$19*cleaned_data!$F$23+multiple_regression!$O$20*cleaned_data!$E$23+multiple_regression!$O$21*cleaned_data!$I$23+multiple_regression!$O$22*cleaned_data!$H$23+multiple_regression!$O$23*dummy_variables!$D$23+multiple_regression!$O$24*dummy_variables!$E$23+multiple_regression!$O$25*dummy_variables!$F$23+multiple_regression!$O$26*dummy_variables!$G$23+multiple_regression!$O$27*dummy_variables!$H$23+multiple_regression!$O$28*dummy_variables!$I$23</f>
        <v>683980.76113239245</v>
      </c>
      <c r="G23" s="26">
        <f t="shared" si="0"/>
        <v>-17407.561132392497</v>
      </c>
    </row>
    <row r="24" spans="1:7" ht="15" customHeight="1">
      <c r="A24" s="5" t="str">
        <f>cleaned_data!$A$24</f>
        <v>STR-1005</v>
      </c>
      <c r="B24" s="25" t="str">
        <f>cleaned_data!$B$24</f>
        <v>2025-04-01</v>
      </c>
      <c r="C24" s="5" t="str">
        <f>cleaned_data!$C$24</f>
        <v>South</v>
      </c>
      <c r="D24" s="5" t="str">
        <f>cleaned_data!$D$24</f>
        <v>Residential</v>
      </c>
      <c r="E24" s="26">
        <f>cleaned_data!$M$24</f>
        <v>591619.94999999995</v>
      </c>
      <c r="F24" s="26">
        <f>multiple_regression!$O$18+multiple_regression!$O$19*cleaned_data!$F$24+multiple_regression!$O$20*cleaned_data!$E$24+multiple_regression!$O$21*cleaned_data!$I$24+multiple_regression!$O$22*cleaned_data!$H$24+multiple_regression!$O$23*dummy_variables!$D$24+multiple_regression!$O$24*dummy_variables!$E$24+multiple_regression!$O$25*dummy_variables!$F$24+multiple_regression!$O$26*dummy_variables!$G$24+multiple_regression!$O$27*dummy_variables!$H$24+multiple_regression!$O$28*dummy_variables!$I$24</f>
        <v>606069.25437069661</v>
      </c>
      <c r="G24" s="26">
        <f t="shared" si="0"/>
        <v>-14449.304370696656</v>
      </c>
    </row>
    <row r="25" spans="1:7" ht="15" customHeight="1">
      <c r="A25" s="5" t="str">
        <f>cleaned_data!$A$25</f>
        <v>STR-1006</v>
      </c>
      <c r="B25" s="25" t="str">
        <f>cleaned_data!$B$25</f>
        <v>2025-01-01</v>
      </c>
      <c r="C25" s="5" t="str">
        <f>cleaned_data!$C$25</f>
        <v>North</v>
      </c>
      <c r="D25" s="5" t="str">
        <f>cleaned_data!$D$25</f>
        <v>Residential</v>
      </c>
      <c r="E25" s="26">
        <f>cleaned_data!$M$25</f>
        <v>415721.82</v>
      </c>
      <c r="F25" s="26">
        <f>multiple_regression!$O$18+multiple_regression!$O$19*cleaned_data!$F$25+multiple_regression!$O$20*cleaned_data!$E$25+multiple_regression!$O$21*cleaned_data!$I$25+multiple_regression!$O$22*cleaned_data!$H$25+multiple_regression!$O$23*dummy_variables!$D$25+multiple_regression!$O$24*dummy_variables!$E$25+multiple_regression!$O$25*dummy_variables!$F$25+multiple_regression!$O$26*dummy_variables!$G$25+multiple_regression!$O$27*dummy_variables!$H$25+multiple_regression!$O$28*dummy_variables!$I$25</f>
        <v>490816.28719753103</v>
      </c>
      <c r="G25" s="26">
        <f t="shared" si="0"/>
        <v>-75094.467197531019</v>
      </c>
    </row>
    <row r="26" spans="1:7" ht="15" customHeight="1">
      <c r="A26" s="5" t="str">
        <f>cleaned_data!$A$26</f>
        <v>STR-1006</v>
      </c>
      <c r="B26" s="25" t="str">
        <f>cleaned_data!$B$26</f>
        <v>2025-02-01</v>
      </c>
      <c r="C26" s="5" t="str">
        <f>cleaned_data!$C$26</f>
        <v>North</v>
      </c>
      <c r="D26" s="5" t="str">
        <f>cleaned_data!$D$26</f>
        <v>Residential</v>
      </c>
      <c r="E26" s="26">
        <f>cleaned_data!$M$26</f>
        <v>491905.13</v>
      </c>
      <c r="F26" s="26">
        <f>multiple_regression!$O$18+multiple_regression!$O$19*cleaned_data!$F$26+multiple_regression!$O$20*cleaned_data!$E$26+multiple_regression!$O$21*cleaned_data!$I$26+multiple_regression!$O$22*cleaned_data!$H$26+multiple_regression!$O$23*dummy_variables!$D$26+multiple_regression!$O$24*dummy_variables!$E$26+multiple_regression!$O$25*dummy_variables!$F$26+multiple_regression!$O$26*dummy_variables!$G$26+multiple_regression!$O$27*dummy_variables!$H$26+multiple_regression!$O$28*dummy_variables!$I$26</f>
        <v>482640.62276032864</v>
      </c>
      <c r="G26" s="26">
        <f t="shared" si="0"/>
        <v>9264.5072396713658</v>
      </c>
    </row>
    <row r="27" spans="1:7" ht="15" customHeight="1">
      <c r="A27" s="5" t="str">
        <f>cleaned_data!$A$27</f>
        <v>STR-1006</v>
      </c>
      <c r="B27" s="25" t="str">
        <f>cleaned_data!$B$27</f>
        <v>2025-03-01</v>
      </c>
      <c r="C27" s="5" t="str">
        <f>cleaned_data!$C$27</f>
        <v>North</v>
      </c>
      <c r="D27" s="5" t="str">
        <f>cleaned_data!$D$27</f>
        <v>Residential</v>
      </c>
      <c r="E27" s="26">
        <f>cleaned_data!$M$27</f>
        <v>555929.4</v>
      </c>
      <c r="F27" s="26">
        <f>multiple_regression!$O$18+multiple_regression!$O$19*cleaned_data!$F$27+multiple_regression!$O$20*cleaned_data!$E$27+multiple_regression!$O$21*cleaned_data!$I$27+multiple_regression!$O$22*cleaned_data!$H$27+multiple_regression!$O$23*dummy_variables!$D$27+multiple_regression!$O$24*dummy_variables!$E$27+multiple_regression!$O$25*dummy_variables!$F$27+multiple_regression!$O$26*dummy_variables!$G$27+multiple_regression!$O$27*dummy_variables!$H$27+multiple_regression!$O$28*dummy_variables!$I$27</f>
        <v>523173.38454066485</v>
      </c>
      <c r="G27" s="26">
        <f t="shared" si="0"/>
        <v>32756.015459335176</v>
      </c>
    </row>
    <row r="28" spans="1:7" ht="15" customHeight="1">
      <c r="A28" s="5" t="str">
        <f>cleaned_data!$A$28</f>
        <v>STR-1006</v>
      </c>
      <c r="B28" s="25" t="str">
        <f>cleaned_data!$B$28</f>
        <v>2025-04-01</v>
      </c>
      <c r="C28" s="5" t="str">
        <f>cleaned_data!$C$28</f>
        <v>North</v>
      </c>
      <c r="D28" s="5" t="str">
        <f>cleaned_data!$D$28</f>
        <v>Residential</v>
      </c>
      <c r="E28" s="26">
        <f>cleaned_data!$M$28</f>
        <v>565810.99</v>
      </c>
      <c r="F28" s="26">
        <f>multiple_regression!$O$18+multiple_regression!$O$19*cleaned_data!$F$28+multiple_regression!$O$20*cleaned_data!$E$28+multiple_regression!$O$21*cleaned_data!$I$28+multiple_regression!$O$22*cleaned_data!$H$28+multiple_regression!$O$23*dummy_variables!$D$28+multiple_regression!$O$24*dummy_variables!$E$28+multiple_regression!$O$25*dummy_variables!$F$28+multiple_regression!$O$26*dummy_variables!$G$28+multiple_regression!$O$27*dummy_variables!$H$28+multiple_regression!$O$28*dummy_variables!$I$28</f>
        <v>552295.4262520466</v>
      </c>
      <c r="G28" s="26">
        <f t="shared" si="0"/>
        <v>13515.563747953391</v>
      </c>
    </row>
    <row r="29" spans="1:7" ht="15" customHeight="1">
      <c r="A29" s="5" t="str">
        <f>cleaned_data!$A$29</f>
        <v>STR-1007</v>
      </c>
      <c r="B29" s="25" t="str">
        <f>cleaned_data!$B$29</f>
        <v>2025-01-01</v>
      </c>
      <c r="C29" s="5" t="str">
        <f>cleaned_data!$C$29</f>
        <v>West</v>
      </c>
      <c r="D29" s="5" t="str">
        <f>cleaned_data!$D$29</f>
        <v>Mall</v>
      </c>
      <c r="E29" s="26">
        <f>cleaned_data!$M$29</f>
        <v>811771.14</v>
      </c>
      <c r="F29" s="26">
        <f>multiple_regression!$O$18+multiple_regression!$O$19*cleaned_data!$F$29+multiple_regression!$O$20*cleaned_data!$E$29+multiple_regression!$O$21*cleaned_data!$I$29+multiple_regression!$O$22*cleaned_data!$H$29+multiple_regression!$O$23*dummy_variables!$D$29+multiple_regression!$O$24*dummy_variables!$E$29+multiple_regression!$O$25*dummy_variables!$F$29+multiple_regression!$O$26*dummy_variables!$G$29+multiple_regression!$O$27*dummy_variables!$H$29+multiple_regression!$O$28*dummy_variables!$I$29</f>
        <v>851690.26137104863</v>
      </c>
      <c r="G29" s="26">
        <f t="shared" si="0"/>
        <v>-39919.121371048619</v>
      </c>
    </row>
    <row r="30" spans="1:7" ht="15" customHeight="1">
      <c r="A30" s="5" t="str">
        <f>cleaned_data!$A$30</f>
        <v>STR-1007</v>
      </c>
      <c r="B30" s="25" t="str">
        <f>cleaned_data!$B$30</f>
        <v>2025-02-01</v>
      </c>
      <c r="C30" s="5" t="str">
        <f>cleaned_data!$C$30</f>
        <v>West</v>
      </c>
      <c r="D30" s="5" t="str">
        <f>cleaned_data!$D$30</f>
        <v>Mall</v>
      </c>
      <c r="E30" s="26">
        <f>cleaned_data!$M$30</f>
        <v>800451.94</v>
      </c>
      <c r="F30" s="26">
        <f>multiple_regression!$O$18+multiple_regression!$O$19*cleaned_data!$F$30+multiple_regression!$O$20*cleaned_data!$E$30+multiple_regression!$O$21*cleaned_data!$I$30+multiple_regression!$O$22*cleaned_data!$H$30+multiple_regression!$O$23*dummy_variables!$D$30+multiple_regression!$O$24*dummy_variables!$E$30+multiple_regression!$O$25*dummy_variables!$F$30+multiple_regression!$O$26*dummy_variables!$G$30+multiple_regression!$O$27*dummy_variables!$H$30+multiple_regression!$O$28*dummy_variables!$I$30</f>
        <v>914908.11187683023</v>
      </c>
      <c r="G30" s="26">
        <f t="shared" si="0"/>
        <v>-114456.17187683028</v>
      </c>
    </row>
    <row r="31" spans="1:7" ht="15" customHeight="1">
      <c r="A31" s="5" t="str">
        <f>cleaned_data!$A$31</f>
        <v>STR-1007</v>
      </c>
      <c r="B31" s="25" t="str">
        <f>cleaned_data!$B$31</f>
        <v>2025-03-01</v>
      </c>
      <c r="C31" s="5" t="str">
        <f>cleaned_data!$C$31</f>
        <v>West</v>
      </c>
      <c r="D31" s="5" t="str">
        <f>cleaned_data!$D$31</f>
        <v>Mall</v>
      </c>
      <c r="E31" s="26">
        <f>cleaned_data!$M$31</f>
        <v>783672.82</v>
      </c>
      <c r="F31" s="26">
        <f>multiple_regression!$O$18+multiple_regression!$O$19*cleaned_data!$F$31+multiple_regression!$O$20*cleaned_data!$E$31+multiple_regression!$O$21*cleaned_data!$I$31+multiple_regression!$O$22*cleaned_data!$H$31+multiple_regression!$O$23*dummy_variables!$D$31+multiple_regression!$O$24*dummy_variables!$E$31+multiple_regression!$O$25*dummy_variables!$F$31+multiple_regression!$O$26*dummy_variables!$G$31+multiple_regression!$O$27*dummy_variables!$H$31+multiple_regression!$O$28*dummy_variables!$I$31</f>
        <v>808519.55259859632</v>
      </c>
      <c r="G31" s="26">
        <f t="shared" si="0"/>
        <v>-24846.732598596369</v>
      </c>
    </row>
    <row r="32" spans="1:7" ht="15" customHeight="1">
      <c r="A32" s="5" t="str">
        <f>cleaned_data!$A$32</f>
        <v>STR-1007</v>
      </c>
      <c r="B32" s="25" t="str">
        <f>cleaned_data!$B$32</f>
        <v>2025-04-01</v>
      </c>
      <c r="C32" s="5" t="str">
        <f>cleaned_data!$C$32</f>
        <v>West</v>
      </c>
      <c r="D32" s="5" t="str">
        <f>cleaned_data!$D$32</f>
        <v>Mall</v>
      </c>
      <c r="E32" s="26">
        <f>cleaned_data!$M$32</f>
        <v>701641.97</v>
      </c>
      <c r="F32" s="26">
        <f>multiple_regression!$O$18+multiple_regression!$O$19*cleaned_data!$F$32+multiple_regression!$O$20*cleaned_data!$E$32+multiple_regression!$O$21*cleaned_data!$I$32+multiple_regression!$O$22*cleaned_data!$H$32+multiple_regression!$O$23*dummy_variables!$D$32+multiple_regression!$O$24*dummy_variables!$E$32+multiple_regression!$O$25*dummy_variables!$F$32+multiple_regression!$O$26*dummy_variables!$G$32+multiple_regression!$O$27*dummy_variables!$H$32+multiple_regression!$O$28*dummy_variables!$I$32</f>
        <v>702550.92465633748</v>
      </c>
      <c r="G32" s="26">
        <f t="shared" si="0"/>
        <v>-908.95465633750428</v>
      </c>
    </row>
    <row r="33" spans="1:7" ht="15" customHeight="1">
      <c r="A33" s="5" t="str">
        <f>cleaned_data!$A$33</f>
        <v>STR-1008</v>
      </c>
      <c r="B33" s="25" t="str">
        <f>cleaned_data!$B$33</f>
        <v>2025-01-01</v>
      </c>
      <c r="C33" s="5" t="str">
        <f>cleaned_data!$C$33</f>
        <v>East</v>
      </c>
      <c r="D33" s="5" t="str">
        <f>cleaned_data!$D$33</f>
        <v>Residential</v>
      </c>
      <c r="E33" s="26">
        <f>cleaned_data!$M$33</f>
        <v>511844.41</v>
      </c>
      <c r="F33" s="26">
        <f>multiple_regression!$O$18+multiple_regression!$O$19*cleaned_data!$F$33+multiple_regression!$O$20*cleaned_data!$E$33+multiple_regression!$O$21*cleaned_data!$I$33+multiple_regression!$O$22*cleaned_data!$H$33+multiple_regression!$O$23*dummy_variables!$D$33+multiple_regression!$O$24*dummy_variables!$E$33+multiple_regression!$O$25*dummy_variables!$F$33+multiple_regression!$O$26*dummy_variables!$G$33+multiple_regression!$O$27*dummy_variables!$H$33+multiple_regression!$O$28*dummy_variables!$I$33</f>
        <v>567895.74447127967</v>
      </c>
      <c r="G33" s="26">
        <f t="shared" si="0"/>
        <v>-56051.334471279697</v>
      </c>
    </row>
    <row r="34" spans="1:7" ht="15" customHeight="1">
      <c r="A34" s="5" t="str">
        <f>cleaned_data!$A$34</f>
        <v>STR-1008</v>
      </c>
      <c r="B34" s="25" t="str">
        <f>cleaned_data!$B$34</f>
        <v>2025-02-01</v>
      </c>
      <c r="C34" s="5" t="str">
        <f>cleaned_data!$C$34</f>
        <v>East</v>
      </c>
      <c r="D34" s="5" t="str">
        <f>cleaned_data!$D$34</f>
        <v>Residential</v>
      </c>
      <c r="E34" s="26">
        <f>cleaned_data!$M$34</f>
        <v>537383.79</v>
      </c>
      <c r="F34" s="26">
        <f>multiple_regression!$O$18+multiple_regression!$O$19*cleaned_data!$F$34+multiple_regression!$O$20*cleaned_data!$E$34+multiple_regression!$O$21*cleaned_data!$I$34+multiple_regression!$O$22*cleaned_data!$H$34+multiple_regression!$O$23*dummy_variables!$D$34+multiple_regression!$O$24*dummy_variables!$E$34+multiple_regression!$O$25*dummy_variables!$F$34+multiple_regression!$O$26*dummy_variables!$G$34+multiple_regression!$O$27*dummy_variables!$H$34+multiple_regression!$O$28*dummy_variables!$I$34</f>
        <v>517388.62487502373</v>
      </c>
      <c r="G34" s="26">
        <f t="shared" si="0"/>
        <v>19995.165124976309</v>
      </c>
    </row>
    <row r="35" spans="1:7" ht="15" customHeight="1">
      <c r="A35" s="5" t="str">
        <f>cleaned_data!$A$35</f>
        <v>STR-1008</v>
      </c>
      <c r="B35" s="25" t="str">
        <f>cleaned_data!$B$35</f>
        <v>2025-03-01</v>
      </c>
      <c r="C35" s="5" t="str">
        <f>cleaned_data!$C$35</f>
        <v>East</v>
      </c>
      <c r="D35" s="5" t="str">
        <f>cleaned_data!$D$35</f>
        <v>Residential</v>
      </c>
      <c r="E35" s="26">
        <f>cleaned_data!$M$35</f>
        <v>500173.02</v>
      </c>
      <c r="F35" s="26">
        <f>multiple_regression!$O$18+multiple_regression!$O$19*cleaned_data!$F$35+multiple_regression!$O$20*cleaned_data!$E$35+multiple_regression!$O$21*cleaned_data!$I$35+multiple_regression!$O$22*cleaned_data!$H$35+multiple_regression!$O$23*dummy_variables!$D$35+multiple_regression!$O$24*dummy_variables!$E$35+multiple_regression!$O$25*dummy_variables!$F$35+multiple_regression!$O$26*dummy_variables!$G$35+multiple_regression!$O$27*dummy_variables!$H$35+multiple_regression!$O$28*dummy_variables!$I$35</f>
        <v>504237.40701211797</v>
      </c>
      <c r="G35" s="26">
        <f t="shared" si="0"/>
        <v>-4064.3870121179498</v>
      </c>
    </row>
    <row r="36" spans="1:7" ht="15" customHeight="1">
      <c r="A36" s="5" t="str">
        <f>cleaned_data!$A$36</f>
        <v>STR-1008</v>
      </c>
      <c r="B36" s="25" t="str">
        <f>cleaned_data!$B$36</f>
        <v>2025-04-01</v>
      </c>
      <c r="C36" s="5" t="str">
        <f>cleaned_data!$C$36</f>
        <v>East</v>
      </c>
      <c r="D36" s="5" t="str">
        <f>cleaned_data!$D$36</f>
        <v>Residential</v>
      </c>
      <c r="E36" s="26">
        <f>cleaned_data!$M$36</f>
        <v>427917.38</v>
      </c>
      <c r="F36" s="26">
        <f>multiple_regression!$O$18+multiple_regression!$O$19*cleaned_data!$F$36+multiple_regression!$O$20*cleaned_data!$E$36+multiple_regression!$O$21*cleaned_data!$I$36+multiple_regression!$O$22*cleaned_data!$H$36+multiple_regression!$O$23*dummy_variables!$D$36+multiple_regression!$O$24*dummy_variables!$E$36+multiple_regression!$O$25*dummy_variables!$F$36+multiple_regression!$O$26*dummy_variables!$G$36+multiple_regression!$O$27*dummy_variables!$H$36+multiple_regression!$O$28*dummy_variables!$I$36</f>
        <v>480318.57291098859</v>
      </c>
      <c r="G36" s="26">
        <f t="shared" si="0"/>
        <v>-52401.192910988582</v>
      </c>
    </row>
    <row r="37" spans="1:7" ht="15" customHeight="1">
      <c r="A37" s="5" t="str">
        <f>cleaned_data!$A$37</f>
        <v>STR-1009</v>
      </c>
      <c r="B37" s="25" t="str">
        <f>cleaned_data!$B$37</f>
        <v>2025-01-01</v>
      </c>
      <c r="C37" s="5" t="str">
        <f>cleaned_data!$C$37</f>
        <v>North</v>
      </c>
      <c r="D37" s="5" t="str">
        <f>cleaned_data!$D$37</f>
        <v>Residential</v>
      </c>
      <c r="E37" s="26">
        <f>cleaned_data!$M$37</f>
        <v>641865.03</v>
      </c>
      <c r="F37" s="26">
        <f>multiple_regression!$O$18+multiple_regression!$O$19*cleaned_data!$F$37+multiple_regression!$O$20*cleaned_data!$E$37+multiple_regression!$O$21*cleaned_data!$I$37+multiple_regression!$O$22*cleaned_data!$H$37+multiple_regression!$O$23*dummy_variables!$D$37+multiple_regression!$O$24*dummy_variables!$E$37+multiple_regression!$O$25*dummy_variables!$F$37+multiple_regression!$O$26*dummy_variables!$G$37+multiple_regression!$O$27*dummy_variables!$H$37+multiple_regression!$O$28*dummy_variables!$I$37</f>
        <v>738721.32378903974</v>
      </c>
      <c r="G37" s="26">
        <f t="shared" si="0"/>
        <v>-96856.293789039715</v>
      </c>
    </row>
    <row r="38" spans="1:7" ht="15" customHeight="1">
      <c r="A38" s="5" t="str">
        <f>cleaned_data!$A$38</f>
        <v>STR-1009</v>
      </c>
      <c r="B38" s="25" t="str">
        <f>cleaned_data!$B$38</f>
        <v>2025-02-01</v>
      </c>
      <c r="C38" s="5" t="str">
        <f>cleaned_data!$C$38</f>
        <v>North</v>
      </c>
      <c r="D38" s="5" t="str">
        <f>cleaned_data!$D$38</f>
        <v>Residential</v>
      </c>
      <c r="E38" s="26">
        <f>cleaned_data!$M$38</f>
        <v>799477.76000000001</v>
      </c>
      <c r="F38" s="26">
        <f>multiple_regression!$O$18+multiple_regression!$O$19*cleaned_data!$F$38+multiple_regression!$O$20*cleaned_data!$E$38+multiple_regression!$O$21*cleaned_data!$I$38+multiple_regression!$O$22*cleaned_data!$H$38+multiple_regression!$O$23*dummy_variables!$D$38+multiple_regression!$O$24*dummy_variables!$E$38+multiple_regression!$O$25*dummy_variables!$F$38+multiple_regression!$O$26*dummy_variables!$G$38+multiple_regression!$O$27*dummy_variables!$H$38+multiple_regression!$O$28*dummy_variables!$I$38</f>
        <v>841917.74532132922</v>
      </c>
      <c r="G38" s="26">
        <f t="shared" si="0"/>
        <v>-42439.985321329208</v>
      </c>
    </row>
    <row r="39" spans="1:7" ht="15" customHeight="1">
      <c r="A39" s="5" t="str">
        <f>cleaned_data!$A$39</f>
        <v>STR-1009</v>
      </c>
      <c r="B39" s="25" t="str">
        <f>cleaned_data!$B$39</f>
        <v>2025-03-01</v>
      </c>
      <c r="C39" s="5" t="str">
        <f>cleaned_data!$C$39</f>
        <v>North</v>
      </c>
      <c r="D39" s="5" t="str">
        <f>cleaned_data!$D$39</f>
        <v>Residential</v>
      </c>
      <c r="E39" s="26">
        <f>cleaned_data!$M$39</f>
        <v>798952.17</v>
      </c>
      <c r="F39" s="26">
        <f>multiple_regression!$O$18+multiple_regression!$O$19*cleaned_data!$F$39+multiple_regression!$O$20*cleaned_data!$E$39+multiple_regression!$O$21*cleaned_data!$I$39+multiple_regression!$O$22*cleaned_data!$H$39+multiple_regression!$O$23*dummy_variables!$D$39+multiple_regression!$O$24*dummy_variables!$E$39+multiple_regression!$O$25*dummy_variables!$F$39+multiple_regression!$O$26*dummy_variables!$G$39+multiple_regression!$O$27*dummy_variables!$H$39+multiple_regression!$O$28*dummy_variables!$I$39</f>
        <v>794564.71575071523</v>
      </c>
      <c r="G39" s="26">
        <f t="shared" si="0"/>
        <v>4387.4542492848122</v>
      </c>
    </row>
    <row r="40" spans="1:7" ht="15" customHeight="1">
      <c r="A40" s="5" t="str">
        <f>cleaned_data!$A$40</f>
        <v>STR-1009</v>
      </c>
      <c r="B40" s="25" t="str">
        <f>cleaned_data!$B$40</f>
        <v>2025-04-01</v>
      </c>
      <c r="C40" s="5" t="str">
        <f>cleaned_data!$C$40</f>
        <v>North</v>
      </c>
      <c r="D40" s="5" t="str">
        <f>cleaned_data!$D$40</f>
        <v>Residential</v>
      </c>
      <c r="E40" s="26">
        <f>cleaned_data!$M$40</f>
        <v>800979.78</v>
      </c>
      <c r="F40" s="26">
        <f>multiple_regression!$O$18+multiple_regression!$O$19*cleaned_data!$F$40+multiple_regression!$O$20*cleaned_data!$E$40+multiple_regression!$O$21*cleaned_data!$I$40+multiple_regression!$O$22*cleaned_data!$H$40+multiple_regression!$O$23*dummy_variables!$D$40+multiple_regression!$O$24*dummy_variables!$E$40+multiple_regression!$O$25*dummy_variables!$F$40+multiple_regression!$O$26*dummy_variables!$G$40+multiple_regression!$O$27*dummy_variables!$H$40+multiple_regression!$O$28*dummy_variables!$I$40</f>
        <v>824075.46739440178</v>
      </c>
      <c r="G40" s="26">
        <f t="shared" si="0"/>
        <v>-23095.687394401757</v>
      </c>
    </row>
    <row r="41" spans="1:7" ht="15" customHeight="1">
      <c r="A41" s="5" t="str">
        <f>cleaned_data!$A$41</f>
        <v>STR-1010</v>
      </c>
      <c r="B41" s="25" t="str">
        <f>cleaned_data!$B$41</f>
        <v>2025-01-01</v>
      </c>
      <c r="C41" s="5" t="str">
        <f>cleaned_data!$C$41</f>
        <v>North</v>
      </c>
      <c r="D41" s="5" t="str">
        <f>cleaned_data!$D$41</f>
        <v>Mall</v>
      </c>
      <c r="E41" s="26">
        <f>cleaned_data!$M$41</f>
        <v>820593.93</v>
      </c>
      <c r="F41" s="26">
        <f>multiple_regression!$O$18+multiple_regression!$O$19*cleaned_data!$F$41+multiple_regression!$O$20*cleaned_data!$E$41+multiple_regression!$O$21*cleaned_data!$I$41+multiple_regression!$O$22*cleaned_data!$H$41+multiple_regression!$O$23*dummy_variables!$D$41+multiple_regression!$O$24*dummy_variables!$E$41+multiple_regression!$O$25*dummy_variables!$F$41+multiple_regression!$O$26*dummy_variables!$G$41+multiple_regression!$O$27*dummy_variables!$H$41+multiple_regression!$O$28*dummy_variables!$I$41</f>
        <v>774937.67881856277</v>
      </c>
      <c r="G41" s="26">
        <f t="shared" si="0"/>
        <v>45656.251181437285</v>
      </c>
    </row>
    <row r="42" spans="1:7" ht="15" customHeight="1">
      <c r="A42" s="5" t="str">
        <f>cleaned_data!$A$42</f>
        <v>STR-1010</v>
      </c>
      <c r="B42" s="25" t="str">
        <f>cleaned_data!$B$42</f>
        <v>2025-02-01</v>
      </c>
      <c r="C42" s="5" t="str">
        <f>cleaned_data!$C$42</f>
        <v>North</v>
      </c>
      <c r="D42" s="5" t="str">
        <f>cleaned_data!$D$42</f>
        <v>Mall</v>
      </c>
      <c r="E42" s="26">
        <f>cleaned_data!$M$42</f>
        <v>718330.53</v>
      </c>
      <c r="F42" s="26">
        <f>multiple_regression!$O$18+multiple_regression!$O$19*cleaned_data!$F$42+multiple_regression!$O$20*cleaned_data!$E$42+multiple_regression!$O$21*cleaned_data!$I$42+multiple_regression!$O$22*cleaned_data!$H$42+multiple_regression!$O$23*dummy_variables!$D$42+multiple_regression!$O$24*dummy_variables!$E$42+multiple_regression!$O$25*dummy_variables!$F$42+multiple_regression!$O$26*dummy_variables!$G$42+multiple_regression!$O$27*dummy_variables!$H$42+multiple_regression!$O$28*dummy_variables!$I$42</f>
        <v>762668.51649428834</v>
      </c>
      <c r="G42" s="26">
        <f t="shared" si="0"/>
        <v>-44337.986494288314</v>
      </c>
    </row>
    <row r="43" spans="1:7" ht="15" customHeight="1">
      <c r="A43" s="5" t="str">
        <f>cleaned_data!$A$43</f>
        <v>STR-1010</v>
      </c>
      <c r="B43" s="25" t="str">
        <f>cleaned_data!$B$43</f>
        <v>2025-03-01</v>
      </c>
      <c r="C43" s="5" t="str">
        <f>cleaned_data!$C$43</f>
        <v>North</v>
      </c>
      <c r="D43" s="5" t="str">
        <f>cleaned_data!$D$43</f>
        <v>Mall</v>
      </c>
      <c r="E43" s="26">
        <f>cleaned_data!$M$43</f>
        <v>736633.4</v>
      </c>
      <c r="F43" s="26">
        <f>multiple_regression!$O$18+multiple_regression!$O$19*cleaned_data!$F$43+multiple_regression!$O$20*cleaned_data!$E$43+multiple_regression!$O$21*cleaned_data!$I$43+multiple_regression!$O$22*cleaned_data!$H$43+multiple_regression!$O$23*dummy_variables!$D$43+multiple_regression!$O$24*dummy_variables!$E$43+multiple_regression!$O$25*dummy_variables!$F$43+multiple_regression!$O$26*dummy_variables!$G$43+multiple_regression!$O$27*dummy_variables!$H$43+multiple_regression!$O$28*dummy_variables!$I$43</f>
        <v>753226.00770226901</v>
      </c>
      <c r="G43" s="26">
        <f t="shared" si="0"/>
        <v>-16592.607702268986</v>
      </c>
    </row>
    <row r="44" spans="1:7" ht="15" customHeight="1">
      <c r="A44" s="5" t="str">
        <f>cleaned_data!$A$44</f>
        <v>STR-1010</v>
      </c>
      <c r="B44" s="25" t="str">
        <f>cleaned_data!$B$44</f>
        <v>2025-04-01</v>
      </c>
      <c r="C44" s="5" t="str">
        <f>cleaned_data!$C$44</f>
        <v>North</v>
      </c>
      <c r="D44" s="5" t="str">
        <f>cleaned_data!$D$44</f>
        <v>Mall</v>
      </c>
      <c r="E44" s="26">
        <f>cleaned_data!$M$44</f>
        <v>828623.85</v>
      </c>
      <c r="F44" s="26">
        <f>multiple_regression!$O$18+multiple_regression!$O$19*cleaned_data!$F$44+multiple_regression!$O$20*cleaned_data!$E$44+multiple_regression!$O$21*cleaned_data!$I$44+multiple_regression!$O$22*cleaned_data!$H$44+multiple_regression!$O$23*dummy_variables!$D$44+multiple_regression!$O$24*dummy_variables!$E$44+multiple_regression!$O$25*dummy_variables!$F$44+multiple_regression!$O$26*dummy_variables!$G$44+multiple_regression!$O$27*dummy_variables!$H$44+multiple_regression!$O$28*dummy_variables!$I$44</f>
        <v>838831.27106690104</v>
      </c>
      <c r="G44" s="26">
        <f t="shared" si="0"/>
        <v>-10207.421066901064</v>
      </c>
    </row>
    <row r="45" spans="1:7" ht="15" customHeight="1">
      <c r="A45" s="5" t="str">
        <f>cleaned_data!$A$45</f>
        <v>STR-1011</v>
      </c>
      <c r="B45" s="25" t="str">
        <f>cleaned_data!$B$45</f>
        <v>2025-01-01</v>
      </c>
      <c r="C45" s="5" t="str">
        <f>cleaned_data!$C$45</f>
        <v>East</v>
      </c>
      <c r="D45" s="5" t="str">
        <f>cleaned_data!$D$45</f>
        <v>Mall</v>
      </c>
      <c r="E45" s="26">
        <f>cleaned_data!$M$45</f>
        <v>592195.85</v>
      </c>
      <c r="F45" s="26">
        <f>multiple_regression!$O$18+multiple_regression!$O$19*cleaned_data!$F$45+multiple_regression!$O$20*cleaned_data!$E$45+multiple_regression!$O$21*cleaned_data!$I$45+multiple_regression!$O$22*cleaned_data!$H$45+multiple_regression!$O$23*dummy_variables!$D$45+multiple_regression!$O$24*dummy_variables!$E$45+multiple_regression!$O$25*dummy_variables!$F$45+multiple_regression!$O$26*dummy_variables!$G$45+multiple_regression!$O$27*dummy_variables!$H$45+multiple_regression!$O$28*dummy_variables!$I$45</f>
        <v>585644.72506951587</v>
      </c>
      <c r="G45" s="26">
        <f t="shared" si="0"/>
        <v>6551.124930484104</v>
      </c>
    </row>
    <row r="46" spans="1:7" ht="15" customHeight="1">
      <c r="A46" s="5" t="str">
        <f>cleaned_data!$A$46</f>
        <v>STR-1011</v>
      </c>
      <c r="B46" s="25" t="str">
        <f>cleaned_data!$B$46</f>
        <v>2025-02-01</v>
      </c>
      <c r="C46" s="5" t="str">
        <f>cleaned_data!$C$46</f>
        <v>East</v>
      </c>
      <c r="D46" s="5" t="str">
        <f>cleaned_data!$D$46</f>
        <v>Mall</v>
      </c>
      <c r="E46" s="26">
        <f>cleaned_data!$M$46</f>
        <v>532644.46</v>
      </c>
      <c r="F46" s="26">
        <f>multiple_regression!$O$18+multiple_regression!$O$19*cleaned_data!$F$46+multiple_regression!$O$20*cleaned_data!$E$46+multiple_regression!$O$21*cleaned_data!$I$46+multiple_regression!$O$22*cleaned_data!$H$46+multiple_regression!$O$23*dummy_variables!$D$46+multiple_regression!$O$24*dummy_variables!$E$46+multiple_regression!$O$25*dummy_variables!$F$46+multiple_regression!$O$26*dummy_variables!$G$46+multiple_regression!$O$27*dummy_variables!$H$46+multiple_regression!$O$28*dummy_variables!$I$46</f>
        <v>517549.07741851505</v>
      </c>
      <c r="G46" s="26">
        <f t="shared" si="0"/>
        <v>15095.382581484911</v>
      </c>
    </row>
    <row r="47" spans="1:7" ht="15" customHeight="1">
      <c r="A47" s="5" t="str">
        <f>cleaned_data!$A$47</f>
        <v>STR-1011</v>
      </c>
      <c r="B47" s="25" t="str">
        <f>cleaned_data!$B$47</f>
        <v>2025-03-01</v>
      </c>
      <c r="C47" s="5" t="str">
        <f>cleaned_data!$C$47</f>
        <v>East</v>
      </c>
      <c r="D47" s="5" t="str">
        <f>cleaned_data!$D$47</f>
        <v>Mall</v>
      </c>
      <c r="E47" s="26">
        <f>cleaned_data!$M$47</f>
        <v>657429.18000000005</v>
      </c>
      <c r="F47" s="26">
        <f>multiple_regression!$O$18+multiple_regression!$O$19*cleaned_data!$F$47+multiple_regression!$O$20*cleaned_data!$E$47+multiple_regression!$O$21*cleaned_data!$I$47+multiple_regression!$O$22*cleaned_data!$H$47+multiple_regression!$O$23*dummy_variables!$D$47+multiple_regression!$O$24*dummy_variables!$E$47+multiple_regression!$O$25*dummy_variables!$F$47+multiple_regression!$O$26*dummy_variables!$G$47+multiple_regression!$O$27*dummy_variables!$H$47+multiple_regression!$O$28*dummy_variables!$I$47</f>
        <v>596753.20520118508</v>
      </c>
      <c r="G47" s="26">
        <f t="shared" si="0"/>
        <v>60675.974798814976</v>
      </c>
    </row>
    <row r="48" spans="1:7" ht="15" customHeight="1">
      <c r="A48" s="5" t="str">
        <f>cleaned_data!$A$48</f>
        <v>STR-1011</v>
      </c>
      <c r="B48" s="25" t="str">
        <f>cleaned_data!$B$48</f>
        <v>2025-04-01</v>
      </c>
      <c r="C48" s="5" t="str">
        <f>cleaned_data!$C$48</f>
        <v>East</v>
      </c>
      <c r="D48" s="5" t="str">
        <f>cleaned_data!$D$48</f>
        <v>Mall</v>
      </c>
      <c r="E48" s="26">
        <f>cleaned_data!$M$48</f>
        <v>605178</v>
      </c>
      <c r="F48" s="26">
        <f>multiple_regression!$O$18+multiple_regression!$O$19*cleaned_data!$F$48+multiple_regression!$O$20*cleaned_data!$E$48+multiple_regression!$O$21*cleaned_data!$I$48+multiple_regression!$O$22*cleaned_data!$H$48+multiple_regression!$O$23*dummy_variables!$D$48+multiple_regression!$O$24*dummy_variables!$E$48+multiple_regression!$O$25*dummy_variables!$F$48+multiple_regression!$O$26*dummy_variables!$G$48+multiple_regression!$O$27*dummy_variables!$H$48+multiple_regression!$O$28*dummy_variables!$I$48</f>
        <v>597140.99776818708</v>
      </c>
      <c r="G48" s="26">
        <f t="shared" si="0"/>
        <v>8037.0022318129195</v>
      </c>
    </row>
    <row r="49" spans="1:7" ht="15" customHeight="1">
      <c r="A49" s="5" t="str">
        <f>cleaned_data!$A$49</f>
        <v>STR-1012</v>
      </c>
      <c r="B49" s="25" t="str">
        <f>cleaned_data!$B$49</f>
        <v>2025-01-01</v>
      </c>
      <c r="C49" s="5" t="str">
        <f>cleaned_data!$C$49</f>
        <v>West</v>
      </c>
      <c r="D49" s="5" t="str">
        <f>cleaned_data!$D$49</f>
        <v>Residential</v>
      </c>
      <c r="E49" s="26">
        <f>cleaned_data!$M$49</f>
        <v>595467.6</v>
      </c>
      <c r="F49" s="26">
        <f>multiple_regression!$O$18+multiple_regression!$O$19*cleaned_data!$F$49+multiple_regression!$O$20*cleaned_data!$E$49+multiple_regression!$O$21*cleaned_data!$I$49+multiple_regression!$O$22*cleaned_data!$H$49+multiple_regression!$O$23*dummy_variables!$D$49+multiple_regression!$O$24*dummy_variables!$E$49+multiple_regression!$O$25*dummy_variables!$F$49+multiple_regression!$O$26*dummy_variables!$G$49+multiple_regression!$O$27*dummy_variables!$H$49+multiple_regression!$O$28*dummy_variables!$I$49</f>
        <v>728950.12556031474</v>
      </c>
      <c r="G49" s="26">
        <f t="shared" si="0"/>
        <v>-133482.52556031477</v>
      </c>
    </row>
    <row r="50" spans="1:7" ht="15" customHeight="1">
      <c r="A50" s="5" t="str">
        <f>cleaned_data!$A$50</f>
        <v>STR-1012</v>
      </c>
      <c r="B50" s="25" t="str">
        <f>cleaned_data!$B$50</f>
        <v>2025-02-01</v>
      </c>
      <c r="C50" s="5" t="str">
        <f>cleaned_data!$C$50</f>
        <v>West</v>
      </c>
      <c r="D50" s="5" t="str">
        <f>cleaned_data!$D$50</f>
        <v>Residential</v>
      </c>
      <c r="E50" s="26">
        <f>cleaned_data!$M$50</f>
        <v>599603.4</v>
      </c>
      <c r="F50" s="26">
        <f>multiple_regression!$O$18+multiple_regression!$O$19*cleaned_data!$F$50+multiple_regression!$O$20*cleaned_data!$E$50+multiple_regression!$O$21*cleaned_data!$I$50+multiple_regression!$O$22*cleaned_data!$H$50+multiple_regression!$O$23*dummy_variables!$D$50+multiple_regression!$O$24*dummy_variables!$E$50+multiple_regression!$O$25*dummy_variables!$F$50+multiple_regression!$O$26*dummy_variables!$G$50+multiple_regression!$O$27*dummy_variables!$H$50+multiple_regression!$O$28*dummy_variables!$I$50</f>
        <v>643779.44914020051</v>
      </c>
      <c r="G50" s="26">
        <f t="shared" si="0"/>
        <v>-44176.049140200485</v>
      </c>
    </row>
    <row r="51" spans="1:7" ht="15" customHeight="1">
      <c r="A51" s="5" t="str">
        <f>cleaned_data!$A$51</f>
        <v>STR-1012</v>
      </c>
      <c r="B51" s="25" t="str">
        <f>cleaned_data!$B$51</f>
        <v>2025-03-01</v>
      </c>
      <c r="C51" s="5" t="str">
        <f>cleaned_data!$C$51</f>
        <v>West</v>
      </c>
      <c r="D51" s="5" t="str">
        <f>cleaned_data!$D$51</f>
        <v>Residential</v>
      </c>
      <c r="E51" s="26">
        <f>cleaned_data!$M$51</f>
        <v>614800.09</v>
      </c>
      <c r="F51" s="26">
        <f>multiple_regression!$O$18+multiple_regression!$O$19*cleaned_data!$F$51+multiple_regression!$O$20*cleaned_data!$E$51+multiple_regression!$O$21*cleaned_data!$I$51+multiple_regression!$O$22*cleaned_data!$H$51+multiple_regression!$O$23*dummy_variables!$D$51+multiple_regression!$O$24*dummy_variables!$E$51+multiple_regression!$O$25*dummy_variables!$F$51+multiple_regression!$O$26*dummy_variables!$G$51+multiple_regression!$O$27*dummy_variables!$H$51+multiple_regression!$O$28*dummy_variables!$I$51</f>
        <v>577424.98616340291</v>
      </c>
      <c r="G51" s="26">
        <f t="shared" si="0"/>
        <v>37375.10383659706</v>
      </c>
    </row>
    <row r="52" spans="1:7" ht="15" customHeight="1">
      <c r="A52" s="5" t="str">
        <f>cleaned_data!$A$52</f>
        <v>STR-1012</v>
      </c>
      <c r="B52" s="25" t="str">
        <f>cleaned_data!$B$52</f>
        <v>2025-04-01</v>
      </c>
      <c r="C52" s="5" t="str">
        <f>cleaned_data!$C$52</f>
        <v>West</v>
      </c>
      <c r="D52" s="5" t="str">
        <f>cleaned_data!$D$52</f>
        <v>Residential</v>
      </c>
      <c r="E52" s="26">
        <f>cleaned_data!$M$52</f>
        <v>585365.73</v>
      </c>
      <c r="F52" s="26">
        <f>multiple_regression!$O$18+multiple_regression!$O$19*cleaned_data!$F$52+multiple_regression!$O$20*cleaned_data!$E$52+multiple_regression!$O$21*cleaned_data!$I$52+multiple_regression!$O$22*cleaned_data!$H$52+multiple_regression!$O$23*dummy_variables!$D$52+multiple_regression!$O$24*dummy_variables!$E$52+multiple_regression!$O$25*dummy_variables!$F$52+multiple_regression!$O$26*dummy_variables!$G$52+multiple_regression!$O$27*dummy_variables!$H$52+multiple_regression!$O$28*dummy_variables!$I$52</f>
        <v>578331.08841282281</v>
      </c>
      <c r="G52" s="26">
        <f t="shared" si="0"/>
        <v>7034.6415871771751</v>
      </c>
    </row>
    <row r="53" spans="1:7" ht="15" customHeight="1">
      <c r="A53" s="5" t="str">
        <f>cleaned_data!$A$53</f>
        <v>STR-1013</v>
      </c>
      <c r="B53" s="25" t="str">
        <f>cleaned_data!$B$53</f>
        <v>2025-01-01</v>
      </c>
      <c r="C53" s="5" t="str">
        <f>cleaned_data!$C$53</f>
        <v>North</v>
      </c>
      <c r="D53" s="5" t="str">
        <f>cleaned_data!$D$53</f>
        <v>Mall</v>
      </c>
      <c r="E53" s="26">
        <f>cleaned_data!$M$53</f>
        <v>622811.74</v>
      </c>
      <c r="F53" s="26">
        <f>multiple_regression!$O$18+multiple_regression!$O$19*cleaned_data!$F$53+multiple_regression!$O$20*cleaned_data!$E$53+multiple_regression!$O$21*cleaned_data!$I$53+multiple_regression!$O$22*cleaned_data!$H$53+multiple_regression!$O$23*dummy_variables!$D$53+multiple_regression!$O$24*dummy_variables!$E$53+multiple_regression!$O$25*dummy_variables!$F$53+multiple_regression!$O$26*dummy_variables!$G$53+multiple_regression!$O$27*dummy_variables!$H$53+multiple_regression!$O$28*dummy_variables!$I$53</f>
        <v>648412.95183391857</v>
      </c>
      <c r="G53" s="26">
        <f t="shared" si="0"/>
        <v>-25601.211833918584</v>
      </c>
    </row>
    <row r="54" spans="1:7" ht="15" customHeight="1">
      <c r="A54" s="5" t="str">
        <f>cleaned_data!$A$54</f>
        <v>STR-1013</v>
      </c>
      <c r="B54" s="25" t="str">
        <f>cleaned_data!$B$54</f>
        <v>2025-02-01</v>
      </c>
      <c r="C54" s="5" t="str">
        <f>cleaned_data!$C$54</f>
        <v>North</v>
      </c>
      <c r="D54" s="5" t="str">
        <f>cleaned_data!$D$54</f>
        <v>Mall</v>
      </c>
      <c r="E54" s="26">
        <f>cleaned_data!$M$54</f>
        <v>603297.56999999995</v>
      </c>
      <c r="F54" s="26">
        <f>multiple_regression!$O$18+multiple_regression!$O$19*cleaned_data!$F$54+multiple_regression!$O$20*cleaned_data!$E$54+multiple_regression!$O$21*cleaned_data!$I$54+multiple_regression!$O$22*cleaned_data!$H$54+multiple_regression!$O$23*dummy_variables!$D$54+multiple_regression!$O$24*dummy_variables!$E$54+multiple_regression!$O$25*dummy_variables!$F$54+multiple_regression!$O$26*dummy_variables!$G$54+multiple_regression!$O$27*dummy_variables!$H$54+multiple_regression!$O$28*dummy_variables!$I$54</f>
        <v>594536.12622442876</v>
      </c>
      <c r="G54" s="26">
        <f t="shared" si="0"/>
        <v>8761.4437755711842</v>
      </c>
    </row>
    <row r="55" spans="1:7" ht="15" customHeight="1">
      <c r="A55" s="5" t="str">
        <f>cleaned_data!$A$55</f>
        <v>STR-1013</v>
      </c>
      <c r="B55" s="25" t="str">
        <f>cleaned_data!$B$55</f>
        <v>2025-03-01</v>
      </c>
      <c r="C55" s="5" t="str">
        <f>cleaned_data!$C$55</f>
        <v>North</v>
      </c>
      <c r="D55" s="5" t="str">
        <f>cleaned_data!$D$55</f>
        <v>Mall</v>
      </c>
      <c r="E55" s="26">
        <f>cleaned_data!$M$55</f>
        <v>625672.86</v>
      </c>
      <c r="F55" s="26">
        <f>multiple_regression!$O$18+multiple_regression!$O$19*cleaned_data!$F$55+multiple_regression!$O$20*cleaned_data!$E$55+multiple_regression!$O$21*cleaned_data!$I$55+multiple_regression!$O$22*cleaned_data!$H$55+multiple_regression!$O$23*dummy_variables!$D$55+multiple_regression!$O$24*dummy_variables!$E$55+multiple_regression!$O$25*dummy_variables!$F$55+multiple_regression!$O$26*dummy_variables!$G$55+multiple_regression!$O$27*dummy_variables!$H$55+multiple_regression!$O$28*dummy_variables!$I$55</f>
        <v>603725.95530706353</v>
      </c>
      <c r="G55" s="26">
        <f t="shared" si="0"/>
        <v>21946.904692936456</v>
      </c>
    </row>
    <row r="56" spans="1:7" ht="15" customHeight="1">
      <c r="A56" s="5" t="str">
        <f>cleaned_data!$A$56</f>
        <v>STR-1013</v>
      </c>
      <c r="B56" s="25" t="str">
        <f>cleaned_data!$B$56</f>
        <v>2025-04-01</v>
      </c>
      <c r="C56" s="5" t="str">
        <f>cleaned_data!$C$56</f>
        <v>North</v>
      </c>
      <c r="D56" s="5" t="str">
        <f>cleaned_data!$D$56</f>
        <v>Mall</v>
      </c>
      <c r="E56" s="26">
        <f>cleaned_data!$M$56</f>
        <v>773815.14</v>
      </c>
      <c r="F56" s="26">
        <f>multiple_regression!$O$18+multiple_regression!$O$19*cleaned_data!$F$56+multiple_regression!$O$20*cleaned_data!$E$56+multiple_regression!$O$21*cleaned_data!$I$56+multiple_regression!$O$22*cleaned_data!$H$56+multiple_regression!$O$23*dummy_variables!$D$56+multiple_regression!$O$24*dummy_variables!$E$56+multiple_regression!$O$25*dummy_variables!$F$56+multiple_regression!$O$26*dummy_variables!$G$56+multiple_regression!$O$27*dummy_variables!$H$56+multiple_regression!$O$28*dummy_variables!$I$56</f>
        <v>741966.66265488486</v>
      </c>
      <c r="G56" s="26">
        <f t="shared" si="0"/>
        <v>31848.477345115156</v>
      </c>
    </row>
    <row r="57" spans="1:7" ht="15" customHeight="1">
      <c r="A57" s="5" t="str">
        <f>cleaned_data!$A$57</f>
        <v>STR-1014</v>
      </c>
      <c r="B57" s="25" t="str">
        <f>cleaned_data!$B$57</f>
        <v>2025-01-01</v>
      </c>
      <c r="C57" s="5" t="str">
        <f>cleaned_data!$C$57</f>
        <v>West</v>
      </c>
      <c r="D57" s="5" t="str">
        <f>cleaned_data!$D$57</f>
        <v>High Street</v>
      </c>
      <c r="E57" s="26">
        <f>cleaned_data!$M$57</f>
        <v>463534.25</v>
      </c>
      <c r="F57" s="26">
        <f>multiple_regression!$O$18+multiple_regression!$O$19*cleaned_data!$F$57+multiple_regression!$O$20*cleaned_data!$E$57+multiple_regression!$O$21*cleaned_data!$I$57+multiple_regression!$O$22*cleaned_data!$H$57+multiple_regression!$O$23*dummy_variables!$D$57+multiple_regression!$O$24*dummy_variables!$E$57+multiple_regression!$O$25*dummy_variables!$F$57+multiple_regression!$O$26*dummy_variables!$G$57+multiple_regression!$O$27*dummy_variables!$H$57+multiple_regression!$O$28*dummy_variables!$I$57</f>
        <v>557776.87232165702</v>
      </c>
      <c r="G57" s="26">
        <f t="shared" si="0"/>
        <v>-94242.622321657022</v>
      </c>
    </row>
    <row r="58" spans="1:7" ht="15" customHeight="1">
      <c r="A58" s="5" t="str">
        <f>cleaned_data!$A$58</f>
        <v>STR-1014</v>
      </c>
      <c r="B58" s="25" t="str">
        <f>cleaned_data!$B$58</f>
        <v>2025-02-01</v>
      </c>
      <c r="C58" s="5" t="str">
        <f>cleaned_data!$C$58</f>
        <v>West</v>
      </c>
      <c r="D58" s="5" t="str">
        <f>cleaned_data!$D$58</f>
        <v>High Street</v>
      </c>
      <c r="E58" s="26">
        <f>cleaned_data!$M$58</f>
        <v>746677.75</v>
      </c>
      <c r="F58" s="26">
        <f>multiple_regression!$O$18+multiple_regression!$O$19*cleaned_data!$F$58+multiple_regression!$O$20*cleaned_data!$E$58+multiple_regression!$O$21*cleaned_data!$I$58+multiple_regression!$O$22*cleaned_data!$H$58+multiple_regression!$O$23*dummy_variables!$D$58+multiple_regression!$O$24*dummy_variables!$E$58+multiple_regression!$O$25*dummy_variables!$F$58+multiple_regression!$O$26*dummy_variables!$G$58+multiple_regression!$O$27*dummy_variables!$H$58+multiple_regression!$O$28*dummy_variables!$I$58</f>
        <v>715124.37522558635</v>
      </c>
      <c r="G58" s="26">
        <f t="shared" si="0"/>
        <v>31553.374774413649</v>
      </c>
    </row>
    <row r="59" spans="1:7" ht="15" customHeight="1">
      <c r="A59" s="5" t="str">
        <f>cleaned_data!$A$59</f>
        <v>STR-1014</v>
      </c>
      <c r="B59" s="25" t="str">
        <f>cleaned_data!$B$59</f>
        <v>2025-03-01</v>
      </c>
      <c r="C59" s="5" t="str">
        <f>cleaned_data!$C$59</f>
        <v>West</v>
      </c>
      <c r="D59" s="5" t="str">
        <f>cleaned_data!$D$59</f>
        <v>High Street</v>
      </c>
      <c r="E59" s="26">
        <f>cleaned_data!$M$59</f>
        <v>720852.5</v>
      </c>
      <c r="F59" s="26">
        <f>multiple_regression!$O$18+multiple_regression!$O$19*cleaned_data!$F$59+multiple_regression!$O$20*cleaned_data!$E$59+multiple_regression!$O$21*cleaned_data!$I$59+multiple_regression!$O$22*cleaned_data!$H$59+multiple_regression!$O$23*dummy_variables!$D$59+multiple_regression!$O$24*dummy_variables!$E$59+multiple_regression!$O$25*dummy_variables!$F$59+multiple_regression!$O$26*dummy_variables!$G$59+multiple_regression!$O$27*dummy_variables!$H$59+multiple_regression!$O$28*dummy_variables!$I$59</f>
        <v>680404.97868989152</v>
      </c>
      <c r="G59" s="26">
        <f t="shared" si="0"/>
        <v>40447.521310108481</v>
      </c>
    </row>
    <row r="60" spans="1:7" ht="15" customHeight="1">
      <c r="A60" s="5" t="str">
        <f>cleaned_data!$A$60</f>
        <v>STR-1014</v>
      </c>
      <c r="B60" s="25" t="str">
        <f>cleaned_data!$B$60</f>
        <v>2025-04-01</v>
      </c>
      <c r="C60" s="5" t="str">
        <f>cleaned_data!$C$60</f>
        <v>West</v>
      </c>
      <c r="D60" s="5" t="str">
        <f>cleaned_data!$D$60</f>
        <v>High Street</v>
      </c>
      <c r="E60" s="26">
        <f>cleaned_data!$M$60</f>
        <v>487464.91</v>
      </c>
      <c r="F60" s="26">
        <f>multiple_regression!$O$18+multiple_regression!$O$19*cleaned_data!$F$60+multiple_regression!$O$20*cleaned_data!$E$60+multiple_regression!$O$21*cleaned_data!$I$60+multiple_regression!$O$22*cleaned_data!$H$60+multiple_regression!$O$23*dummy_variables!$D$60+multiple_regression!$O$24*dummy_variables!$E$60+multiple_regression!$O$25*dummy_variables!$F$60+multiple_regression!$O$26*dummy_variables!$G$60+multiple_regression!$O$27*dummy_variables!$H$60+multiple_regression!$O$28*dummy_variables!$I$60</f>
        <v>542379.31732933864</v>
      </c>
      <c r="G60" s="26">
        <f t="shared" si="0"/>
        <v>-54914.407329338661</v>
      </c>
    </row>
    <row r="61" spans="1:7" ht="15" customHeight="1">
      <c r="A61" s="5" t="str">
        <f>cleaned_data!$A$61</f>
        <v>STR-1015</v>
      </c>
      <c r="B61" s="25" t="str">
        <f>cleaned_data!$B$61</f>
        <v>2025-01-01</v>
      </c>
      <c r="C61" s="5" t="str">
        <f>cleaned_data!$C$61</f>
        <v>East</v>
      </c>
      <c r="D61" s="5" t="str">
        <f>cleaned_data!$D$61</f>
        <v>Airport</v>
      </c>
      <c r="E61" s="26">
        <f>cleaned_data!$M$61</f>
        <v>518049.26</v>
      </c>
      <c r="F61" s="26">
        <f>multiple_regression!$O$18+multiple_regression!$O$19*cleaned_data!$F$61+multiple_regression!$O$20*cleaned_data!$E$61+multiple_regression!$O$21*cleaned_data!$I$61+multiple_regression!$O$22*cleaned_data!$H$61+multiple_regression!$O$23*dummy_variables!$D$61+multiple_regression!$O$24*dummy_variables!$E$61+multiple_regression!$O$25*dummy_variables!$F$61+multiple_regression!$O$26*dummy_variables!$G$61+multiple_regression!$O$27*dummy_variables!$H$61+multiple_regression!$O$28*dummy_variables!$I$61</f>
        <v>535854.23872699961</v>
      </c>
      <c r="G61" s="26">
        <f t="shared" si="0"/>
        <v>-17804.978726999601</v>
      </c>
    </row>
    <row r="62" spans="1:7" ht="15" customHeight="1">
      <c r="A62" s="5" t="str">
        <f>cleaned_data!$A$62</f>
        <v>STR-1015</v>
      </c>
      <c r="B62" s="25" t="str">
        <f>cleaned_data!$B$62</f>
        <v>2025-02-01</v>
      </c>
      <c r="C62" s="5" t="str">
        <f>cleaned_data!$C$62</f>
        <v>East</v>
      </c>
      <c r="D62" s="5" t="str">
        <f>cleaned_data!$D$62</f>
        <v>Airport</v>
      </c>
      <c r="E62" s="26">
        <f>cleaned_data!$M$62</f>
        <v>500298.48</v>
      </c>
      <c r="F62" s="26">
        <f>multiple_regression!$O$18+multiple_regression!$O$19*cleaned_data!$F$62+multiple_regression!$O$20*cleaned_data!$E$62+multiple_regression!$O$21*cleaned_data!$I$62+multiple_regression!$O$22*cleaned_data!$H$62+multiple_regression!$O$23*dummy_variables!$D$62+multiple_regression!$O$24*dummy_variables!$E$62+multiple_regression!$O$25*dummy_variables!$F$62+multiple_regression!$O$26*dummy_variables!$G$62+multiple_regression!$O$27*dummy_variables!$H$62+multiple_regression!$O$28*dummy_variables!$I$62</f>
        <v>530333.67456286319</v>
      </c>
      <c r="G62" s="26">
        <f t="shared" si="0"/>
        <v>-30035.194562863209</v>
      </c>
    </row>
    <row r="63" spans="1:7" ht="15" customHeight="1">
      <c r="A63" s="5" t="str">
        <f>cleaned_data!$A$63</f>
        <v>STR-1015</v>
      </c>
      <c r="B63" s="25" t="str">
        <f>cleaned_data!$B$63</f>
        <v>2025-03-01</v>
      </c>
      <c r="C63" s="5" t="str">
        <f>cleaned_data!$C$63</f>
        <v>East</v>
      </c>
      <c r="D63" s="5" t="str">
        <f>cleaned_data!$D$63</f>
        <v>Airport</v>
      </c>
      <c r="E63" s="26">
        <f>cleaned_data!$M$63</f>
        <v>617291.15</v>
      </c>
      <c r="F63" s="26">
        <f>multiple_regression!$O$18+multiple_regression!$O$19*cleaned_data!$F$63+multiple_regression!$O$20*cleaned_data!$E$63+multiple_regression!$O$21*cleaned_data!$I$63+multiple_regression!$O$22*cleaned_data!$H$63+multiple_regression!$O$23*dummy_variables!$D$63+multiple_regression!$O$24*dummy_variables!$E$63+multiple_regression!$O$25*dummy_variables!$F$63+multiple_regression!$O$26*dummy_variables!$G$63+multiple_regression!$O$27*dummy_variables!$H$63+multiple_regression!$O$28*dummy_variables!$I$63</f>
        <v>674161.61674391734</v>
      </c>
      <c r="G63" s="26">
        <f t="shared" si="0"/>
        <v>-56870.466743917321</v>
      </c>
    </row>
    <row r="64" spans="1:7" ht="15" customHeight="1">
      <c r="A64" s="5" t="str">
        <f>cleaned_data!$A$64</f>
        <v>STR-1015</v>
      </c>
      <c r="B64" s="25" t="str">
        <f>cleaned_data!$B$64</f>
        <v>2025-04-01</v>
      </c>
      <c r="C64" s="5" t="str">
        <f>cleaned_data!$C$64</f>
        <v>East</v>
      </c>
      <c r="D64" s="5" t="str">
        <f>cleaned_data!$D$64</f>
        <v>Airport</v>
      </c>
      <c r="E64" s="26">
        <f>cleaned_data!$M$64</f>
        <v>553756.43000000005</v>
      </c>
      <c r="F64" s="26">
        <f>multiple_regression!$O$18+multiple_regression!$O$19*cleaned_data!$F$64+multiple_regression!$O$20*cleaned_data!$E$64+multiple_regression!$O$21*cleaned_data!$I$64+multiple_regression!$O$22*cleaned_data!$H$64+multiple_regression!$O$23*dummy_variables!$D$64+multiple_regression!$O$24*dummy_variables!$E$64+multiple_regression!$O$25*dummy_variables!$F$64+multiple_regression!$O$26*dummy_variables!$G$64+multiple_regression!$O$27*dummy_variables!$H$64+multiple_regression!$O$28*dummy_variables!$I$64</f>
        <v>619862.35804738174</v>
      </c>
      <c r="G64" s="26">
        <f t="shared" si="0"/>
        <v>-66105.928047381691</v>
      </c>
    </row>
    <row r="65" spans="1:7" ht="15" customHeight="1">
      <c r="A65" s="5" t="str">
        <f>cleaned_data!$A$65</f>
        <v>STR-1016</v>
      </c>
      <c r="B65" s="25" t="str">
        <f>cleaned_data!$B$65</f>
        <v>2025-01-01</v>
      </c>
      <c r="C65" s="5" t="str">
        <f>cleaned_data!$C$65</f>
        <v>South</v>
      </c>
      <c r="D65" s="5" t="str">
        <f>cleaned_data!$D$65</f>
        <v>High Street</v>
      </c>
      <c r="E65" s="26">
        <f>cleaned_data!$M$65</f>
        <v>749559.71</v>
      </c>
      <c r="F65" s="26">
        <f>multiple_regression!$O$18+multiple_regression!$O$19*cleaned_data!$F$65+multiple_regression!$O$20*cleaned_data!$E$65+multiple_regression!$O$21*cleaned_data!$I$65+multiple_regression!$O$22*cleaned_data!$H$65+multiple_regression!$O$23*dummy_variables!$D$65+multiple_regression!$O$24*dummy_variables!$E$65+multiple_regression!$O$25*dummy_variables!$F$65+multiple_regression!$O$26*dummy_variables!$G$65+multiple_regression!$O$27*dummy_variables!$H$65+multiple_regression!$O$28*dummy_variables!$I$65</f>
        <v>697385.97360137268</v>
      </c>
      <c r="G65" s="26">
        <f t="shared" si="0"/>
        <v>52173.736398627283</v>
      </c>
    </row>
    <row r="66" spans="1:7" ht="15" customHeight="1">
      <c r="A66" s="5" t="str">
        <f>cleaned_data!$A$66</f>
        <v>STR-1016</v>
      </c>
      <c r="B66" s="25" t="str">
        <f>cleaned_data!$B$66</f>
        <v>2025-02-01</v>
      </c>
      <c r="C66" s="5" t="str">
        <f>cleaned_data!$C$66</f>
        <v>South</v>
      </c>
      <c r="D66" s="5" t="str">
        <f>cleaned_data!$D$66</f>
        <v>High Street</v>
      </c>
      <c r="E66" s="26">
        <f>cleaned_data!$M$66</f>
        <v>615966.48</v>
      </c>
      <c r="F66" s="26">
        <f>multiple_regression!$O$18+multiple_regression!$O$19*cleaned_data!$F$66+multiple_regression!$O$20*cleaned_data!$E$66+multiple_regression!$O$21*cleaned_data!$I$66+multiple_regression!$O$22*cleaned_data!$H$66+multiple_regression!$O$23*dummy_variables!$D$66+multiple_regression!$O$24*dummy_variables!$E$66+multiple_regression!$O$25*dummy_variables!$F$66+multiple_regression!$O$26*dummy_variables!$G$66+multiple_regression!$O$27*dummy_variables!$H$66+multiple_regression!$O$28*dummy_variables!$I$66</f>
        <v>575011.73223485204</v>
      </c>
      <c r="G66" s="26">
        <f t="shared" si="0"/>
        <v>40954.747765147942</v>
      </c>
    </row>
    <row r="67" spans="1:7" ht="15" customHeight="1">
      <c r="A67" s="5" t="str">
        <f>cleaned_data!$A$67</f>
        <v>STR-1016</v>
      </c>
      <c r="B67" s="25" t="str">
        <f>cleaned_data!$B$67</f>
        <v>2025-03-01</v>
      </c>
      <c r="C67" s="5" t="str">
        <f>cleaned_data!$C$67</f>
        <v>South</v>
      </c>
      <c r="D67" s="5" t="str">
        <f>cleaned_data!$D$67</f>
        <v>High Street</v>
      </c>
      <c r="E67" s="26">
        <f>cleaned_data!$M$67</f>
        <v>572011.19999999995</v>
      </c>
      <c r="F67" s="26">
        <f>multiple_regression!$O$18+multiple_regression!$O$19*cleaned_data!$F$67+multiple_regression!$O$20*cleaned_data!$E$67+multiple_regression!$O$21*cleaned_data!$I$67+multiple_regression!$O$22*cleaned_data!$H$67+multiple_regression!$O$23*dummy_variables!$D$67+multiple_regression!$O$24*dummy_variables!$E$67+multiple_regression!$O$25*dummy_variables!$F$67+multiple_regression!$O$26*dummy_variables!$G$67+multiple_regression!$O$27*dummy_variables!$H$67+multiple_regression!$O$28*dummy_variables!$I$67</f>
        <v>586180.52495954302</v>
      </c>
      <c r="G67" s="26">
        <f t="shared" si="0"/>
        <v>-14169.324959543068</v>
      </c>
    </row>
    <row r="68" spans="1:7" ht="15" customHeight="1">
      <c r="A68" s="5" t="str">
        <f>cleaned_data!$A$68</f>
        <v>STR-1016</v>
      </c>
      <c r="B68" s="25" t="str">
        <f>cleaned_data!$B$68</f>
        <v>2025-04-01</v>
      </c>
      <c r="C68" s="5" t="str">
        <f>cleaned_data!$C$68</f>
        <v>South</v>
      </c>
      <c r="D68" s="5" t="str">
        <f>cleaned_data!$D$68</f>
        <v>High Street</v>
      </c>
      <c r="E68" s="26">
        <f>cleaned_data!$M$68</f>
        <v>761860.19</v>
      </c>
      <c r="F68" s="26">
        <f>multiple_regression!$O$18+multiple_regression!$O$19*cleaned_data!$F$68+multiple_regression!$O$20*cleaned_data!$E$68+multiple_regression!$O$21*cleaned_data!$I$68+multiple_regression!$O$22*cleaned_data!$H$68+multiple_regression!$O$23*dummy_variables!$D$68+multiple_regression!$O$24*dummy_variables!$E$68+multiple_regression!$O$25*dummy_variables!$F$68+multiple_regression!$O$26*dummy_variables!$G$68+multiple_regression!$O$27*dummy_variables!$H$68+multiple_regression!$O$28*dummy_variables!$I$68</f>
        <v>724597.45484474185</v>
      </c>
      <c r="G68" s="26">
        <f t="shared" si="0"/>
        <v>37262.735155258095</v>
      </c>
    </row>
    <row r="69" spans="1:7" ht="15" customHeight="1">
      <c r="A69" s="5" t="str">
        <f>cleaned_data!$A$69</f>
        <v>STR-1017</v>
      </c>
      <c r="B69" s="25" t="str">
        <f>cleaned_data!$B$69</f>
        <v>2025-01-01</v>
      </c>
      <c r="C69" s="5" t="str">
        <f>cleaned_data!$C$69</f>
        <v>West</v>
      </c>
      <c r="D69" s="5" t="str">
        <f>cleaned_data!$D$69</f>
        <v>High Street</v>
      </c>
      <c r="E69" s="26">
        <f>cleaned_data!$M$69</f>
        <v>784502.68</v>
      </c>
      <c r="F69" s="26">
        <f>multiple_regression!$O$18+multiple_regression!$O$19*cleaned_data!$F$69+multiple_regression!$O$20*cleaned_data!$E$69+multiple_regression!$O$21*cleaned_data!$I$69+multiple_regression!$O$22*cleaned_data!$H$69+multiple_regression!$O$23*dummy_variables!$D$69+multiple_regression!$O$24*dummy_variables!$E$69+multiple_regression!$O$25*dummy_variables!$F$69+multiple_regression!$O$26*dummy_variables!$G$69+multiple_regression!$O$27*dummy_variables!$H$69+multiple_regression!$O$28*dummy_variables!$I$69</f>
        <v>819236.72041616845</v>
      </c>
      <c r="G69" s="26">
        <f t="shared" ref="G69:G132" si="1">E69-F69</f>
        <v>-34734.040416168398</v>
      </c>
    </row>
    <row r="70" spans="1:7" ht="15" customHeight="1">
      <c r="A70" s="5" t="str">
        <f>cleaned_data!$A$70</f>
        <v>STR-1017</v>
      </c>
      <c r="B70" s="25" t="str">
        <f>cleaned_data!$B$70</f>
        <v>2025-02-01</v>
      </c>
      <c r="C70" s="5" t="str">
        <f>cleaned_data!$C$70</f>
        <v>West</v>
      </c>
      <c r="D70" s="5" t="str">
        <f>cleaned_data!$D$70</f>
        <v>High Street</v>
      </c>
      <c r="E70" s="26">
        <f>cleaned_data!$M$70</f>
        <v>717141.55</v>
      </c>
      <c r="F70" s="26">
        <f>multiple_regression!$O$18+multiple_regression!$O$19*cleaned_data!$F$70+multiple_regression!$O$20*cleaned_data!$E$70+multiple_regression!$O$21*cleaned_data!$I$70+multiple_regression!$O$22*cleaned_data!$H$70+multiple_regression!$O$23*dummy_variables!$D$70+multiple_regression!$O$24*dummy_variables!$E$70+multiple_regression!$O$25*dummy_variables!$F$70+multiple_regression!$O$26*dummy_variables!$G$70+multiple_regression!$O$27*dummy_variables!$H$70+multiple_regression!$O$28*dummy_variables!$I$70</f>
        <v>742102.76256264199</v>
      </c>
      <c r="G70" s="26">
        <f t="shared" si="1"/>
        <v>-24961.212562641944</v>
      </c>
    </row>
    <row r="71" spans="1:7" ht="15" customHeight="1">
      <c r="A71" s="5" t="str">
        <f>cleaned_data!$A$71</f>
        <v>STR-1017</v>
      </c>
      <c r="B71" s="25" t="str">
        <f>cleaned_data!$B$71</f>
        <v>2025-03-01</v>
      </c>
      <c r="C71" s="5" t="str">
        <f>cleaned_data!$C$71</f>
        <v>West</v>
      </c>
      <c r="D71" s="5" t="str">
        <f>cleaned_data!$D$71</f>
        <v>High Street</v>
      </c>
      <c r="E71" s="26">
        <f>cleaned_data!$M$71</f>
        <v>685379.08</v>
      </c>
      <c r="F71" s="26">
        <f>multiple_regression!$O$18+multiple_regression!$O$19*cleaned_data!$F$71+multiple_regression!$O$20*cleaned_data!$E$71+multiple_regression!$O$21*cleaned_data!$I$71+multiple_regression!$O$22*cleaned_data!$H$71+multiple_regression!$O$23*dummy_variables!$D$71+multiple_regression!$O$24*dummy_variables!$E$71+multiple_regression!$O$25*dummy_variables!$F$71+multiple_regression!$O$26*dummy_variables!$G$71+multiple_regression!$O$27*dummy_variables!$H$71+multiple_regression!$O$28*dummy_variables!$I$71</f>
        <v>846559.27464799257</v>
      </c>
      <c r="G71" s="26">
        <f t="shared" si="1"/>
        <v>-161180.19464799261</v>
      </c>
    </row>
    <row r="72" spans="1:7" ht="15" customHeight="1">
      <c r="A72" s="5" t="str">
        <f>cleaned_data!$A$72</f>
        <v>STR-1017</v>
      </c>
      <c r="B72" s="25" t="str">
        <f>cleaned_data!$B$72</f>
        <v>2025-04-01</v>
      </c>
      <c r="C72" s="5" t="str">
        <f>cleaned_data!$C$72</f>
        <v>West</v>
      </c>
      <c r="D72" s="5" t="str">
        <f>cleaned_data!$D$72</f>
        <v>High Street</v>
      </c>
      <c r="E72" s="26">
        <f>cleaned_data!$M$72</f>
        <v>740496.65</v>
      </c>
      <c r="F72" s="26">
        <f>multiple_regression!$O$18+multiple_regression!$O$19*cleaned_data!$F$72+multiple_regression!$O$20*cleaned_data!$E$72+multiple_regression!$O$21*cleaned_data!$I$72+multiple_regression!$O$22*cleaned_data!$H$72+multiple_regression!$O$23*dummy_variables!$D$72+multiple_regression!$O$24*dummy_variables!$E$72+multiple_regression!$O$25*dummy_variables!$F$72+multiple_regression!$O$26*dummy_variables!$G$72+multiple_regression!$O$27*dummy_variables!$H$72+multiple_regression!$O$28*dummy_variables!$I$72</f>
        <v>734354.93725849548</v>
      </c>
      <c r="G72" s="26">
        <f t="shared" si="1"/>
        <v>6141.7127415045397</v>
      </c>
    </row>
    <row r="73" spans="1:7" ht="15" customHeight="1">
      <c r="A73" s="5" t="str">
        <f>cleaned_data!$A$73</f>
        <v>STR-1018</v>
      </c>
      <c r="B73" s="25" t="str">
        <f>cleaned_data!$B$73</f>
        <v>2025-01-01</v>
      </c>
      <c r="C73" s="5" t="str">
        <f>cleaned_data!$C$73</f>
        <v>East</v>
      </c>
      <c r="D73" s="5" t="str">
        <f>cleaned_data!$D$73</f>
        <v>High Street</v>
      </c>
      <c r="E73" s="26">
        <f>cleaned_data!$M$73</f>
        <v>661927.14</v>
      </c>
      <c r="F73" s="26">
        <f>multiple_regression!$O$18+multiple_regression!$O$19*cleaned_data!$F$73+multiple_regression!$O$20*cleaned_data!$E$73+multiple_regression!$O$21*cleaned_data!$I$73+multiple_regression!$O$22*cleaned_data!$H$73+multiple_regression!$O$23*dummy_variables!$D$73+multiple_regression!$O$24*dummy_variables!$E$73+multiple_regression!$O$25*dummy_variables!$F$73+multiple_regression!$O$26*dummy_variables!$G$73+multiple_regression!$O$27*dummy_variables!$H$73+multiple_regression!$O$28*dummy_variables!$I$73</f>
        <v>588423.55726258084</v>
      </c>
      <c r="G73" s="26">
        <f t="shared" si="1"/>
        <v>73503.582737419172</v>
      </c>
    </row>
    <row r="74" spans="1:7" ht="15" customHeight="1">
      <c r="A74" s="5" t="str">
        <f>cleaned_data!$A$74</f>
        <v>STR-1018</v>
      </c>
      <c r="B74" s="25" t="str">
        <f>cleaned_data!$B$74</f>
        <v>2025-02-01</v>
      </c>
      <c r="C74" s="5" t="str">
        <f>cleaned_data!$C$74</f>
        <v>East</v>
      </c>
      <c r="D74" s="5" t="str">
        <f>cleaned_data!$D$74</f>
        <v>High Street</v>
      </c>
      <c r="E74" s="26">
        <f>cleaned_data!$M$74</f>
        <v>479050.5</v>
      </c>
      <c r="F74" s="26">
        <f>multiple_regression!$O$18+multiple_regression!$O$19*cleaned_data!$F$74+multiple_regression!$O$20*cleaned_data!$E$74+multiple_regression!$O$21*cleaned_data!$I$74+multiple_regression!$O$22*cleaned_data!$H$74+multiple_regression!$O$23*dummy_variables!$D$74+multiple_regression!$O$24*dummy_variables!$E$74+multiple_regression!$O$25*dummy_variables!$F$74+multiple_regression!$O$26*dummy_variables!$G$74+multiple_regression!$O$27*dummy_variables!$H$74+multiple_regression!$O$28*dummy_variables!$I$74</f>
        <v>505112.60811852146</v>
      </c>
      <c r="G74" s="26">
        <f t="shared" si="1"/>
        <v>-26062.108118521457</v>
      </c>
    </row>
    <row r="75" spans="1:7" ht="15" customHeight="1">
      <c r="A75" s="5" t="str">
        <f>cleaned_data!$A$75</f>
        <v>STR-1018</v>
      </c>
      <c r="B75" s="25" t="str">
        <f>cleaned_data!$B$75</f>
        <v>2025-03-01</v>
      </c>
      <c r="C75" s="5" t="str">
        <f>cleaned_data!$C$75</f>
        <v>East</v>
      </c>
      <c r="D75" s="5" t="str">
        <f>cleaned_data!$D$75</f>
        <v>High Street</v>
      </c>
      <c r="E75" s="26">
        <f>cleaned_data!$M$75</f>
        <v>605023.87</v>
      </c>
      <c r="F75" s="26">
        <f>multiple_regression!$O$18+multiple_regression!$O$19*cleaned_data!$F$75+multiple_regression!$O$20*cleaned_data!$E$75+multiple_regression!$O$21*cleaned_data!$I$75+multiple_regression!$O$22*cleaned_data!$H$75+multiple_regression!$O$23*dummy_variables!$D$75+multiple_regression!$O$24*dummy_variables!$E$75+multiple_regression!$O$25*dummy_variables!$F$75+multiple_regression!$O$26*dummy_variables!$G$75+multiple_regression!$O$27*dummy_variables!$H$75+multiple_regression!$O$28*dummy_variables!$I$75</f>
        <v>583840.87794870522</v>
      </c>
      <c r="G75" s="26">
        <f t="shared" si="1"/>
        <v>21182.992051294772</v>
      </c>
    </row>
    <row r="76" spans="1:7" ht="15" customHeight="1">
      <c r="A76" s="5" t="str">
        <f>cleaned_data!$A$76</f>
        <v>STR-1018</v>
      </c>
      <c r="B76" s="25" t="str">
        <f>cleaned_data!$B$76</f>
        <v>2025-04-01</v>
      </c>
      <c r="C76" s="5" t="str">
        <f>cleaned_data!$C$76</f>
        <v>East</v>
      </c>
      <c r="D76" s="5" t="str">
        <f>cleaned_data!$D$76</f>
        <v>High Street</v>
      </c>
      <c r="E76" s="26">
        <f>cleaned_data!$M$76</f>
        <v>674774.09</v>
      </c>
      <c r="F76" s="26">
        <f>multiple_regression!$O$18+multiple_regression!$O$19*cleaned_data!$F$76+multiple_regression!$O$20*cleaned_data!$E$76+multiple_regression!$O$21*cleaned_data!$I$76+multiple_regression!$O$22*cleaned_data!$H$76+multiple_regression!$O$23*dummy_variables!$D$76+multiple_regression!$O$24*dummy_variables!$E$76+multiple_regression!$O$25*dummy_variables!$F$76+multiple_regression!$O$26*dummy_variables!$G$76+multiple_regression!$O$27*dummy_variables!$H$76+multiple_regression!$O$28*dummy_variables!$I$76</f>
        <v>624389.0081317015</v>
      </c>
      <c r="G76" s="26">
        <f t="shared" si="1"/>
        <v>50385.081868298468</v>
      </c>
    </row>
    <row r="77" spans="1:7" ht="15" customHeight="1">
      <c r="A77" s="5" t="str">
        <f>cleaned_data!$A$77</f>
        <v>STR-1019</v>
      </c>
      <c r="B77" s="25" t="str">
        <f>cleaned_data!$B$77</f>
        <v>2025-01-01</v>
      </c>
      <c r="C77" s="5" t="str">
        <f>cleaned_data!$C$77</f>
        <v>East</v>
      </c>
      <c r="D77" s="5" t="str">
        <f>cleaned_data!$D$77</f>
        <v>Residential</v>
      </c>
      <c r="E77" s="26">
        <f>cleaned_data!$M$77</f>
        <v>616069.41</v>
      </c>
      <c r="F77" s="26">
        <f>multiple_regression!$O$18+multiple_regression!$O$19*cleaned_data!$F$77+multiple_regression!$O$20*cleaned_data!$E$77+multiple_regression!$O$21*cleaned_data!$I$77+multiple_regression!$O$22*cleaned_data!$H$77+multiple_regression!$O$23*dummy_variables!$D$77+multiple_regression!$O$24*dummy_variables!$E$77+multiple_regression!$O$25*dummy_variables!$F$77+multiple_regression!$O$26*dummy_variables!$G$77+multiple_regression!$O$27*dummy_variables!$H$77+multiple_regression!$O$28*dummy_variables!$I$77</f>
        <v>584208.10558362608</v>
      </c>
      <c r="G77" s="26">
        <f t="shared" si="1"/>
        <v>31861.304416373954</v>
      </c>
    </row>
    <row r="78" spans="1:7" ht="15" customHeight="1">
      <c r="A78" s="5" t="str">
        <f>cleaned_data!$A$78</f>
        <v>STR-1019</v>
      </c>
      <c r="B78" s="25" t="str">
        <f>cleaned_data!$B$78</f>
        <v>2025-02-01</v>
      </c>
      <c r="C78" s="5" t="str">
        <f>cleaned_data!$C$78</f>
        <v>East</v>
      </c>
      <c r="D78" s="5" t="str">
        <f>cleaned_data!$D$78</f>
        <v>Residential</v>
      </c>
      <c r="E78" s="26">
        <f>cleaned_data!$M$78</f>
        <v>630829.93999999994</v>
      </c>
      <c r="F78" s="26">
        <f>multiple_regression!$O$18+multiple_regression!$O$19*cleaned_data!$F$78+multiple_regression!$O$20*cleaned_data!$E$78+multiple_regression!$O$21*cleaned_data!$I$78+multiple_regression!$O$22*cleaned_data!$H$78+multiple_regression!$O$23*dummy_variables!$D$78+multiple_regression!$O$24*dummy_variables!$E$78+multiple_regression!$O$25*dummy_variables!$F$78+multiple_regression!$O$26*dummy_variables!$G$78+multiple_regression!$O$27*dummy_variables!$H$78+multiple_regression!$O$28*dummy_variables!$I$78</f>
        <v>683310.6303677524</v>
      </c>
      <c r="G78" s="26">
        <f t="shared" si="1"/>
        <v>-52480.690367752453</v>
      </c>
    </row>
    <row r="79" spans="1:7" ht="15" customHeight="1">
      <c r="A79" s="5" t="str">
        <f>cleaned_data!$A$79</f>
        <v>STR-1019</v>
      </c>
      <c r="B79" s="25" t="str">
        <f>cleaned_data!$B$79</f>
        <v>2025-03-01</v>
      </c>
      <c r="C79" s="5" t="str">
        <f>cleaned_data!$C$79</f>
        <v>East</v>
      </c>
      <c r="D79" s="5" t="str">
        <f>cleaned_data!$D$79</f>
        <v>Residential</v>
      </c>
      <c r="E79" s="26">
        <f>cleaned_data!$M$79</f>
        <v>788087.68</v>
      </c>
      <c r="F79" s="26">
        <f>multiple_regression!$O$18+multiple_regression!$O$19*cleaned_data!$F$79+multiple_regression!$O$20*cleaned_data!$E$79+multiple_regression!$O$21*cleaned_data!$I$79+multiple_regression!$O$22*cleaned_data!$H$79+multiple_regression!$O$23*dummy_variables!$D$79+multiple_regression!$O$24*dummy_variables!$E$79+multiple_regression!$O$25*dummy_variables!$F$79+multiple_regression!$O$26*dummy_variables!$G$79+multiple_regression!$O$27*dummy_variables!$H$79+multiple_regression!$O$28*dummy_variables!$I$79</f>
        <v>700389.76861256524</v>
      </c>
      <c r="G79" s="26">
        <f t="shared" si="1"/>
        <v>87697.911387434811</v>
      </c>
    </row>
    <row r="80" spans="1:7" ht="15" customHeight="1">
      <c r="A80" s="5" t="str">
        <f>cleaned_data!$A$80</f>
        <v>STR-1019</v>
      </c>
      <c r="B80" s="25" t="str">
        <f>cleaned_data!$B$80</f>
        <v>2025-04-01</v>
      </c>
      <c r="C80" s="5" t="str">
        <f>cleaned_data!$C$80</f>
        <v>East</v>
      </c>
      <c r="D80" s="5" t="str">
        <f>cleaned_data!$D$80</f>
        <v>Residential</v>
      </c>
      <c r="E80" s="26">
        <f>cleaned_data!$M$80</f>
        <v>680840.36</v>
      </c>
      <c r="F80" s="26">
        <f>multiple_regression!$O$18+multiple_regression!$O$19*cleaned_data!$F$80+multiple_regression!$O$20*cleaned_data!$E$80+multiple_regression!$O$21*cleaned_data!$I$80+multiple_regression!$O$22*cleaned_data!$H$80+multiple_regression!$O$23*dummy_variables!$D$80+multiple_regression!$O$24*dummy_variables!$E$80+multiple_regression!$O$25*dummy_variables!$F$80+multiple_regression!$O$26*dummy_variables!$G$80+multiple_regression!$O$27*dummy_variables!$H$80+multiple_regression!$O$28*dummy_variables!$I$80</f>
        <v>704976.73369837669</v>
      </c>
      <c r="G80" s="26">
        <f t="shared" si="1"/>
        <v>-24136.373698376701</v>
      </c>
    </row>
    <row r="81" spans="1:7" ht="15" customHeight="1">
      <c r="A81" s="5" t="str">
        <f>cleaned_data!$A$81</f>
        <v>STR-1020</v>
      </c>
      <c r="B81" s="25" t="str">
        <f>cleaned_data!$B$81</f>
        <v>2025-01-01</v>
      </c>
      <c r="C81" s="5" t="str">
        <f>cleaned_data!$C$81</f>
        <v>South</v>
      </c>
      <c r="D81" s="5" t="str">
        <f>cleaned_data!$D$81</f>
        <v>High Street</v>
      </c>
      <c r="E81" s="26">
        <f>cleaned_data!$M$81</f>
        <v>643657.47</v>
      </c>
      <c r="F81" s="26">
        <f>multiple_regression!$O$18+multiple_regression!$O$19*cleaned_data!$F$81+multiple_regression!$O$20*cleaned_data!$E$81+multiple_regression!$O$21*cleaned_data!$I$81+multiple_regression!$O$22*cleaned_data!$H$81+multiple_regression!$O$23*dummy_variables!$D$81+multiple_regression!$O$24*dummy_variables!$E$81+multiple_regression!$O$25*dummy_variables!$F$81+multiple_regression!$O$26*dummy_variables!$G$81+multiple_regression!$O$27*dummy_variables!$H$81+multiple_regression!$O$28*dummy_variables!$I$81</f>
        <v>658879.45442644204</v>
      </c>
      <c r="G81" s="26">
        <f t="shared" si="1"/>
        <v>-15221.984426442068</v>
      </c>
    </row>
    <row r="82" spans="1:7" ht="15" customHeight="1">
      <c r="A82" s="5" t="str">
        <f>cleaned_data!$A$82</f>
        <v>STR-1020</v>
      </c>
      <c r="B82" s="25" t="str">
        <f>cleaned_data!$B$82</f>
        <v>2025-02-01</v>
      </c>
      <c r="C82" s="5" t="str">
        <f>cleaned_data!$C$82</f>
        <v>South</v>
      </c>
      <c r="D82" s="5" t="str">
        <f>cleaned_data!$D$82</f>
        <v>High Street</v>
      </c>
      <c r="E82" s="26">
        <f>cleaned_data!$M$82</f>
        <v>691112.6</v>
      </c>
      <c r="F82" s="26">
        <f>multiple_regression!$O$18+multiple_regression!$O$19*cleaned_data!$F$82+multiple_regression!$O$20*cleaned_data!$E$82+multiple_regression!$O$21*cleaned_data!$I$82+multiple_regression!$O$22*cleaned_data!$H$82+multiple_regression!$O$23*dummy_variables!$D$82+multiple_regression!$O$24*dummy_variables!$E$82+multiple_regression!$O$25*dummy_variables!$F$82+multiple_regression!$O$26*dummy_variables!$G$82+multiple_regression!$O$27*dummy_variables!$H$82+multiple_regression!$O$28*dummy_variables!$I$82</f>
        <v>650988.24491660739</v>
      </c>
      <c r="G82" s="26">
        <f t="shared" si="1"/>
        <v>40124.355083392584</v>
      </c>
    </row>
    <row r="83" spans="1:7" ht="15" customHeight="1">
      <c r="A83" s="5" t="str">
        <f>cleaned_data!$A$83</f>
        <v>STR-1020</v>
      </c>
      <c r="B83" s="25" t="str">
        <f>cleaned_data!$B$83</f>
        <v>2025-03-01</v>
      </c>
      <c r="C83" s="5" t="str">
        <f>cleaned_data!$C$83</f>
        <v>South</v>
      </c>
      <c r="D83" s="5" t="str">
        <f>cleaned_data!$D$83</f>
        <v>High Street</v>
      </c>
      <c r="E83" s="26">
        <f>cleaned_data!$M$83</f>
        <v>776922.17</v>
      </c>
      <c r="F83" s="26">
        <f>multiple_regression!$O$18+multiple_regression!$O$19*cleaned_data!$F$83+multiple_regression!$O$20*cleaned_data!$E$83+multiple_regression!$O$21*cleaned_data!$I$83+multiple_regression!$O$22*cleaned_data!$H$83+multiple_regression!$O$23*dummy_variables!$D$83+multiple_regression!$O$24*dummy_variables!$E$83+multiple_regression!$O$25*dummy_variables!$F$83+multiple_regression!$O$26*dummy_variables!$G$83+multiple_regression!$O$27*dummy_variables!$H$83+multiple_regression!$O$28*dummy_variables!$I$83</f>
        <v>730068.43008599023</v>
      </c>
      <c r="G83" s="26">
        <f t="shared" si="1"/>
        <v>46853.739914009813</v>
      </c>
    </row>
    <row r="84" spans="1:7" ht="15" customHeight="1">
      <c r="A84" s="5" t="str">
        <f>cleaned_data!$A$84</f>
        <v>STR-1020</v>
      </c>
      <c r="B84" s="25" t="str">
        <f>cleaned_data!$B$84</f>
        <v>2025-04-01</v>
      </c>
      <c r="C84" s="5" t="str">
        <f>cleaned_data!$C$84</f>
        <v>South</v>
      </c>
      <c r="D84" s="5" t="str">
        <f>cleaned_data!$D$84</f>
        <v>High Street</v>
      </c>
      <c r="E84" s="26">
        <f>cleaned_data!$M$84</f>
        <v>636561.34</v>
      </c>
      <c r="F84" s="26">
        <f>multiple_regression!$O$18+multiple_regression!$O$19*cleaned_data!$F$84+multiple_regression!$O$20*cleaned_data!$E$84+multiple_regression!$O$21*cleaned_data!$I$84+multiple_regression!$O$22*cleaned_data!$H$84+multiple_regression!$O$23*dummy_variables!$D$84+multiple_regression!$O$24*dummy_variables!$E$84+multiple_regression!$O$25*dummy_variables!$F$84+multiple_regression!$O$26*dummy_variables!$G$84+multiple_regression!$O$27*dummy_variables!$H$84+multiple_regression!$O$28*dummy_variables!$I$84</f>
        <v>671743.92472132936</v>
      </c>
      <c r="G84" s="26">
        <f t="shared" si="1"/>
        <v>-35182.584721329389</v>
      </c>
    </row>
    <row r="85" spans="1:7" ht="15" customHeight="1">
      <c r="A85" s="5" t="str">
        <f>cleaned_data!$A$85</f>
        <v>STR-1021</v>
      </c>
      <c r="B85" s="25" t="str">
        <f>cleaned_data!$B$85</f>
        <v>2025-01-01</v>
      </c>
      <c r="C85" s="5" t="str">
        <f>cleaned_data!$C$85</f>
        <v>West</v>
      </c>
      <c r="D85" s="5" t="str">
        <f>cleaned_data!$D$85</f>
        <v>Mall</v>
      </c>
      <c r="E85" s="26">
        <f>cleaned_data!$M$85</f>
        <v>621369.57999999996</v>
      </c>
      <c r="F85" s="26">
        <f>multiple_regression!$O$18+multiple_regression!$O$19*cleaned_data!$F$85+multiple_regression!$O$20*cleaned_data!$E$85+multiple_regression!$O$21*cleaned_data!$I$85+multiple_regression!$O$22*cleaned_data!$H$85+multiple_regression!$O$23*dummy_variables!$D$85+multiple_regression!$O$24*dummy_variables!$E$85+multiple_regression!$O$25*dummy_variables!$F$85+multiple_regression!$O$26*dummy_variables!$G$85+multiple_regression!$O$27*dummy_variables!$H$85+multiple_regression!$O$28*dummy_variables!$I$85</f>
        <v>656175.97823214717</v>
      </c>
      <c r="G85" s="26">
        <f t="shared" si="1"/>
        <v>-34806.398232147214</v>
      </c>
    </row>
    <row r="86" spans="1:7" ht="15" customHeight="1">
      <c r="A86" s="5" t="str">
        <f>cleaned_data!$A$86</f>
        <v>STR-1021</v>
      </c>
      <c r="B86" s="25" t="str">
        <f>cleaned_data!$B$86</f>
        <v>2025-02-01</v>
      </c>
      <c r="C86" s="5" t="str">
        <f>cleaned_data!$C$86</f>
        <v>West</v>
      </c>
      <c r="D86" s="5" t="str">
        <f>cleaned_data!$D$86</f>
        <v>Mall</v>
      </c>
      <c r="E86" s="26">
        <f>cleaned_data!$M$86</f>
        <v>682208.01</v>
      </c>
      <c r="F86" s="26">
        <f>multiple_regression!$O$18+multiple_regression!$O$19*cleaned_data!$F$86+multiple_regression!$O$20*cleaned_data!$E$86+multiple_regression!$O$21*cleaned_data!$I$86+multiple_regression!$O$22*cleaned_data!$H$86+multiple_regression!$O$23*dummy_variables!$D$86+multiple_regression!$O$24*dummy_variables!$E$86+multiple_regression!$O$25*dummy_variables!$F$86+multiple_regression!$O$26*dummy_variables!$G$86+multiple_regression!$O$27*dummy_variables!$H$86+multiple_regression!$O$28*dummy_variables!$I$86</f>
        <v>631398.92359151097</v>
      </c>
      <c r="G86" s="26">
        <f t="shared" si="1"/>
        <v>50809.086408489035</v>
      </c>
    </row>
    <row r="87" spans="1:7" ht="15" customHeight="1">
      <c r="A87" s="5" t="str">
        <f>cleaned_data!$A$87</f>
        <v>STR-1021</v>
      </c>
      <c r="B87" s="25" t="str">
        <f>cleaned_data!$B$87</f>
        <v>2025-03-01</v>
      </c>
      <c r="C87" s="5" t="str">
        <f>cleaned_data!$C$87</f>
        <v>West</v>
      </c>
      <c r="D87" s="5" t="str">
        <f>cleaned_data!$D$87</f>
        <v>Mall</v>
      </c>
      <c r="E87" s="26">
        <f>cleaned_data!$M$87</f>
        <v>727241.86</v>
      </c>
      <c r="F87" s="26">
        <f>multiple_regression!$O$18+multiple_regression!$O$19*cleaned_data!$F$87+multiple_regression!$O$20*cleaned_data!$E$87+multiple_regression!$O$21*cleaned_data!$I$87+multiple_regression!$O$22*cleaned_data!$H$87+multiple_regression!$O$23*dummy_variables!$D$87+multiple_regression!$O$24*dummy_variables!$E$87+multiple_regression!$O$25*dummy_variables!$F$87+multiple_regression!$O$26*dummy_variables!$G$87+multiple_regression!$O$27*dummy_variables!$H$87+multiple_regression!$O$28*dummy_variables!$I$87</f>
        <v>657611.10874506319</v>
      </c>
      <c r="G87" s="26">
        <f t="shared" si="1"/>
        <v>69630.751254936797</v>
      </c>
    </row>
    <row r="88" spans="1:7" ht="15" customHeight="1">
      <c r="A88" s="5" t="str">
        <f>cleaned_data!$A$88</f>
        <v>STR-1021</v>
      </c>
      <c r="B88" s="25" t="str">
        <f>cleaned_data!$B$88</f>
        <v>2025-04-01</v>
      </c>
      <c r="C88" s="5" t="str">
        <f>cleaned_data!$C$88</f>
        <v>West</v>
      </c>
      <c r="D88" s="5" t="str">
        <f>cleaned_data!$D$88</f>
        <v>Mall</v>
      </c>
      <c r="E88" s="26">
        <f>cleaned_data!$M$88</f>
        <v>569100.78</v>
      </c>
      <c r="F88" s="26">
        <f>multiple_regression!$O$18+multiple_regression!$O$19*cleaned_data!$F$88+multiple_regression!$O$20*cleaned_data!$E$88+multiple_regression!$O$21*cleaned_data!$I$88+multiple_regression!$O$22*cleaned_data!$H$88+multiple_regression!$O$23*dummy_variables!$D$88+multiple_regression!$O$24*dummy_variables!$E$88+multiple_regression!$O$25*dummy_variables!$F$88+multiple_regression!$O$26*dummy_variables!$G$88+multiple_regression!$O$27*dummy_variables!$H$88+multiple_regression!$O$28*dummy_variables!$I$88</f>
        <v>553736.3520476697</v>
      </c>
      <c r="G88" s="26">
        <f t="shared" si="1"/>
        <v>15364.427952330327</v>
      </c>
    </row>
    <row r="89" spans="1:7" ht="15" customHeight="1">
      <c r="A89" s="5" t="str">
        <f>cleaned_data!$A$89</f>
        <v>STR-1022</v>
      </c>
      <c r="B89" s="25" t="str">
        <f>cleaned_data!$B$89</f>
        <v>2025-01-01</v>
      </c>
      <c r="C89" s="5" t="str">
        <f>cleaned_data!$C$89</f>
        <v>West</v>
      </c>
      <c r="D89" s="5" t="str">
        <f>cleaned_data!$D$89</f>
        <v>High Street</v>
      </c>
      <c r="E89" s="26">
        <f>cleaned_data!$M$89</f>
        <v>574436.29</v>
      </c>
      <c r="F89" s="26">
        <f>multiple_regression!$O$18+multiple_regression!$O$19*cleaned_data!$F$89+multiple_regression!$O$20*cleaned_data!$E$89+multiple_regression!$O$21*cleaned_data!$I$89+multiple_regression!$O$22*cleaned_data!$H$89+multiple_regression!$O$23*dummy_variables!$D$89+multiple_regression!$O$24*dummy_variables!$E$89+multiple_regression!$O$25*dummy_variables!$F$89+multiple_regression!$O$26*dummy_variables!$G$89+multiple_regression!$O$27*dummy_variables!$H$89+multiple_regression!$O$28*dummy_variables!$I$89</f>
        <v>552864.27518615406</v>
      </c>
      <c r="G89" s="26">
        <f t="shared" si="1"/>
        <v>21572.014813845977</v>
      </c>
    </row>
    <row r="90" spans="1:7" ht="15" customHeight="1">
      <c r="A90" s="5" t="str">
        <f>cleaned_data!$A$90</f>
        <v>STR-1022</v>
      </c>
      <c r="B90" s="25" t="str">
        <f>cleaned_data!$B$90</f>
        <v>2025-02-01</v>
      </c>
      <c r="C90" s="5" t="str">
        <f>cleaned_data!$C$90</f>
        <v>West</v>
      </c>
      <c r="D90" s="5" t="str">
        <f>cleaned_data!$D$90</f>
        <v>High Street</v>
      </c>
      <c r="E90" s="26">
        <f>cleaned_data!$M$90</f>
        <v>611766.72</v>
      </c>
      <c r="F90" s="26">
        <f>multiple_regression!$O$18+multiple_regression!$O$19*cleaned_data!$F$90+multiple_regression!$O$20*cleaned_data!$E$90+multiple_regression!$O$21*cleaned_data!$I$90+multiple_regression!$O$22*cleaned_data!$H$90+multiple_regression!$O$23*dummy_variables!$D$90+multiple_regression!$O$24*dummy_variables!$E$90+multiple_regression!$O$25*dummy_variables!$F$90+multiple_regression!$O$26*dummy_variables!$G$90+multiple_regression!$O$27*dummy_variables!$H$90+multiple_regression!$O$28*dummy_variables!$I$90</f>
        <v>648663.63372298959</v>
      </c>
      <c r="G90" s="26">
        <f t="shared" si="1"/>
        <v>-36896.913722989615</v>
      </c>
    </row>
    <row r="91" spans="1:7" ht="15" customHeight="1">
      <c r="A91" s="5" t="str">
        <f>cleaned_data!$A$91</f>
        <v>STR-1022</v>
      </c>
      <c r="B91" s="25" t="str">
        <f>cleaned_data!$B$91</f>
        <v>2025-03-01</v>
      </c>
      <c r="C91" s="5" t="str">
        <f>cleaned_data!$C$91</f>
        <v>West</v>
      </c>
      <c r="D91" s="5" t="str">
        <f>cleaned_data!$D$91</f>
        <v>High Street</v>
      </c>
      <c r="E91" s="26">
        <f>cleaned_data!$M$91</f>
        <v>614596.31999999995</v>
      </c>
      <c r="F91" s="26">
        <f>multiple_regression!$O$18+multiple_regression!$O$19*cleaned_data!$F$91+multiple_regression!$O$20*cleaned_data!$E$91+multiple_regression!$O$21*cleaned_data!$I$91+multiple_regression!$O$22*cleaned_data!$H$91+multiple_regression!$O$23*dummy_variables!$D$91+multiple_regression!$O$24*dummy_variables!$E$91+multiple_regression!$O$25*dummy_variables!$F$91+multiple_regression!$O$26*dummy_variables!$G$91+multiple_regression!$O$27*dummy_variables!$H$91+multiple_regression!$O$28*dummy_variables!$I$91</f>
        <v>620240.38187065953</v>
      </c>
      <c r="G91" s="26">
        <f t="shared" si="1"/>
        <v>-5644.0618706595851</v>
      </c>
    </row>
    <row r="92" spans="1:7" ht="15" customHeight="1">
      <c r="A92" s="5" t="str">
        <f>cleaned_data!$A$92</f>
        <v>STR-1022</v>
      </c>
      <c r="B92" s="25" t="str">
        <f>cleaned_data!$B$92</f>
        <v>2025-04-01</v>
      </c>
      <c r="C92" s="5" t="str">
        <f>cleaned_data!$C$92</f>
        <v>West</v>
      </c>
      <c r="D92" s="5" t="str">
        <f>cleaned_data!$D$92</f>
        <v>High Street</v>
      </c>
      <c r="E92" s="26">
        <f>cleaned_data!$M$92</f>
        <v>450711.92</v>
      </c>
      <c r="F92" s="26">
        <f>multiple_regression!$O$18+multiple_regression!$O$19*cleaned_data!$F$92+multiple_regression!$O$20*cleaned_data!$E$92+multiple_regression!$O$21*cleaned_data!$I$92+multiple_regression!$O$22*cleaned_data!$H$92+multiple_regression!$O$23*dummy_variables!$D$92+multiple_regression!$O$24*dummy_variables!$E$92+multiple_regression!$O$25*dummy_variables!$F$92+multiple_regression!$O$26*dummy_variables!$G$92+multiple_regression!$O$27*dummy_variables!$H$92+multiple_regression!$O$28*dummy_variables!$I$92</f>
        <v>465952.39911591733</v>
      </c>
      <c r="G92" s="26">
        <f t="shared" si="1"/>
        <v>-15240.479115917347</v>
      </c>
    </row>
    <row r="93" spans="1:7" ht="15" customHeight="1">
      <c r="A93" s="5" t="str">
        <f>cleaned_data!$A$93</f>
        <v>STR-1023</v>
      </c>
      <c r="B93" s="25" t="str">
        <f>cleaned_data!$B$93</f>
        <v>2025-01-01</v>
      </c>
      <c r="C93" s="5" t="str">
        <f>cleaned_data!$C$93</f>
        <v>South</v>
      </c>
      <c r="D93" s="5" t="str">
        <f>cleaned_data!$D$93</f>
        <v>Mall</v>
      </c>
      <c r="E93" s="26">
        <f>cleaned_data!$M$93</f>
        <v>711213.46</v>
      </c>
      <c r="F93" s="26">
        <f>multiple_regression!$O$18+multiple_regression!$O$19*cleaned_data!$F$93+multiple_regression!$O$20*cleaned_data!$E$93+multiple_regression!$O$21*cleaned_data!$I$93+multiple_regression!$O$22*cleaned_data!$H$93+multiple_regression!$O$23*dummy_variables!$D$93+multiple_regression!$O$24*dummy_variables!$E$93+multiple_regression!$O$25*dummy_variables!$F$93+multiple_regression!$O$26*dummy_variables!$G$93+multiple_regression!$O$27*dummy_variables!$H$93+multiple_regression!$O$28*dummy_variables!$I$93</f>
        <v>686807.596676794</v>
      </c>
      <c r="G93" s="26">
        <f t="shared" si="1"/>
        <v>24405.863323205966</v>
      </c>
    </row>
    <row r="94" spans="1:7" ht="15" customHeight="1">
      <c r="A94" s="5" t="str">
        <f>cleaned_data!$A$94</f>
        <v>STR-1023</v>
      </c>
      <c r="B94" s="25" t="str">
        <f>cleaned_data!$B$94</f>
        <v>2025-02-01</v>
      </c>
      <c r="C94" s="5" t="str">
        <f>cleaned_data!$C$94</f>
        <v>South</v>
      </c>
      <c r="D94" s="5" t="str">
        <f>cleaned_data!$D$94</f>
        <v>Mall</v>
      </c>
      <c r="E94" s="26">
        <f>cleaned_data!$M$94</f>
        <v>627171.9</v>
      </c>
      <c r="F94" s="26">
        <f>multiple_regression!$O$18+multiple_regression!$O$19*cleaned_data!$F$94+multiple_regression!$O$20*cleaned_data!$E$94+multiple_regression!$O$21*cleaned_data!$I$94+multiple_regression!$O$22*cleaned_data!$H$94+multiple_regression!$O$23*dummy_variables!$D$94+multiple_regression!$O$24*dummy_variables!$E$94+multiple_regression!$O$25*dummy_variables!$F$94+multiple_regression!$O$26*dummy_variables!$G$94+multiple_regression!$O$27*dummy_variables!$H$94+multiple_regression!$O$28*dummy_variables!$I$94</f>
        <v>753497.85237894638</v>
      </c>
      <c r="G94" s="26">
        <f t="shared" si="1"/>
        <v>-126325.95237894636</v>
      </c>
    </row>
    <row r="95" spans="1:7" ht="15" customHeight="1">
      <c r="A95" s="5" t="str">
        <f>cleaned_data!$A$95</f>
        <v>STR-1023</v>
      </c>
      <c r="B95" s="25" t="str">
        <f>cleaned_data!$B$95</f>
        <v>2025-03-01</v>
      </c>
      <c r="C95" s="5" t="str">
        <f>cleaned_data!$C$95</f>
        <v>South</v>
      </c>
      <c r="D95" s="5" t="str">
        <f>cleaned_data!$D$95</f>
        <v>Mall</v>
      </c>
      <c r="E95" s="26">
        <f>cleaned_data!$M$95</f>
        <v>739852.58</v>
      </c>
      <c r="F95" s="26">
        <f>multiple_regression!$O$18+multiple_regression!$O$19*cleaned_data!$F$95+multiple_regression!$O$20*cleaned_data!$E$95+multiple_regression!$O$21*cleaned_data!$I$95+multiple_regression!$O$22*cleaned_data!$H$95+multiple_regression!$O$23*dummy_variables!$D$95+multiple_regression!$O$24*dummy_variables!$E$95+multiple_regression!$O$25*dummy_variables!$F$95+multiple_regression!$O$26*dummy_variables!$G$95+multiple_regression!$O$27*dummy_variables!$H$95+multiple_regression!$O$28*dummy_variables!$I$95</f>
        <v>729076.48465589096</v>
      </c>
      <c r="G95" s="26">
        <f t="shared" si="1"/>
        <v>10776.095344108995</v>
      </c>
    </row>
    <row r="96" spans="1:7" ht="15" customHeight="1">
      <c r="A96" s="5" t="str">
        <f>cleaned_data!$A$96</f>
        <v>STR-1023</v>
      </c>
      <c r="B96" s="25" t="str">
        <f>cleaned_data!$B$96</f>
        <v>2025-04-01</v>
      </c>
      <c r="C96" s="5" t="str">
        <f>cleaned_data!$C$96</f>
        <v>South</v>
      </c>
      <c r="D96" s="5" t="str">
        <f>cleaned_data!$D$96</f>
        <v>Mall</v>
      </c>
      <c r="E96" s="26">
        <f>cleaned_data!$M$96</f>
        <v>586307.22</v>
      </c>
      <c r="F96" s="26">
        <f>multiple_regression!$O$18+multiple_regression!$O$19*cleaned_data!$F$96+multiple_regression!$O$20*cleaned_data!$E$96+multiple_regression!$O$21*cleaned_data!$I$96+multiple_regression!$O$22*cleaned_data!$H$96+multiple_regression!$O$23*dummy_variables!$D$96+multiple_regression!$O$24*dummy_variables!$E$96+multiple_regression!$O$25*dummy_variables!$F$96+multiple_regression!$O$26*dummy_variables!$G$96+multiple_regression!$O$27*dummy_variables!$H$96+multiple_regression!$O$28*dummy_variables!$I$96</f>
        <v>565330.31891345989</v>
      </c>
      <c r="G96" s="26">
        <f t="shared" si="1"/>
        <v>20976.901086540078</v>
      </c>
    </row>
    <row r="97" spans="1:7" ht="15" customHeight="1">
      <c r="A97" s="5" t="str">
        <f>cleaned_data!$A$97</f>
        <v>STR-1024</v>
      </c>
      <c r="B97" s="25" t="str">
        <f>cleaned_data!$B$97</f>
        <v>2025-01-01</v>
      </c>
      <c r="C97" s="5" t="str">
        <f>cleaned_data!$C$97</f>
        <v>West</v>
      </c>
      <c r="D97" s="5" t="str">
        <f>cleaned_data!$D$97</f>
        <v>Residential</v>
      </c>
      <c r="E97" s="26">
        <f>cleaned_data!$M$97</f>
        <v>585937.48</v>
      </c>
      <c r="F97" s="26">
        <f>multiple_regression!$O$18+multiple_regression!$O$19*cleaned_data!$F$97+multiple_regression!$O$20*cleaned_data!$E$97+multiple_regression!$O$21*cleaned_data!$I$97+multiple_regression!$O$22*cleaned_data!$H$97+multiple_regression!$O$23*dummy_variables!$D$97+multiple_regression!$O$24*dummy_variables!$E$97+multiple_regression!$O$25*dummy_variables!$F$97+multiple_regression!$O$26*dummy_variables!$G$97+multiple_regression!$O$27*dummy_variables!$H$97+multiple_regression!$O$28*dummy_variables!$I$97</f>
        <v>593721.37194949726</v>
      </c>
      <c r="G97" s="26">
        <f t="shared" si="1"/>
        <v>-7783.8919494972797</v>
      </c>
    </row>
    <row r="98" spans="1:7" ht="15" customHeight="1">
      <c r="A98" s="5" t="str">
        <f>cleaned_data!$A$98</f>
        <v>STR-1024</v>
      </c>
      <c r="B98" s="25" t="str">
        <f>cleaned_data!$B$98</f>
        <v>2025-02-01</v>
      </c>
      <c r="C98" s="5" t="str">
        <f>cleaned_data!$C$98</f>
        <v>West</v>
      </c>
      <c r="D98" s="5" t="str">
        <f>cleaned_data!$D$98</f>
        <v>Residential</v>
      </c>
      <c r="E98" s="26">
        <f>cleaned_data!$M$98</f>
        <v>753473.55</v>
      </c>
      <c r="F98" s="26">
        <f>multiple_regression!$O$18+multiple_regression!$O$19*cleaned_data!$F$98+multiple_regression!$O$20*cleaned_data!$E$98+multiple_regression!$O$21*cleaned_data!$I$98+multiple_regression!$O$22*cleaned_data!$H$98+multiple_regression!$O$23*dummy_variables!$D$98+multiple_regression!$O$24*dummy_variables!$E$98+multiple_regression!$O$25*dummy_variables!$F$98+multiple_regression!$O$26*dummy_variables!$G$98+multiple_regression!$O$27*dummy_variables!$H$98+multiple_regression!$O$28*dummy_variables!$I$98</f>
        <v>688853.47221888346</v>
      </c>
      <c r="G98" s="26">
        <f t="shared" si="1"/>
        <v>64620.07778111659</v>
      </c>
    </row>
    <row r="99" spans="1:7" ht="15" customHeight="1">
      <c r="A99" s="5" t="str">
        <f>cleaned_data!$A$99</f>
        <v>STR-1024</v>
      </c>
      <c r="B99" s="25" t="str">
        <f>cleaned_data!$B$99</f>
        <v>2025-03-01</v>
      </c>
      <c r="C99" s="5" t="str">
        <f>cleaned_data!$C$99</f>
        <v>West</v>
      </c>
      <c r="D99" s="5" t="str">
        <f>cleaned_data!$D$99</f>
        <v>Residential</v>
      </c>
      <c r="E99" s="26">
        <f>cleaned_data!$M$99</f>
        <v>838250.32</v>
      </c>
      <c r="F99" s="26">
        <f>multiple_regression!$O$18+multiple_regression!$O$19*cleaned_data!$F$99+multiple_regression!$O$20*cleaned_data!$E$99+multiple_regression!$O$21*cleaned_data!$I$99+multiple_regression!$O$22*cleaned_data!$H$99+multiple_regression!$O$23*dummy_variables!$D$99+multiple_regression!$O$24*dummy_variables!$E$99+multiple_regression!$O$25*dummy_variables!$F$99+multiple_regression!$O$26*dummy_variables!$G$99+multiple_regression!$O$27*dummy_variables!$H$99+multiple_regression!$O$28*dummy_variables!$I$99</f>
        <v>758165.45716492098</v>
      </c>
      <c r="G99" s="26">
        <f t="shared" si="1"/>
        <v>80084.862835078966</v>
      </c>
    </row>
    <row r="100" spans="1:7" ht="15" customHeight="1">
      <c r="A100" s="5" t="str">
        <f>cleaned_data!$A$100</f>
        <v>STR-1024</v>
      </c>
      <c r="B100" s="25" t="str">
        <f>cleaned_data!$B$100</f>
        <v>2025-04-01</v>
      </c>
      <c r="C100" s="5" t="str">
        <f>cleaned_data!$C$100</f>
        <v>West</v>
      </c>
      <c r="D100" s="5" t="str">
        <f>cleaned_data!$D$100</f>
        <v>Residential</v>
      </c>
      <c r="E100" s="26">
        <f>cleaned_data!$M$100</f>
        <v>607898.12</v>
      </c>
      <c r="F100" s="26">
        <f>multiple_regression!$O$18+multiple_regression!$O$19*cleaned_data!$F$100+multiple_regression!$O$20*cleaned_data!$E$100+multiple_regression!$O$21*cleaned_data!$I$100+multiple_regression!$O$22*cleaned_data!$H$100+multiple_regression!$O$23*dummy_variables!$D$100+multiple_regression!$O$24*dummy_variables!$E$100+multiple_regression!$O$25*dummy_variables!$F$100+multiple_regression!$O$26*dummy_variables!$G$100+multiple_regression!$O$27*dummy_variables!$H$100+multiple_regression!$O$28*dummy_variables!$I$100</f>
        <v>615607.36509017122</v>
      </c>
      <c r="G100" s="26">
        <f t="shared" si="1"/>
        <v>-7709.2450901712291</v>
      </c>
    </row>
    <row r="101" spans="1:7" ht="15" customHeight="1">
      <c r="A101" s="5" t="str">
        <f>cleaned_data!$A$101</f>
        <v>STR-1025</v>
      </c>
      <c r="B101" s="25" t="str">
        <f>cleaned_data!$B$101</f>
        <v>2025-01-01</v>
      </c>
      <c r="C101" s="5" t="str">
        <f>cleaned_data!$C$101</f>
        <v>West</v>
      </c>
      <c r="D101" s="5" t="str">
        <f>cleaned_data!$D$101</f>
        <v>Mall</v>
      </c>
      <c r="E101" s="26">
        <f>cleaned_data!$M$101</f>
        <v>691113.62</v>
      </c>
      <c r="F101" s="26">
        <f>multiple_regression!$O$18+multiple_regression!$O$19*cleaned_data!$F$101+multiple_regression!$O$20*cleaned_data!$E$101+multiple_regression!$O$21*cleaned_data!$I$101+multiple_regression!$O$22*cleaned_data!$H$101+multiple_regression!$O$23*dummy_variables!$D$101+multiple_regression!$O$24*dummy_variables!$E$101+multiple_regression!$O$25*dummy_variables!$F$101+multiple_regression!$O$26*dummy_variables!$G$101+multiple_regression!$O$27*dummy_variables!$H$101+multiple_regression!$O$28*dummy_variables!$I$101</f>
        <v>717324.06357169442</v>
      </c>
      <c r="G101" s="26">
        <f t="shared" si="1"/>
        <v>-26210.443571694428</v>
      </c>
    </row>
    <row r="102" spans="1:7" ht="15" customHeight="1">
      <c r="A102" s="5" t="str">
        <f>cleaned_data!$A$102</f>
        <v>STR-1025</v>
      </c>
      <c r="B102" s="25" t="str">
        <f>cleaned_data!$B$102</f>
        <v>2025-02-01</v>
      </c>
      <c r="C102" s="5" t="str">
        <f>cleaned_data!$C$102</f>
        <v>West</v>
      </c>
      <c r="D102" s="5" t="str">
        <f>cleaned_data!$D$102</f>
        <v>Mall</v>
      </c>
      <c r="E102" s="26">
        <f>cleaned_data!$M$102</f>
        <v>735509.4</v>
      </c>
      <c r="F102" s="26">
        <f>multiple_regression!$O$18+multiple_regression!$O$19*cleaned_data!$F$102+multiple_regression!$O$20*cleaned_data!$E$102+multiple_regression!$O$21*cleaned_data!$I$102+multiple_regression!$O$22*cleaned_data!$H$102+multiple_regression!$O$23*dummy_variables!$D$102+multiple_regression!$O$24*dummy_variables!$E$102+multiple_regression!$O$25*dummy_variables!$F$102+multiple_regression!$O$26*dummy_variables!$G$102+multiple_regression!$O$27*dummy_variables!$H$102+multiple_regression!$O$28*dummy_variables!$I$102</f>
        <v>669882.07731686614</v>
      </c>
      <c r="G102" s="26">
        <f t="shared" si="1"/>
        <v>65627.322683133883</v>
      </c>
    </row>
    <row r="103" spans="1:7" ht="15" customHeight="1">
      <c r="A103" s="5" t="str">
        <f>cleaned_data!$A$103</f>
        <v>STR-1025</v>
      </c>
      <c r="B103" s="25" t="str">
        <f>cleaned_data!$B$103</f>
        <v>2025-03-01</v>
      </c>
      <c r="C103" s="5" t="str">
        <f>cleaned_data!$C$103</f>
        <v>West</v>
      </c>
      <c r="D103" s="5" t="str">
        <f>cleaned_data!$D$103</f>
        <v>Mall</v>
      </c>
      <c r="E103" s="26">
        <f>cleaned_data!$M$103</f>
        <v>605775.32999999996</v>
      </c>
      <c r="F103" s="26">
        <f>multiple_regression!$O$18+multiple_regression!$O$19*cleaned_data!$F$103+multiple_regression!$O$20*cleaned_data!$E$103+multiple_regression!$O$21*cleaned_data!$I$103+multiple_regression!$O$22*cleaned_data!$H$103+multiple_regression!$O$23*dummy_variables!$D$103+multiple_regression!$O$24*dummy_variables!$E$103+multiple_regression!$O$25*dummy_variables!$F$103+multiple_regression!$O$26*dummy_variables!$G$103+multiple_regression!$O$27*dummy_variables!$H$103+multiple_regression!$O$28*dummy_variables!$I$103</f>
        <v>627502.48560200422</v>
      </c>
      <c r="G103" s="26">
        <f t="shared" si="1"/>
        <v>-21727.155602004263</v>
      </c>
    </row>
    <row r="104" spans="1:7" ht="15" customHeight="1">
      <c r="A104" s="5" t="str">
        <f>cleaned_data!$A$104</f>
        <v>STR-1025</v>
      </c>
      <c r="B104" s="25" t="str">
        <f>cleaned_data!$B$104</f>
        <v>2025-04-01</v>
      </c>
      <c r="C104" s="5" t="str">
        <f>cleaned_data!$C$104</f>
        <v>West</v>
      </c>
      <c r="D104" s="5" t="str">
        <f>cleaned_data!$D$104</f>
        <v>Mall</v>
      </c>
      <c r="E104" s="26">
        <f>cleaned_data!$M$104</f>
        <v>675177.68</v>
      </c>
      <c r="F104" s="26">
        <f>multiple_regression!$O$18+multiple_regression!$O$19*cleaned_data!$F$104+multiple_regression!$O$20*cleaned_data!$E$104+multiple_regression!$O$21*cleaned_data!$I$104+multiple_regression!$O$22*cleaned_data!$H$104+multiple_regression!$O$23*dummy_variables!$D$104+multiple_regression!$O$24*dummy_variables!$E$104+multiple_regression!$O$25*dummy_variables!$F$104+multiple_regression!$O$26*dummy_variables!$G$104+multiple_regression!$O$27*dummy_variables!$H$104+multiple_regression!$O$28*dummy_variables!$I$104</f>
        <v>655835.29254597065</v>
      </c>
      <c r="G104" s="26">
        <f t="shared" si="1"/>
        <v>19342.387454029405</v>
      </c>
    </row>
    <row r="105" spans="1:7" ht="15" customHeight="1">
      <c r="A105" s="5" t="str">
        <f>cleaned_data!$A$105</f>
        <v>STR-1026</v>
      </c>
      <c r="B105" s="25" t="str">
        <f>cleaned_data!$B$105</f>
        <v>2025-01-01</v>
      </c>
      <c r="C105" s="5" t="str">
        <f>cleaned_data!$C$105</f>
        <v>East</v>
      </c>
      <c r="D105" s="5" t="str">
        <f>cleaned_data!$D$105</f>
        <v>Mall</v>
      </c>
      <c r="E105" s="26">
        <f>cleaned_data!$M$105</f>
        <v>635181.35</v>
      </c>
      <c r="F105" s="26">
        <f>multiple_regression!$O$18+multiple_regression!$O$19*cleaned_data!$F$105+multiple_regression!$O$20*cleaned_data!$E$105+multiple_regression!$O$21*cleaned_data!$I$105+multiple_regression!$O$22*cleaned_data!$H$105+multiple_regression!$O$23*dummy_variables!$D$105+multiple_regression!$O$24*dummy_variables!$E$105+multiple_regression!$O$25*dummy_variables!$F$105+multiple_regression!$O$26*dummy_variables!$G$105+multiple_regression!$O$27*dummy_variables!$H$105+multiple_regression!$O$28*dummy_variables!$I$105</f>
        <v>591316.8562100078</v>
      </c>
      <c r="G105" s="26">
        <f t="shared" si="1"/>
        <v>43864.493789992179</v>
      </c>
    </row>
    <row r="106" spans="1:7" ht="15" customHeight="1">
      <c r="A106" s="5" t="str">
        <f>cleaned_data!$A$106</f>
        <v>STR-1026</v>
      </c>
      <c r="B106" s="25" t="str">
        <f>cleaned_data!$B$106</f>
        <v>2025-02-01</v>
      </c>
      <c r="C106" s="5" t="str">
        <f>cleaned_data!$C$106</f>
        <v>East</v>
      </c>
      <c r="D106" s="5" t="str">
        <f>cleaned_data!$D$106</f>
        <v>Mall</v>
      </c>
      <c r="E106" s="26">
        <f>cleaned_data!$M$106</f>
        <v>586626.93999999994</v>
      </c>
      <c r="F106" s="26">
        <f>multiple_regression!$O$18+multiple_regression!$O$19*cleaned_data!$F$106+multiple_regression!$O$20*cleaned_data!$E$106+multiple_regression!$O$21*cleaned_data!$I$106+multiple_regression!$O$22*cleaned_data!$H$106+multiple_regression!$O$23*dummy_variables!$D$106+multiple_regression!$O$24*dummy_variables!$E$106+multiple_regression!$O$25*dummy_variables!$F$106+multiple_regression!$O$26*dummy_variables!$G$106+multiple_regression!$O$27*dummy_variables!$H$106+multiple_regression!$O$28*dummy_variables!$I$106</f>
        <v>626724.52208179701</v>
      </c>
      <c r="G106" s="26">
        <f t="shared" si="1"/>
        <v>-40097.582081797067</v>
      </c>
    </row>
    <row r="107" spans="1:7" ht="15" customHeight="1">
      <c r="A107" s="5" t="str">
        <f>cleaned_data!$A$107</f>
        <v>STR-1026</v>
      </c>
      <c r="B107" s="25" t="str">
        <f>cleaned_data!$B$107</f>
        <v>2025-03-01</v>
      </c>
      <c r="C107" s="5" t="str">
        <f>cleaned_data!$C$107</f>
        <v>East</v>
      </c>
      <c r="D107" s="5" t="str">
        <f>cleaned_data!$D$107</f>
        <v>Mall</v>
      </c>
      <c r="E107" s="26">
        <f>cleaned_data!$M$107</f>
        <v>740102.64</v>
      </c>
      <c r="F107" s="26">
        <f>multiple_regression!$O$18+multiple_regression!$O$19*cleaned_data!$F$107+multiple_regression!$O$20*cleaned_data!$E$107+multiple_regression!$O$21*cleaned_data!$I$107+multiple_regression!$O$22*cleaned_data!$H$107+multiple_regression!$O$23*dummy_variables!$D$107+multiple_regression!$O$24*dummy_variables!$E$107+multiple_regression!$O$25*dummy_variables!$F$107+multiple_regression!$O$26*dummy_variables!$G$107+multiple_regression!$O$27*dummy_variables!$H$107+multiple_regression!$O$28*dummy_variables!$I$107</f>
        <v>699549.83238444524</v>
      </c>
      <c r="G107" s="26">
        <f t="shared" si="1"/>
        <v>40552.807615554775</v>
      </c>
    </row>
    <row r="108" spans="1:7" ht="15" customHeight="1">
      <c r="A108" s="5" t="str">
        <f>cleaned_data!$A$108</f>
        <v>STR-1026</v>
      </c>
      <c r="B108" s="25" t="str">
        <f>cleaned_data!$B$108</f>
        <v>2025-04-01</v>
      </c>
      <c r="C108" s="5" t="str">
        <f>cleaned_data!$C$108</f>
        <v>East</v>
      </c>
      <c r="D108" s="5" t="str">
        <f>cleaned_data!$D$108</f>
        <v>Mall</v>
      </c>
      <c r="E108" s="26">
        <f>cleaned_data!$M$108</f>
        <v>625514.04</v>
      </c>
      <c r="F108" s="26">
        <f>multiple_regression!$O$18+multiple_regression!$O$19*cleaned_data!$F$108+multiple_regression!$O$20*cleaned_data!$E$108+multiple_regression!$O$21*cleaned_data!$I$108+multiple_regression!$O$22*cleaned_data!$H$108+multiple_regression!$O$23*dummy_variables!$D$108+multiple_regression!$O$24*dummy_variables!$E$108+multiple_regression!$O$25*dummy_variables!$F$108+multiple_regression!$O$26*dummy_variables!$G$108+multiple_regression!$O$27*dummy_variables!$H$108+multiple_regression!$O$28*dummy_variables!$I$108</f>
        <v>519632.05055249087</v>
      </c>
      <c r="G108" s="26">
        <f t="shared" si="1"/>
        <v>105881.98944750917</v>
      </c>
    </row>
    <row r="109" spans="1:7" ht="15" customHeight="1">
      <c r="A109" s="5" t="str">
        <f>cleaned_data!$A$109</f>
        <v>STR-1027</v>
      </c>
      <c r="B109" s="25" t="str">
        <f>cleaned_data!$B$109</f>
        <v>2025-01-01</v>
      </c>
      <c r="C109" s="5" t="str">
        <f>cleaned_data!$C$109</f>
        <v>West</v>
      </c>
      <c r="D109" s="5" t="str">
        <f>cleaned_data!$D$109</f>
        <v>High Street</v>
      </c>
      <c r="E109" s="26">
        <f>cleaned_data!$M$109</f>
        <v>727227.2</v>
      </c>
      <c r="F109" s="26">
        <f>multiple_regression!$O$18+multiple_regression!$O$19*cleaned_data!$F$109+multiple_regression!$O$20*cleaned_data!$E$109+multiple_regression!$O$21*cleaned_data!$I$109+multiple_regression!$O$22*cleaned_data!$H$109+multiple_regression!$O$23*dummy_variables!$D$109+multiple_regression!$O$24*dummy_variables!$E$109+multiple_regression!$O$25*dummy_variables!$F$109+multiple_regression!$O$26*dummy_variables!$G$109+multiple_regression!$O$27*dummy_variables!$H$109+multiple_regression!$O$28*dummy_variables!$I$109</f>
        <v>709066.18687576847</v>
      </c>
      <c r="G109" s="26">
        <f t="shared" si="1"/>
        <v>18161.013124231482</v>
      </c>
    </row>
    <row r="110" spans="1:7" ht="15" customHeight="1">
      <c r="A110" s="5" t="str">
        <f>cleaned_data!$A$110</f>
        <v>STR-1027</v>
      </c>
      <c r="B110" s="25" t="str">
        <f>cleaned_data!$B$110</f>
        <v>2025-02-01</v>
      </c>
      <c r="C110" s="5" t="str">
        <f>cleaned_data!$C$110</f>
        <v>West</v>
      </c>
      <c r="D110" s="5" t="str">
        <f>cleaned_data!$D$110</f>
        <v>High Street</v>
      </c>
      <c r="E110" s="26">
        <f>cleaned_data!$M$110</f>
        <v>783797.89</v>
      </c>
      <c r="F110" s="26">
        <f>multiple_regression!$O$18+multiple_regression!$O$19*cleaned_data!$F$110+multiple_regression!$O$20*cleaned_data!$E$110+multiple_regression!$O$21*cleaned_data!$I$110+multiple_regression!$O$22*cleaned_data!$H$110+multiple_regression!$O$23*dummy_variables!$D$110+multiple_regression!$O$24*dummy_variables!$E$110+multiple_regression!$O$25*dummy_variables!$F$110+multiple_regression!$O$26*dummy_variables!$G$110+multiple_regression!$O$27*dummy_variables!$H$110+multiple_regression!$O$28*dummy_variables!$I$110</f>
        <v>796619.73425201408</v>
      </c>
      <c r="G110" s="26">
        <f t="shared" si="1"/>
        <v>-12821.844252014067</v>
      </c>
    </row>
    <row r="111" spans="1:7" ht="15" customHeight="1">
      <c r="A111" s="5" t="str">
        <f>cleaned_data!$A$111</f>
        <v>STR-1027</v>
      </c>
      <c r="B111" s="25" t="str">
        <f>cleaned_data!$B$111</f>
        <v>2025-03-01</v>
      </c>
      <c r="C111" s="5" t="str">
        <f>cleaned_data!$C$111</f>
        <v>West</v>
      </c>
      <c r="D111" s="5" t="str">
        <f>cleaned_data!$D$111</f>
        <v>High Street</v>
      </c>
      <c r="E111" s="26">
        <f>cleaned_data!$M$111</f>
        <v>795153.84</v>
      </c>
      <c r="F111" s="26">
        <f>multiple_regression!$O$18+multiple_regression!$O$19*cleaned_data!$F$111+multiple_regression!$O$20*cleaned_data!$E$111+multiple_regression!$O$21*cleaned_data!$I$111+multiple_regression!$O$22*cleaned_data!$H$111+multiple_regression!$O$23*dummy_variables!$D$111+multiple_regression!$O$24*dummy_variables!$E$111+multiple_regression!$O$25*dummy_variables!$F$111+multiple_regression!$O$26*dummy_variables!$G$111+multiple_regression!$O$27*dummy_variables!$H$111+multiple_regression!$O$28*dummy_variables!$I$111</f>
        <v>721441.35830271151</v>
      </c>
      <c r="G111" s="26">
        <f t="shared" si="1"/>
        <v>73712.481697288458</v>
      </c>
    </row>
    <row r="112" spans="1:7" ht="15" customHeight="1">
      <c r="A112" s="5" t="str">
        <f>cleaned_data!$A$112</f>
        <v>STR-1027</v>
      </c>
      <c r="B112" s="25" t="str">
        <f>cleaned_data!$B$112</f>
        <v>2025-04-01</v>
      </c>
      <c r="C112" s="5" t="str">
        <f>cleaned_data!$C$112</f>
        <v>West</v>
      </c>
      <c r="D112" s="5" t="str">
        <f>cleaned_data!$D$112</f>
        <v>High Street</v>
      </c>
      <c r="E112" s="26">
        <f>cleaned_data!$M$112</f>
        <v>665594.93999999994</v>
      </c>
      <c r="F112" s="26">
        <f>multiple_regression!$O$18+multiple_regression!$O$19*cleaned_data!$F$112+multiple_regression!$O$20*cleaned_data!$E$112+multiple_regression!$O$21*cleaned_data!$I$112+multiple_regression!$O$22*cleaned_data!$H$112+multiple_regression!$O$23*dummy_variables!$D$112+multiple_regression!$O$24*dummy_variables!$E$112+multiple_regression!$O$25*dummy_variables!$F$112+multiple_regression!$O$26*dummy_variables!$G$112+multiple_regression!$O$27*dummy_variables!$H$112+multiple_regression!$O$28*dummy_variables!$I$112</f>
        <v>667198.09478784306</v>
      </c>
      <c r="G112" s="26">
        <f t="shared" si="1"/>
        <v>-1603.1547878431156</v>
      </c>
    </row>
    <row r="113" spans="1:7" ht="15" customHeight="1">
      <c r="A113" s="5" t="str">
        <f>cleaned_data!$A$113</f>
        <v>STR-1028</v>
      </c>
      <c r="B113" s="25" t="str">
        <f>cleaned_data!$B$113</f>
        <v>2025-01-01</v>
      </c>
      <c r="C113" s="5" t="str">
        <f>cleaned_data!$C$113</f>
        <v>East</v>
      </c>
      <c r="D113" s="5" t="str">
        <f>cleaned_data!$D$113</f>
        <v>Mall</v>
      </c>
      <c r="E113" s="26">
        <f>cleaned_data!$M$113</f>
        <v>709478.39</v>
      </c>
      <c r="F113" s="26">
        <f>multiple_regression!$O$18+multiple_regression!$O$19*cleaned_data!$F$113+multiple_regression!$O$20*cleaned_data!$E$113+multiple_regression!$O$21*cleaned_data!$I$113+multiple_regression!$O$22*cleaned_data!$H$113+multiple_regression!$O$23*dummy_variables!$D$113+multiple_regression!$O$24*dummy_variables!$E$113+multiple_regression!$O$25*dummy_variables!$F$113+multiple_regression!$O$26*dummy_variables!$G$113+multiple_regression!$O$27*dummy_variables!$H$113+multiple_regression!$O$28*dummy_variables!$I$113</f>
        <v>682900.70049826242</v>
      </c>
      <c r="G113" s="26">
        <f t="shared" si="1"/>
        <v>26577.689501737594</v>
      </c>
    </row>
    <row r="114" spans="1:7" ht="15" customHeight="1">
      <c r="A114" s="5" t="str">
        <f>cleaned_data!$A$114</f>
        <v>STR-1028</v>
      </c>
      <c r="B114" s="25" t="str">
        <f>cleaned_data!$B$114</f>
        <v>2025-02-01</v>
      </c>
      <c r="C114" s="5" t="str">
        <f>cleaned_data!$C$114</f>
        <v>East</v>
      </c>
      <c r="D114" s="5" t="str">
        <f>cleaned_data!$D$114</f>
        <v>Mall</v>
      </c>
      <c r="E114" s="26">
        <f>cleaned_data!$M$114</f>
        <v>664162.49</v>
      </c>
      <c r="F114" s="26">
        <f>multiple_regression!$O$18+multiple_regression!$O$19*cleaned_data!$F$114+multiple_regression!$O$20*cleaned_data!$E$114+multiple_regression!$O$21*cleaned_data!$I$114+multiple_regression!$O$22*cleaned_data!$H$114+multiple_regression!$O$23*dummy_variables!$D$114+multiple_regression!$O$24*dummy_variables!$E$114+multiple_regression!$O$25*dummy_variables!$F$114+multiple_regression!$O$26*dummy_variables!$G$114+multiple_regression!$O$27*dummy_variables!$H$114+multiple_regression!$O$28*dummy_variables!$I$114</f>
        <v>651915.28662260517</v>
      </c>
      <c r="G114" s="26">
        <f t="shared" si="1"/>
        <v>12247.203377394821</v>
      </c>
    </row>
    <row r="115" spans="1:7" ht="15" customHeight="1">
      <c r="A115" s="5" t="str">
        <f>cleaned_data!$A$115</f>
        <v>STR-1028</v>
      </c>
      <c r="B115" s="25" t="str">
        <f>cleaned_data!$B$115</f>
        <v>2025-03-01</v>
      </c>
      <c r="C115" s="5" t="str">
        <f>cleaned_data!$C$115</f>
        <v>East</v>
      </c>
      <c r="D115" s="5" t="str">
        <f>cleaned_data!$D$115</f>
        <v>Mall</v>
      </c>
      <c r="E115" s="26">
        <f>cleaned_data!$M$115</f>
        <v>633494.21</v>
      </c>
      <c r="F115" s="26">
        <f>multiple_regression!$O$18+multiple_regression!$O$19*cleaned_data!$F$115+multiple_regression!$O$20*cleaned_data!$E$115+multiple_regression!$O$21*cleaned_data!$I$115+multiple_regression!$O$22*cleaned_data!$H$115+multiple_regression!$O$23*dummy_variables!$D$115+multiple_regression!$O$24*dummy_variables!$E$115+multiple_regression!$O$25*dummy_variables!$F$115+multiple_regression!$O$26*dummy_variables!$G$115+multiple_regression!$O$27*dummy_variables!$H$115+multiple_regression!$O$28*dummy_variables!$I$115</f>
        <v>646148.18384571897</v>
      </c>
      <c r="G115" s="26">
        <f t="shared" si="1"/>
        <v>-12653.973845719011</v>
      </c>
    </row>
    <row r="116" spans="1:7" ht="15" customHeight="1">
      <c r="A116" s="5" t="str">
        <f>cleaned_data!$A$116</f>
        <v>STR-1028</v>
      </c>
      <c r="B116" s="25" t="str">
        <f>cleaned_data!$B$116</f>
        <v>2025-04-01</v>
      </c>
      <c r="C116" s="5" t="str">
        <f>cleaned_data!$C$116</f>
        <v>East</v>
      </c>
      <c r="D116" s="5" t="str">
        <f>cleaned_data!$D$116</f>
        <v>Mall</v>
      </c>
      <c r="E116" s="26">
        <f>cleaned_data!$M$116</f>
        <v>713611.16</v>
      </c>
      <c r="F116" s="26">
        <f>multiple_regression!$O$18+multiple_regression!$O$19*cleaned_data!$F$116+multiple_regression!$O$20*cleaned_data!$E$116+multiple_regression!$O$21*cleaned_data!$I$116+multiple_regression!$O$22*cleaned_data!$H$116+multiple_regression!$O$23*dummy_variables!$D$116+multiple_regression!$O$24*dummy_variables!$E$116+multiple_regression!$O$25*dummy_variables!$F$116+multiple_regression!$O$26*dummy_variables!$G$116+multiple_regression!$O$27*dummy_variables!$H$116+multiple_regression!$O$28*dummy_variables!$I$116</f>
        <v>603971.42004515056</v>
      </c>
      <c r="G116" s="26">
        <f t="shared" si="1"/>
        <v>109639.73995484947</v>
      </c>
    </row>
    <row r="117" spans="1:7" ht="15" customHeight="1">
      <c r="A117" s="5" t="str">
        <f>cleaned_data!$A$117</f>
        <v>STR-1029</v>
      </c>
      <c r="B117" s="25" t="str">
        <f>cleaned_data!$B$117</f>
        <v>2025-01-01</v>
      </c>
      <c r="C117" s="5" t="str">
        <f>cleaned_data!$C$117</f>
        <v>West</v>
      </c>
      <c r="D117" s="5" t="str">
        <f>cleaned_data!$D$117</f>
        <v>Mall</v>
      </c>
      <c r="E117" s="26">
        <f>cleaned_data!$M$117</f>
        <v>778397.97</v>
      </c>
      <c r="F117" s="26">
        <f>multiple_regression!$O$18+multiple_regression!$O$19*cleaned_data!$F$117+multiple_regression!$O$20*cleaned_data!$E$117+multiple_regression!$O$21*cleaned_data!$I$117+multiple_regression!$O$22*cleaned_data!$H$117+multiple_regression!$O$23*dummy_variables!$D$117+multiple_regression!$O$24*dummy_variables!$E$117+multiple_regression!$O$25*dummy_variables!$F$117+multiple_regression!$O$26*dummy_variables!$G$117+multiple_regression!$O$27*dummy_variables!$H$117+multiple_regression!$O$28*dummy_variables!$I$117</f>
        <v>756340.32069489604</v>
      </c>
      <c r="G117" s="26">
        <f t="shared" si="1"/>
        <v>22057.649305103929</v>
      </c>
    </row>
    <row r="118" spans="1:7" ht="15" customHeight="1">
      <c r="A118" s="5" t="str">
        <f>cleaned_data!$A$118</f>
        <v>STR-1029</v>
      </c>
      <c r="B118" s="25" t="str">
        <f>cleaned_data!$B$118</f>
        <v>2025-02-01</v>
      </c>
      <c r="C118" s="5" t="str">
        <f>cleaned_data!$C$118</f>
        <v>West</v>
      </c>
      <c r="D118" s="5" t="str">
        <f>cleaned_data!$D$118</f>
        <v>Mall</v>
      </c>
      <c r="E118" s="26">
        <f>cleaned_data!$M$118</f>
        <v>873380.02</v>
      </c>
      <c r="F118" s="26">
        <f>multiple_regression!$O$18+multiple_regression!$O$19*cleaned_data!$F$118+multiple_regression!$O$20*cleaned_data!$E$118+multiple_regression!$O$21*cleaned_data!$I$118+multiple_regression!$O$22*cleaned_data!$H$118+multiple_regression!$O$23*dummy_variables!$D$118+multiple_regression!$O$24*dummy_variables!$E$118+multiple_regression!$O$25*dummy_variables!$F$118+multiple_regression!$O$26*dummy_variables!$G$118+multiple_regression!$O$27*dummy_variables!$H$118+multiple_regression!$O$28*dummy_variables!$I$118</f>
        <v>847183.2866728662</v>
      </c>
      <c r="G118" s="26">
        <f t="shared" si="1"/>
        <v>26196.733327133814</v>
      </c>
    </row>
    <row r="119" spans="1:7" ht="15" customHeight="1">
      <c r="A119" s="5" t="str">
        <f>cleaned_data!$A$119</f>
        <v>STR-1029</v>
      </c>
      <c r="B119" s="25" t="str">
        <f>cleaned_data!$B$119</f>
        <v>2025-03-01</v>
      </c>
      <c r="C119" s="5" t="str">
        <f>cleaned_data!$C$119</f>
        <v>West</v>
      </c>
      <c r="D119" s="5" t="str">
        <f>cleaned_data!$D$119</f>
        <v>Mall</v>
      </c>
      <c r="E119" s="26">
        <f>cleaned_data!$M$119</f>
        <v>697287.9</v>
      </c>
      <c r="F119" s="26">
        <f>multiple_regression!$O$18+multiple_regression!$O$19*cleaned_data!$F$119+multiple_regression!$O$20*cleaned_data!$E$119+multiple_regression!$O$21*cleaned_data!$I$119+multiple_regression!$O$22*cleaned_data!$H$119+multiple_regression!$O$23*dummy_variables!$D$119+multiple_regression!$O$24*dummy_variables!$E$119+multiple_regression!$O$25*dummy_variables!$F$119+multiple_regression!$O$26*dummy_variables!$G$119+multiple_regression!$O$27*dummy_variables!$H$119+multiple_regression!$O$28*dummy_variables!$I$119</f>
        <v>769986.3983987195</v>
      </c>
      <c r="G119" s="26">
        <f t="shared" si="1"/>
        <v>-72698.498398719472</v>
      </c>
    </row>
    <row r="120" spans="1:7" ht="15" customHeight="1">
      <c r="A120" s="5" t="str">
        <f>cleaned_data!$A$120</f>
        <v>STR-1029</v>
      </c>
      <c r="B120" s="25" t="str">
        <f>cleaned_data!$B$120</f>
        <v>2025-04-01</v>
      </c>
      <c r="C120" s="5" t="str">
        <f>cleaned_data!$C$120</f>
        <v>West</v>
      </c>
      <c r="D120" s="5" t="str">
        <f>cleaned_data!$D$120</f>
        <v>Mall</v>
      </c>
      <c r="E120" s="26">
        <f>cleaned_data!$M$120</f>
        <v>718074.79</v>
      </c>
      <c r="F120" s="26">
        <f>multiple_regression!$O$18+multiple_regression!$O$19*cleaned_data!$F$120+multiple_regression!$O$20*cleaned_data!$E$120+multiple_regression!$O$21*cleaned_data!$I$120+multiple_regression!$O$22*cleaned_data!$H$120+multiple_regression!$O$23*dummy_variables!$D$120+multiple_regression!$O$24*dummy_variables!$E$120+multiple_regression!$O$25*dummy_variables!$F$120+multiple_regression!$O$26*dummy_variables!$G$120+multiple_regression!$O$27*dummy_variables!$H$120+multiple_regression!$O$28*dummy_variables!$I$120</f>
        <v>774055.25949203479</v>
      </c>
      <c r="G120" s="26">
        <f t="shared" si="1"/>
        <v>-55980.469492034754</v>
      </c>
    </row>
    <row r="121" spans="1:7" ht="15" customHeight="1">
      <c r="A121" s="5" t="str">
        <f>cleaned_data!$A$121</f>
        <v>STR-1030</v>
      </c>
      <c r="B121" s="25" t="str">
        <f>cleaned_data!$B$121</f>
        <v>2025-01-01</v>
      </c>
      <c r="C121" s="5" t="str">
        <f>cleaned_data!$C$121</f>
        <v>West</v>
      </c>
      <c r="D121" s="5" t="str">
        <f>cleaned_data!$D$121</f>
        <v>Residential</v>
      </c>
      <c r="E121" s="26">
        <f>cleaned_data!$M$121</f>
        <v>714942.43</v>
      </c>
      <c r="F121" s="26">
        <f>multiple_regression!$O$18+multiple_regression!$O$19*cleaned_data!$F$121+multiple_regression!$O$20*cleaned_data!$E$121+multiple_regression!$O$21*cleaned_data!$I$121+multiple_regression!$O$22*cleaned_data!$H$121+multiple_regression!$O$23*dummy_variables!$D$121+multiple_regression!$O$24*dummy_variables!$E$121+multiple_regression!$O$25*dummy_variables!$F$121+multiple_regression!$O$26*dummy_variables!$G$121+multiple_regression!$O$27*dummy_variables!$H$121+multiple_regression!$O$28*dummy_variables!$I$121</f>
        <v>702812.22844063572</v>
      </c>
      <c r="G121" s="26">
        <f t="shared" si="1"/>
        <v>12130.20155936433</v>
      </c>
    </row>
    <row r="122" spans="1:7" ht="15" customHeight="1">
      <c r="A122" s="5" t="str">
        <f>cleaned_data!$A$122</f>
        <v>STR-1030</v>
      </c>
      <c r="B122" s="25" t="str">
        <f>cleaned_data!$B$122</f>
        <v>2025-02-01</v>
      </c>
      <c r="C122" s="5" t="str">
        <f>cleaned_data!$C$122</f>
        <v>West</v>
      </c>
      <c r="D122" s="5" t="str">
        <f>cleaned_data!$D$122</f>
        <v>Residential</v>
      </c>
      <c r="E122" s="26">
        <f>cleaned_data!$M$122</f>
        <v>820519.04</v>
      </c>
      <c r="F122" s="26">
        <f>multiple_regression!$O$18+multiple_regression!$O$19*cleaned_data!$F$122+multiple_regression!$O$20*cleaned_data!$E$122+multiple_regression!$O$21*cleaned_data!$I$122+multiple_regression!$O$22*cleaned_data!$H$122+multiple_regression!$O$23*dummy_variables!$D$122+multiple_regression!$O$24*dummy_variables!$E$122+multiple_regression!$O$25*dummy_variables!$F$122+multiple_regression!$O$26*dummy_variables!$G$122+multiple_regression!$O$27*dummy_variables!$H$122+multiple_regression!$O$28*dummy_variables!$I$122</f>
        <v>721391.55813230504</v>
      </c>
      <c r="G122" s="26">
        <f t="shared" si="1"/>
        <v>99127.481867694994</v>
      </c>
    </row>
    <row r="123" spans="1:7" ht="15" customHeight="1">
      <c r="A123" s="5" t="str">
        <f>cleaned_data!$A$123</f>
        <v>STR-1030</v>
      </c>
      <c r="B123" s="25" t="str">
        <f>cleaned_data!$B$123</f>
        <v>2025-03-01</v>
      </c>
      <c r="C123" s="5" t="str">
        <f>cleaned_data!$C$123</f>
        <v>West</v>
      </c>
      <c r="D123" s="5" t="str">
        <f>cleaned_data!$D$123</f>
        <v>Residential</v>
      </c>
      <c r="E123" s="26">
        <f>cleaned_data!$M$123</f>
        <v>684217.32</v>
      </c>
      <c r="F123" s="26">
        <f>multiple_regression!$O$18+multiple_regression!$O$19*cleaned_data!$F$123+multiple_regression!$O$20*cleaned_data!$E$123+multiple_regression!$O$21*cleaned_data!$I$123+multiple_regression!$O$22*cleaned_data!$H$123+multiple_regression!$O$23*dummy_variables!$D$123+multiple_regression!$O$24*dummy_variables!$E$123+multiple_regression!$O$25*dummy_variables!$F$123+multiple_regression!$O$26*dummy_variables!$G$123+multiple_regression!$O$27*dummy_variables!$H$123+multiple_regression!$O$28*dummy_variables!$I$123</f>
        <v>741452.82777198718</v>
      </c>
      <c r="G123" s="26">
        <f t="shared" si="1"/>
        <v>-57235.507771987235</v>
      </c>
    </row>
    <row r="124" spans="1:7" ht="15" customHeight="1">
      <c r="A124" s="5" t="str">
        <f>cleaned_data!$A$124</f>
        <v>STR-1030</v>
      </c>
      <c r="B124" s="25" t="str">
        <f>cleaned_data!$B$124</f>
        <v>2025-04-01</v>
      </c>
      <c r="C124" s="5" t="str">
        <f>cleaned_data!$C$124</f>
        <v>West</v>
      </c>
      <c r="D124" s="5" t="str">
        <f>cleaned_data!$D$124</f>
        <v>Residential</v>
      </c>
      <c r="E124" s="26">
        <f>cleaned_data!$M$124</f>
        <v>735480.19</v>
      </c>
      <c r="F124" s="26">
        <f>multiple_regression!$O$18+multiple_regression!$O$19*cleaned_data!$F$124+multiple_regression!$O$20*cleaned_data!$E$124+multiple_regression!$O$21*cleaned_data!$I$124+multiple_regression!$O$22*cleaned_data!$H$124+multiple_regression!$O$23*dummy_variables!$D$124+multiple_regression!$O$24*dummy_variables!$E$124+multiple_regression!$O$25*dummy_variables!$F$124+multiple_regression!$O$26*dummy_variables!$G$124+multiple_regression!$O$27*dummy_variables!$H$124+multiple_regression!$O$28*dummy_variables!$I$124</f>
        <v>735607.66302732029</v>
      </c>
      <c r="G124" s="26">
        <f t="shared" si="1"/>
        <v>-127.47302732034586</v>
      </c>
    </row>
    <row r="125" spans="1:7" ht="15" customHeight="1">
      <c r="A125" s="5" t="str">
        <f>cleaned_data!$A$125</f>
        <v>STR-1031</v>
      </c>
      <c r="B125" s="25" t="str">
        <f>cleaned_data!$B$125</f>
        <v>2025-01-01</v>
      </c>
      <c r="C125" s="5" t="str">
        <f>cleaned_data!$C$125</f>
        <v>North</v>
      </c>
      <c r="D125" s="5" t="str">
        <f>cleaned_data!$D$125</f>
        <v>High Street</v>
      </c>
      <c r="E125" s="26">
        <f>cleaned_data!$M$125</f>
        <v>509484.81</v>
      </c>
      <c r="F125" s="26">
        <f>multiple_regression!$O$18+multiple_regression!$O$19*cleaned_data!$F$125+multiple_regression!$O$20*cleaned_data!$E$125+multiple_regression!$O$21*cleaned_data!$I$125+multiple_regression!$O$22*cleaned_data!$H$125+multiple_regression!$O$23*dummy_variables!$D$125+multiple_regression!$O$24*dummy_variables!$E$125+multiple_regression!$O$25*dummy_variables!$F$125+multiple_regression!$O$26*dummy_variables!$G$125+multiple_regression!$O$27*dummy_variables!$H$125+multiple_regression!$O$28*dummy_variables!$I$125</f>
        <v>559588.03169870854</v>
      </c>
      <c r="G125" s="26">
        <f t="shared" si="1"/>
        <v>-50103.221698708541</v>
      </c>
    </row>
    <row r="126" spans="1:7" ht="15" customHeight="1">
      <c r="A126" s="5" t="str">
        <f>cleaned_data!$A$126</f>
        <v>STR-1031</v>
      </c>
      <c r="B126" s="25" t="str">
        <f>cleaned_data!$B$126</f>
        <v>2025-02-01</v>
      </c>
      <c r="C126" s="5" t="str">
        <f>cleaned_data!$C$126</f>
        <v>North</v>
      </c>
      <c r="D126" s="5" t="str">
        <f>cleaned_data!$D$126</f>
        <v>High Street</v>
      </c>
      <c r="E126" s="26">
        <f>cleaned_data!$M$126</f>
        <v>654317.09</v>
      </c>
      <c r="F126" s="26">
        <f>multiple_regression!$O$18+multiple_regression!$O$19*cleaned_data!$F$126+multiple_regression!$O$20*cleaned_data!$E$126+multiple_regression!$O$21*cleaned_data!$I$126+multiple_regression!$O$22*cleaned_data!$H$126+multiple_regression!$O$23*dummy_variables!$D$126+multiple_regression!$O$24*dummy_variables!$E$126+multiple_regression!$O$25*dummy_variables!$F$126+multiple_regression!$O$26*dummy_variables!$G$126+multiple_regression!$O$27*dummy_variables!$H$126+multiple_regression!$O$28*dummy_variables!$I$126</f>
        <v>622960.94280305912</v>
      </c>
      <c r="G126" s="26">
        <f t="shared" si="1"/>
        <v>31356.147196940845</v>
      </c>
    </row>
    <row r="127" spans="1:7" ht="15" customHeight="1">
      <c r="A127" s="5" t="str">
        <f>cleaned_data!$A$127</f>
        <v>STR-1031</v>
      </c>
      <c r="B127" s="25" t="str">
        <f>cleaned_data!$B$127</f>
        <v>2025-03-01</v>
      </c>
      <c r="C127" s="5" t="str">
        <f>cleaned_data!$C$127</f>
        <v>North</v>
      </c>
      <c r="D127" s="5" t="str">
        <f>cleaned_data!$D$127</f>
        <v>High Street</v>
      </c>
      <c r="E127" s="26">
        <f>cleaned_data!$M$127</f>
        <v>557487.26</v>
      </c>
      <c r="F127" s="26">
        <f>multiple_regression!$O$18+multiple_regression!$O$19*cleaned_data!$F$127+multiple_regression!$O$20*cleaned_data!$E$127+multiple_regression!$O$21*cleaned_data!$I$127+multiple_regression!$O$22*cleaned_data!$H$127+multiple_regression!$O$23*dummy_variables!$D$127+multiple_regression!$O$24*dummy_variables!$E$127+multiple_regression!$O$25*dummy_variables!$F$127+multiple_regression!$O$26*dummy_variables!$G$127+multiple_regression!$O$27*dummy_variables!$H$127+multiple_regression!$O$28*dummy_variables!$I$127</f>
        <v>594991.8773894246</v>
      </c>
      <c r="G127" s="26">
        <f t="shared" si="1"/>
        <v>-37504.617389424588</v>
      </c>
    </row>
    <row r="128" spans="1:7" ht="15" customHeight="1">
      <c r="A128" s="5" t="str">
        <f>cleaned_data!$A$128</f>
        <v>STR-1031</v>
      </c>
      <c r="B128" s="25" t="str">
        <f>cleaned_data!$B$128</f>
        <v>2025-04-01</v>
      </c>
      <c r="C128" s="5" t="str">
        <f>cleaned_data!$C$128</f>
        <v>North</v>
      </c>
      <c r="D128" s="5" t="str">
        <f>cleaned_data!$D$128</f>
        <v>High Street</v>
      </c>
      <c r="E128" s="26">
        <f>cleaned_data!$M$128</f>
        <v>441275.42</v>
      </c>
      <c r="F128" s="26">
        <f>multiple_regression!$O$18+multiple_regression!$O$19*cleaned_data!$F$128+multiple_regression!$O$20*cleaned_data!$E$128+multiple_regression!$O$21*cleaned_data!$I$128+multiple_regression!$O$22*cleaned_data!$H$128+multiple_regression!$O$23*dummy_variables!$D$128+multiple_regression!$O$24*dummy_variables!$E$128+multiple_regression!$O$25*dummy_variables!$F$128+multiple_regression!$O$26*dummy_variables!$G$128+multiple_regression!$O$27*dummy_variables!$H$128+multiple_regression!$O$28*dummy_variables!$I$128</f>
        <v>510391.53175168205</v>
      </c>
      <c r="G128" s="26">
        <f t="shared" si="1"/>
        <v>-69116.111751682067</v>
      </c>
    </row>
    <row r="129" spans="1:7" ht="15" customHeight="1">
      <c r="A129" s="5" t="str">
        <f>cleaned_data!$A$129</f>
        <v>STR-1032</v>
      </c>
      <c r="B129" s="25" t="str">
        <f>cleaned_data!$B$129</f>
        <v>2025-01-01</v>
      </c>
      <c r="C129" s="5" t="str">
        <f>cleaned_data!$C$129</f>
        <v>South</v>
      </c>
      <c r="D129" s="5" t="str">
        <f>cleaned_data!$D$129</f>
        <v>High Street</v>
      </c>
      <c r="E129" s="26">
        <f>cleaned_data!$M$129</f>
        <v>914544.17</v>
      </c>
      <c r="F129" s="26">
        <f>multiple_regression!$O$18+multiple_regression!$O$19*cleaned_data!$F$129+multiple_regression!$O$20*cleaned_data!$E$129+multiple_regression!$O$21*cleaned_data!$I$129+multiple_regression!$O$22*cleaned_data!$H$129+multiple_regression!$O$23*dummy_variables!$D$129+multiple_regression!$O$24*dummy_variables!$E$129+multiple_regression!$O$25*dummy_variables!$F$129+multiple_regression!$O$26*dummy_variables!$G$129+multiple_regression!$O$27*dummy_variables!$H$129+multiple_regression!$O$28*dummy_variables!$I$129</f>
        <v>831027.94805330783</v>
      </c>
      <c r="G129" s="26">
        <f t="shared" si="1"/>
        <v>83516.221946692211</v>
      </c>
    </row>
    <row r="130" spans="1:7" ht="15" customHeight="1">
      <c r="A130" s="5" t="str">
        <f>cleaned_data!$A$130</f>
        <v>STR-1032</v>
      </c>
      <c r="B130" s="25" t="str">
        <f>cleaned_data!$B$130</f>
        <v>2025-02-01</v>
      </c>
      <c r="C130" s="5" t="str">
        <f>cleaned_data!$C$130</f>
        <v>South</v>
      </c>
      <c r="D130" s="5" t="str">
        <f>cleaned_data!$D$130</f>
        <v>High Street</v>
      </c>
      <c r="E130" s="26">
        <f>cleaned_data!$M$130</f>
        <v>842439.67</v>
      </c>
      <c r="F130" s="26">
        <f>multiple_regression!$O$18+multiple_regression!$O$19*cleaned_data!$F$130+multiple_regression!$O$20*cleaned_data!$E$130+multiple_regression!$O$21*cleaned_data!$I$130+multiple_regression!$O$22*cleaned_data!$H$130+multiple_regression!$O$23*dummy_variables!$D$130+multiple_regression!$O$24*dummy_variables!$E$130+multiple_regression!$O$25*dummy_variables!$F$130+multiple_regression!$O$26*dummy_variables!$G$130+multiple_regression!$O$27*dummy_variables!$H$130+multiple_regression!$O$28*dummy_variables!$I$130</f>
        <v>867136.66390905599</v>
      </c>
      <c r="G130" s="26">
        <f t="shared" si="1"/>
        <v>-24696.993909055949</v>
      </c>
    </row>
    <row r="131" spans="1:7" ht="15" customHeight="1">
      <c r="A131" s="5" t="str">
        <f>cleaned_data!$A$131</f>
        <v>STR-1032</v>
      </c>
      <c r="B131" s="25" t="str">
        <f>cleaned_data!$B$131</f>
        <v>2025-03-01</v>
      </c>
      <c r="C131" s="5" t="str">
        <f>cleaned_data!$C$131</f>
        <v>South</v>
      </c>
      <c r="D131" s="5" t="str">
        <f>cleaned_data!$D$131</f>
        <v>High Street</v>
      </c>
      <c r="E131" s="26">
        <f>cleaned_data!$M$131</f>
        <v>842157.92</v>
      </c>
      <c r="F131" s="26">
        <f>multiple_regression!$O$18+multiple_regression!$O$19*cleaned_data!$F$131+multiple_regression!$O$20*cleaned_data!$E$131+multiple_regression!$O$21*cleaned_data!$I$131+multiple_regression!$O$22*cleaned_data!$H$131+multiple_regression!$O$23*dummy_variables!$D$131+multiple_regression!$O$24*dummy_variables!$E$131+multiple_regression!$O$25*dummy_variables!$F$131+multiple_regression!$O$26*dummy_variables!$G$131+multiple_regression!$O$27*dummy_variables!$H$131+multiple_regression!$O$28*dummy_variables!$I$131</f>
        <v>787782.85833987826</v>
      </c>
      <c r="G131" s="26">
        <f t="shared" si="1"/>
        <v>54375.061660121777</v>
      </c>
    </row>
    <row r="132" spans="1:7" ht="15" customHeight="1">
      <c r="A132" s="5" t="str">
        <f>cleaned_data!$A$132</f>
        <v>STR-1032</v>
      </c>
      <c r="B132" s="25" t="str">
        <f>cleaned_data!$B$132</f>
        <v>2025-04-01</v>
      </c>
      <c r="C132" s="5" t="str">
        <f>cleaned_data!$C$132</f>
        <v>South</v>
      </c>
      <c r="D132" s="5" t="str">
        <f>cleaned_data!$D$132</f>
        <v>High Street</v>
      </c>
      <c r="E132" s="26">
        <f>cleaned_data!$M$132</f>
        <v>697155.3</v>
      </c>
      <c r="F132" s="26">
        <f>multiple_regression!$O$18+multiple_regression!$O$19*cleaned_data!$F$132+multiple_regression!$O$20*cleaned_data!$E$132+multiple_regression!$O$21*cleaned_data!$I$132+multiple_regression!$O$22*cleaned_data!$H$132+multiple_regression!$O$23*dummy_variables!$D$132+multiple_regression!$O$24*dummy_variables!$E$132+multiple_regression!$O$25*dummy_variables!$F$132+multiple_regression!$O$26*dummy_variables!$G$132+multiple_regression!$O$27*dummy_variables!$H$132+multiple_regression!$O$28*dummy_variables!$I$132</f>
        <v>703930.04154967947</v>
      </c>
      <c r="G132" s="26">
        <f t="shared" si="1"/>
        <v>-6774.7415496794274</v>
      </c>
    </row>
    <row r="133" spans="1:7" ht="15" customHeight="1">
      <c r="A133" s="5" t="str">
        <f>cleaned_data!$A$133</f>
        <v>STR-1033</v>
      </c>
      <c r="B133" s="25" t="str">
        <f>cleaned_data!$B$133</f>
        <v>2025-01-01</v>
      </c>
      <c r="C133" s="5" t="str">
        <f>cleaned_data!$C$133</f>
        <v>East</v>
      </c>
      <c r="D133" s="5" t="str">
        <f>cleaned_data!$D$133</f>
        <v>High Street</v>
      </c>
      <c r="E133" s="26">
        <f>cleaned_data!$M$133</f>
        <v>849018.3</v>
      </c>
      <c r="F133" s="26">
        <f>multiple_regression!$O$18+multiple_regression!$O$19*cleaned_data!$F$133+multiple_regression!$O$20*cleaned_data!$E$133+multiple_regression!$O$21*cleaned_data!$I$133+multiple_regression!$O$22*cleaned_data!$H$133+multiple_regression!$O$23*dummy_variables!$D$133+multiple_regression!$O$24*dummy_variables!$E$133+multiple_regression!$O$25*dummy_variables!$F$133+multiple_regression!$O$26*dummy_variables!$G$133+multiple_regression!$O$27*dummy_variables!$H$133+multiple_regression!$O$28*dummy_variables!$I$133</f>
        <v>828235.67067090562</v>
      </c>
      <c r="G133" s="26">
        <f t="shared" ref="G133:G196" si="2">E133-F133</f>
        <v>20782.62932909443</v>
      </c>
    </row>
    <row r="134" spans="1:7" ht="15" customHeight="1">
      <c r="A134" s="5" t="str">
        <f>cleaned_data!$A$134</f>
        <v>STR-1033</v>
      </c>
      <c r="B134" s="25" t="str">
        <f>cleaned_data!$B$134</f>
        <v>2025-02-01</v>
      </c>
      <c r="C134" s="5" t="str">
        <f>cleaned_data!$C$134</f>
        <v>East</v>
      </c>
      <c r="D134" s="5" t="str">
        <f>cleaned_data!$D$134</f>
        <v>High Street</v>
      </c>
      <c r="E134" s="26">
        <f>cleaned_data!$M$134</f>
        <v>801830.35</v>
      </c>
      <c r="F134" s="26">
        <f>multiple_regression!$O$18+multiple_regression!$O$19*cleaned_data!$F$134+multiple_regression!$O$20*cleaned_data!$E$134+multiple_regression!$O$21*cleaned_data!$I$134+multiple_regression!$O$22*cleaned_data!$H$134+multiple_regression!$O$23*dummy_variables!$D$134+multiple_regression!$O$24*dummy_variables!$E$134+multiple_regression!$O$25*dummy_variables!$F$134+multiple_regression!$O$26*dummy_variables!$G$134+multiple_regression!$O$27*dummy_variables!$H$134+multiple_regression!$O$28*dummy_variables!$I$134</f>
        <v>803232.28609351697</v>
      </c>
      <c r="G134" s="26">
        <f t="shared" si="2"/>
        <v>-1401.9360935169971</v>
      </c>
    </row>
    <row r="135" spans="1:7" ht="15" customHeight="1">
      <c r="A135" s="5" t="str">
        <f>cleaned_data!$A$135</f>
        <v>STR-1033</v>
      </c>
      <c r="B135" s="25" t="str">
        <f>cleaned_data!$B$135</f>
        <v>2025-03-01</v>
      </c>
      <c r="C135" s="5" t="str">
        <f>cleaned_data!$C$135</f>
        <v>East</v>
      </c>
      <c r="D135" s="5" t="str">
        <f>cleaned_data!$D$135</f>
        <v>High Street</v>
      </c>
      <c r="E135" s="26">
        <f>cleaned_data!$M$135</f>
        <v>725235.28</v>
      </c>
      <c r="F135" s="26">
        <f>multiple_regression!$O$18+multiple_regression!$O$19*cleaned_data!$F$135+multiple_regression!$O$20*cleaned_data!$E$135+multiple_regression!$O$21*cleaned_data!$I$135+multiple_regression!$O$22*cleaned_data!$H$135+multiple_regression!$O$23*dummy_variables!$D$135+multiple_regression!$O$24*dummy_variables!$E$135+multiple_regression!$O$25*dummy_variables!$F$135+multiple_regression!$O$26*dummy_variables!$G$135+multiple_regression!$O$27*dummy_variables!$H$135+multiple_regression!$O$28*dummy_variables!$I$135</f>
        <v>775421.20564025396</v>
      </c>
      <c r="G135" s="26">
        <f t="shared" si="2"/>
        <v>-50185.925640253932</v>
      </c>
    </row>
    <row r="136" spans="1:7" ht="15" customHeight="1">
      <c r="A136" s="5" t="str">
        <f>cleaned_data!$A$136</f>
        <v>STR-1033</v>
      </c>
      <c r="B136" s="25" t="str">
        <f>cleaned_data!$B$136</f>
        <v>2025-04-01</v>
      </c>
      <c r="C136" s="5" t="str">
        <f>cleaned_data!$C$136</f>
        <v>East</v>
      </c>
      <c r="D136" s="5" t="str">
        <f>cleaned_data!$D$136</f>
        <v>High Street</v>
      </c>
      <c r="E136" s="26">
        <f>cleaned_data!$M$136</f>
        <v>811452.72</v>
      </c>
      <c r="F136" s="26">
        <f>multiple_regression!$O$18+multiple_regression!$O$19*cleaned_data!$F$136+multiple_regression!$O$20*cleaned_data!$E$136+multiple_regression!$O$21*cleaned_data!$I$136+multiple_regression!$O$22*cleaned_data!$H$136+multiple_regression!$O$23*dummy_variables!$D$136+multiple_regression!$O$24*dummy_variables!$E$136+multiple_regression!$O$25*dummy_variables!$F$136+multiple_regression!$O$26*dummy_variables!$G$136+multiple_regression!$O$27*dummy_variables!$H$136+multiple_regression!$O$28*dummy_variables!$I$136</f>
        <v>819269.34478431451</v>
      </c>
      <c r="G136" s="26">
        <f t="shared" si="2"/>
        <v>-7816.6247843145393</v>
      </c>
    </row>
    <row r="137" spans="1:7" ht="15" customHeight="1">
      <c r="A137" s="5" t="str">
        <f>cleaned_data!$A$137</f>
        <v>STR-1034</v>
      </c>
      <c r="B137" s="25" t="str">
        <f>cleaned_data!$B$137</f>
        <v>2025-01-01</v>
      </c>
      <c r="C137" s="5" t="str">
        <f>cleaned_data!$C$137</f>
        <v>North</v>
      </c>
      <c r="D137" s="5" t="str">
        <f>cleaned_data!$D$137</f>
        <v>High Street</v>
      </c>
      <c r="E137" s="26">
        <f>cleaned_data!$M$137</f>
        <v>527300.13</v>
      </c>
      <c r="F137" s="26">
        <f>multiple_regression!$O$18+multiple_regression!$O$19*cleaned_data!$F$137+multiple_regression!$O$20*cleaned_data!$E$137+multiple_regression!$O$21*cleaned_data!$I$137+multiple_regression!$O$22*cleaned_data!$H$137+multiple_regression!$O$23*dummy_variables!$D$137+multiple_regression!$O$24*dummy_variables!$E$137+multiple_regression!$O$25*dummy_variables!$F$137+multiple_regression!$O$26*dummy_variables!$G$137+multiple_regression!$O$27*dummy_variables!$H$137+multiple_regression!$O$28*dummy_variables!$I$137</f>
        <v>570751.10245061119</v>
      </c>
      <c r="G137" s="26">
        <f t="shared" si="2"/>
        <v>-43450.972450611182</v>
      </c>
    </row>
    <row r="138" spans="1:7" ht="15" customHeight="1">
      <c r="A138" s="5" t="str">
        <f>cleaned_data!$A$138</f>
        <v>STR-1034</v>
      </c>
      <c r="B138" s="25" t="str">
        <f>cleaned_data!$B$138</f>
        <v>2025-02-01</v>
      </c>
      <c r="C138" s="5" t="str">
        <f>cleaned_data!$C$138</f>
        <v>North</v>
      </c>
      <c r="D138" s="5" t="str">
        <f>cleaned_data!$D$138</f>
        <v>High Street</v>
      </c>
      <c r="E138" s="26">
        <f>cleaned_data!$M$138</f>
        <v>400831.65</v>
      </c>
      <c r="F138" s="26">
        <f>multiple_regression!$O$18+multiple_regression!$O$19*cleaned_data!$F$138+multiple_regression!$O$20*cleaned_data!$E$138+multiple_regression!$O$21*cleaned_data!$I$138+multiple_regression!$O$22*cleaned_data!$H$138+multiple_regression!$O$23*dummy_variables!$D$138+multiple_regression!$O$24*dummy_variables!$E$138+multiple_regression!$O$25*dummy_variables!$F$138+multiple_regression!$O$26*dummy_variables!$G$138+multiple_regression!$O$27*dummy_variables!$H$138+multiple_regression!$O$28*dummy_variables!$I$138</f>
        <v>455533.08114139142</v>
      </c>
      <c r="G138" s="26">
        <f t="shared" si="2"/>
        <v>-54701.431141391397</v>
      </c>
    </row>
    <row r="139" spans="1:7" ht="15" customHeight="1">
      <c r="A139" s="5" t="str">
        <f>cleaned_data!$A$139</f>
        <v>STR-1034</v>
      </c>
      <c r="B139" s="25" t="str">
        <f>cleaned_data!$B$139</f>
        <v>2025-03-01</v>
      </c>
      <c r="C139" s="5" t="str">
        <f>cleaned_data!$C$139</f>
        <v>North</v>
      </c>
      <c r="D139" s="5" t="str">
        <f>cleaned_data!$D$139</f>
        <v>High Street</v>
      </c>
      <c r="E139" s="26">
        <f>cleaned_data!$M$139</f>
        <v>593247.25</v>
      </c>
      <c r="F139" s="26">
        <f>multiple_regression!$O$18+multiple_regression!$O$19*cleaned_data!$F$139+multiple_regression!$O$20*cleaned_data!$E$139+multiple_regression!$O$21*cleaned_data!$I$139+multiple_regression!$O$22*cleaned_data!$H$139+multiple_regression!$O$23*dummy_variables!$D$139+multiple_regression!$O$24*dummy_variables!$E$139+multiple_regression!$O$25*dummy_variables!$F$139+multiple_regression!$O$26*dummy_variables!$G$139+multiple_regression!$O$27*dummy_variables!$H$139+multiple_regression!$O$28*dummy_variables!$I$139</f>
        <v>594920.05945278239</v>
      </c>
      <c r="G139" s="26">
        <f t="shared" si="2"/>
        <v>-1672.8094527823851</v>
      </c>
    </row>
    <row r="140" spans="1:7" ht="15" customHeight="1">
      <c r="A140" s="5" t="str">
        <f>cleaned_data!$A$140</f>
        <v>STR-1034</v>
      </c>
      <c r="B140" s="25" t="str">
        <f>cleaned_data!$B$140</f>
        <v>2025-04-01</v>
      </c>
      <c r="C140" s="5" t="str">
        <f>cleaned_data!$C$140</f>
        <v>North</v>
      </c>
      <c r="D140" s="5" t="str">
        <f>cleaned_data!$D$140</f>
        <v>High Street</v>
      </c>
      <c r="E140" s="26">
        <f>cleaned_data!$M$140</f>
        <v>529075.94999999995</v>
      </c>
      <c r="F140" s="26">
        <f>multiple_regression!$O$18+multiple_regression!$O$19*cleaned_data!$F$140+multiple_regression!$O$20*cleaned_data!$E$140+multiple_regression!$O$21*cleaned_data!$I$140+multiple_regression!$O$22*cleaned_data!$H$140+multiple_regression!$O$23*dummy_variables!$D$140+multiple_regression!$O$24*dummy_variables!$E$140+multiple_regression!$O$25*dummy_variables!$F$140+multiple_regression!$O$26*dummy_variables!$G$140+multiple_regression!$O$27*dummy_variables!$H$140+multiple_regression!$O$28*dummy_variables!$I$140</f>
        <v>542637.71711978689</v>
      </c>
      <c r="G140" s="26">
        <f t="shared" si="2"/>
        <v>-13561.767119786935</v>
      </c>
    </row>
    <row r="141" spans="1:7" ht="15" customHeight="1">
      <c r="A141" s="5" t="str">
        <f>cleaned_data!$A$141</f>
        <v>STR-1035</v>
      </c>
      <c r="B141" s="25" t="str">
        <f>cleaned_data!$B$141</f>
        <v>2025-01-01</v>
      </c>
      <c r="C141" s="5" t="str">
        <f>cleaned_data!$C$141</f>
        <v>South</v>
      </c>
      <c r="D141" s="5" t="str">
        <f>cleaned_data!$D$141</f>
        <v>Residential</v>
      </c>
      <c r="E141" s="26">
        <f>cleaned_data!$M$141</f>
        <v>633638.03</v>
      </c>
      <c r="F141" s="26">
        <f>multiple_regression!$O$18+multiple_regression!$O$19*cleaned_data!$F$141+multiple_regression!$O$20*cleaned_data!$E$141+multiple_regression!$O$21*cleaned_data!$I$141+multiple_regression!$O$22*cleaned_data!$H$141+multiple_regression!$O$23*dummy_variables!$D$141+multiple_regression!$O$24*dummy_variables!$E$141+multiple_regression!$O$25*dummy_variables!$F$141+multiple_regression!$O$26*dummy_variables!$G$141+multiple_regression!$O$27*dummy_variables!$H$141+multiple_regression!$O$28*dummy_variables!$I$141</f>
        <v>708813.8451225484</v>
      </c>
      <c r="G141" s="26">
        <f t="shared" si="2"/>
        <v>-75175.815122548374</v>
      </c>
    </row>
    <row r="142" spans="1:7" ht="15" customHeight="1">
      <c r="A142" s="5" t="str">
        <f>cleaned_data!$A$142</f>
        <v>STR-1035</v>
      </c>
      <c r="B142" s="25" t="str">
        <f>cleaned_data!$B$142</f>
        <v>2025-02-01</v>
      </c>
      <c r="C142" s="5" t="str">
        <f>cleaned_data!$C$142</f>
        <v>South</v>
      </c>
      <c r="D142" s="5" t="str">
        <f>cleaned_data!$D$142</f>
        <v>Residential</v>
      </c>
      <c r="E142" s="26">
        <f>cleaned_data!$M$142</f>
        <v>743348.84</v>
      </c>
      <c r="F142" s="26">
        <f>multiple_regression!$O$18+multiple_regression!$O$19*cleaned_data!$F$142+multiple_regression!$O$20*cleaned_data!$E$142+multiple_regression!$O$21*cleaned_data!$I$142+multiple_regression!$O$22*cleaned_data!$H$142+multiple_regression!$O$23*dummy_variables!$D$142+multiple_regression!$O$24*dummy_variables!$E$142+multiple_regression!$O$25*dummy_variables!$F$142+multiple_regression!$O$26*dummy_variables!$G$142+multiple_regression!$O$27*dummy_variables!$H$142+multiple_regression!$O$28*dummy_variables!$I$142</f>
        <v>706573.85522917786</v>
      </c>
      <c r="G142" s="26">
        <f t="shared" si="2"/>
        <v>36774.984770822106</v>
      </c>
    </row>
    <row r="143" spans="1:7" ht="15" customHeight="1">
      <c r="A143" s="5" t="str">
        <f>cleaned_data!$A$143</f>
        <v>STR-1035</v>
      </c>
      <c r="B143" s="25" t="str">
        <f>cleaned_data!$B$143</f>
        <v>2025-03-01</v>
      </c>
      <c r="C143" s="5" t="str">
        <f>cleaned_data!$C$143</f>
        <v>South</v>
      </c>
      <c r="D143" s="5" t="str">
        <f>cleaned_data!$D$143</f>
        <v>Residential</v>
      </c>
      <c r="E143" s="26">
        <f>cleaned_data!$M$143</f>
        <v>758827.64</v>
      </c>
      <c r="F143" s="26">
        <f>multiple_regression!$O$18+multiple_regression!$O$19*cleaned_data!$F$143+multiple_regression!$O$20*cleaned_data!$E$143+multiple_regression!$O$21*cleaned_data!$I$143+multiple_regression!$O$22*cleaned_data!$H$143+multiple_regression!$O$23*dummy_variables!$D$143+multiple_regression!$O$24*dummy_variables!$E$143+multiple_regression!$O$25*dummy_variables!$F$143+multiple_regression!$O$26*dummy_variables!$G$143+multiple_regression!$O$27*dummy_variables!$H$143+multiple_regression!$O$28*dummy_variables!$I$143</f>
        <v>699017.55442357413</v>
      </c>
      <c r="G143" s="26">
        <f t="shared" si="2"/>
        <v>59810.085576425889</v>
      </c>
    </row>
    <row r="144" spans="1:7" ht="15" customHeight="1">
      <c r="A144" s="5" t="str">
        <f>cleaned_data!$A$144</f>
        <v>STR-1035</v>
      </c>
      <c r="B144" s="25" t="str">
        <f>cleaned_data!$B$144</f>
        <v>2025-04-01</v>
      </c>
      <c r="C144" s="5" t="str">
        <f>cleaned_data!$C$144</f>
        <v>South</v>
      </c>
      <c r="D144" s="5" t="str">
        <f>cleaned_data!$D$144</f>
        <v>Residential</v>
      </c>
      <c r="E144" s="26">
        <f>cleaned_data!$M$144</f>
        <v>646559.71</v>
      </c>
      <c r="F144" s="26">
        <f>multiple_regression!$O$18+multiple_regression!$O$19*cleaned_data!$F$144+multiple_regression!$O$20*cleaned_data!$E$144+multiple_regression!$O$21*cleaned_data!$I$144+multiple_regression!$O$22*cleaned_data!$H$144+multiple_regression!$O$23*dummy_variables!$D$144+multiple_regression!$O$24*dummy_variables!$E$144+multiple_regression!$O$25*dummy_variables!$F$144+multiple_regression!$O$26*dummy_variables!$G$144+multiple_regression!$O$27*dummy_variables!$H$144+multiple_regression!$O$28*dummy_variables!$I$144</f>
        <v>620561.35348369845</v>
      </c>
      <c r="G144" s="26">
        <f t="shared" si="2"/>
        <v>25998.356516301516</v>
      </c>
    </row>
    <row r="145" spans="1:7" ht="15" customHeight="1">
      <c r="A145" s="5" t="str">
        <f>cleaned_data!$A$145</f>
        <v>STR-1036</v>
      </c>
      <c r="B145" s="25" t="str">
        <f>cleaned_data!$B$145</f>
        <v>2025-01-01</v>
      </c>
      <c r="C145" s="5" t="str">
        <f>cleaned_data!$C$145</f>
        <v>West</v>
      </c>
      <c r="D145" s="5" t="str">
        <f>cleaned_data!$D$145</f>
        <v>High Street</v>
      </c>
      <c r="E145" s="26">
        <f>cleaned_data!$M$145</f>
        <v>715890.53</v>
      </c>
      <c r="F145" s="26">
        <f>multiple_regression!$O$18+multiple_regression!$O$19*cleaned_data!$F$145+multiple_regression!$O$20*cleaned_data!$E$145+multiple_regression!$O$21*cleaned_data!$I$145+multiple_regression!$O$22*cleaned_data!$H$145+multiple_regression!$O$23*dummy_variables!$D$145+multiple_regression!$O$24*dummy_variables!$E$145+multiple_regression!$O$25*dummy_variables!$F$145+multiple_regression!$O$26*dummy_variables!$G$145+multiple_regression!$O$27*dummy_variables!$H$145+multiple_regression!$O$28*dummy_variables!$I$145</f>
        <v>674137.91585241118</v>
      </c>
      <c r="G145" s="26">
        <f t="shared" si="2"/>
        <v>41752.614147588843</v>
      </c>
    </row>
    <row r="146" spans="1:7" ht="15" customHeight="1">
      <c r="A146" s="5" t="str">
        <f>cleaned_data!$A$146</f>
        <v>STR-1036</v>
      </c>
      <c r="B146" s="25" t="str">
        <f>cleaned_data!$B$146</f>
        <v>2025-02-01</v>
      </c>
      <c r="C146" s="5" t="str">
        <f>cleaned_data!$C$146</f>
        <v>West</v>
      </c>
      <c r="D146" s="5" t="str">
        <f>cleaned_data!$D$146</f>
        <v>High Street</v>
      </c>
      <c r="E146" s="26">
        <f>cleaned_data!$M$146</f>
        <v>715097.57</v>
      </c>
      <c r="F146" s="26">
        <f>multiple_regression!$O$18+multiple_regression!$O$19*cleaned_data!$F$146+multiple_regression!$O$20*cleaned_data!$E$146+multiple_regression!$O$21*cleaned_data!$I$146+multiple_regression!$O$22*cleaned_data!$H$146+multiple_regression!$O$23*dummy_variables!$D$146+multiple_regression!$O$24*dummy_variables!$E$146+multiple_regression!$O$25*dummy_variables!$F$146+multiple_regression!$O$26*dummy_variables!$G$146+multiple_regression!$O$27*dummy_variables!$H$146+multiple_regression!$O$28*dummy_variables!$I$146</f>
        <v>694414.46165511617</v>
      </c>
      <c r="G146" s="26">
        <f t="shared" si="2"/>
        <v>20683.108344883774</v>
      </c>
    </row>
    <row r="147" spans="1:7" ht="15" customHeight="1">
      <c r="A147" s="5" t="str">
        <f>cleaned_data!$A$147</f>
        <v>STR-1036</v>
      </c>
      <c r="B147" s="25" t="str">
        <f>cleaned_data!$B$147</f>
        <v>2025-03-01</v>
      </c>
      <c r="C147" s="5" t="str">
        <f>cleaned_data!$C$147</f>
        <v>West</v>
      </c>
      <c r="D147" s="5" t="str">
        <f>cleaned_data!$D$147</f>
        <v>High Street</v>
      </c>
      <c r="E147" s="26">
        <f>cleaned_data!$M$147</f>
        <v>682639.28</v>
      </c>
      <c r="F147" s="26">
        <f>multiple_regression!$O$18+multiple_regression!$O$19*cleaned_data!$F$147+multiple_regression!$O$20*cleaned_data!$E$147+multiple_regression!$O$21*cleaned_data!$I$147+multiple_regression!$O$22*cleaned_data!$H$147+multiple_regression!$O$23*dummy_variables!$D$147+multiple_regression!$O$24*dummy_variables!$E$147+multiple_regression!$O$25*dummy_variables!$F$147+multiple_regression!$O$26*dummy_variables!$G$147+multiple_regression!$O$27*dummy_variables!$H$147+multiple_regression!$O$28*dummy_variables!$I$147</f>
        <v>653174.78410855553</v>
      </c>
      <c r="G147" s="26">
        <f t="shared" si="2"/>
        <v>29464.495891444501</v>
      </c>
    </row>
    <row r="148" spans="1:7" ht="15" customHeight="1">
      <c r="A148" s="5" t="str">
        <f>cleaned_data!$A$148</f>
        <v>STR-1036</v>
      </c>
      <c r="B148" s="25" t="str">
        <f>cleaned_data!$B$148</f>
        <v>2025-04-01</v>
      </c>
      <c r="C148" s="5" t="str">
        <f>cleaned_data!$C$148</f>
        <v>West</v>
      </c>
      <c r="D148" s="5" t="str">
        <f>cleaned_data!$D$148</f>
        <v>High Street</v>
      </c>
      <c r="E148" s="26">
        <f>cleaned_data!$M$148</f>
        <v>695098.51</v>
      </c>
      <c r="F148" s="26">
        <f>multiple_regression!$O$18+multiple_regression!$O$19*cleaned_data!$F$148+multiple_regression!$O$20*cleaned_data!$E$148+multiple_regression!$O$21*cleaned_data!$I$148+multiple_regression!$O$22*cleaned_data!$H$148+multiple_regression!$O$23*dummy_variables!$D$148+multiple_regression!$O$24*dummy_variables!$E$148+multiple_regression!$O$25*dummy_variables!$F$148+multiple_regression!$O$26*dummy_variables!$G$148+multiple_regression!$O$27*dummy_variables!$H$148+multiple_regression!$O$28*dummy_variables!$I$148</f>
        <v>692517.34102786728</v>
      </c>
      <c r="G148" s="26">
        <f t="shared" si="2"/>
        <v>2581.1689721327275</v>
      </c>
    </row>
    <row r="149" spans="1:7" ht="15" customHeight="1">
      <c r="A149" s="5" t="str">
        <f>cleaned_data!$A$149</f>
        <v>STR-1037</v>
      </c>
      <c r="B149" s="25" t="str">
        <f>cleaned_data!$B$149</f>
        <v>2025-01-01</v>
      </c>
      <c r="C149" s="5" t="str">
        <f>cleaned_data!$C$149</f>
        <v>North</v>
      </c>
      <c r="D149" s="5" t="str">
        <f>cleaned_data!$D$149</f>
        <v>Residential</v>
      </c>
      <c r="E149" s="26">
        <f>cleaned_data!$M$149</f>
        <v>577732.56999999995</v>
      </c>
      <c r="F149" s="26">
        <f>multiple_regression!$O$18+multiple_regression!$O$19*cleaned_data!$F$149+multiple_regression!$O$20*cleaned_data!$E$149+multiple_regression!$O$21*cleaned_data!$I$149+multiple_regression!$O$22*cleaned_data!$H$149+multiple_regression!$O$23*dummy_variables!$D$149+multiple_regression!$O$24*dummy_variables!$E$149+multiple_regression!$O$25*dummy_variables!$F$149+multiple_regression!$O$26*dummy_variables!$G$149+multiple_regression!$O$27*dummy_variables!$H$149+multiple_regression!$O$28*dummy_variables!$I$149</f>
        <v>605460.71300171688</v>
      </c>
      <c r="G149" s="26">
        <f t="shared" si="2"/>
        <v>-27728.143001716933</v>
      </c>
    </row>
    <row r="150" spans="1:7" ht="15" customHeight="1">
      <c r="A150" s="5" t="str">
        <f>cleaned_data!$A$150</f>
        <v>STR-1037</v>
      </c>
      <c r="B150" s="25" t="str">
        <f>cleaned_data!$B$150</f>
        <v>2025-02-01</v>
      </c>
      <c r="C150" s="5" t="str">
        <f>cleaned_data!$C$150</f>
        <v>North</v>
      </c>
      <c r="D150" s="5" t="str">
        <f>cleaned_data!$D$150</f>
        <v>Residential</v>
      </c>
      <c r="E150" s="26">
        <f>cleaned_data!$M$150</f>
        <v>537058.32999999996</v>
      </c>
      <c r="F150" s="26">
        <f>multiple_regression!$O$18+multiple_regression!$O$19*cleaned_data!$F$150+multiple_regression!$O$20*cleaned_data!$E$150+multiple_regression!$O$21*cleaned_data!$I$150+multiple_regression!$O$22*cleaned_data!$H$150+multiple_regression!$O$23*dummy_variables!$D$150+multiple_regression!$O$24*dummy_variables!$E$150+multiple_regression!$O$25*dummy_variables!$F$150+multiple_regression!$O$26*dummy_variables!$G$150+multiple_regression!$O$27*dummy_variables!$H$150+multiple_regression!$O$28*dummy_variables!$I$150</f>
        <v>562342.89919492567</v>
      </c>
      <c r="G150" s="26">
        <f t="shared" si="2"/>
        <v>-25284.569194925716</v>
      </c>
    </row>
    <row r="151" spans="1:7" ht="15" customHeight="1">
      <c r="A151" s="5" t="str">
        <f>cleaned_data!$A$151</f>
        <v>STR-1037</v>
      </c>
      <c r="B151" s="25" t="str">
        <f>cleaned_data!$B$151</f>
        <v>2025-03-01</v>
      </c>
      <c r="C151" s="5" t="str">
        <f>cleaned_data!$C$151</f>
        <v>North</v>
      </c>
      <c r="D151" s="5" t="str">
        <f>cleaned_data!$D$151</f>
        <v>Residential</v>
      </c>
      <c r="E151" s="26">
        <f>cleaned_data!$M$151</f>
        <v>601568.87</v>
      </c>
      <c r="F151" s="26">
        <f>multiple_regression!$O$18+multiple_regression!$O$19*cleaned_data!$F$151+multiple_regression!$O$20*cleaned_data!$E$151+multiple_regression!$O$21*cleaned_data!$I$151+multiple_regression!$O$22*cleaned_data!$H$151+multiple_regression!$O$23*dummy_variables!$D$151+multiple_regression!$O$24*dummy_variables!$E$151+multiple_regression!$O$25*dummy_variables!$F$151+multiple_regression!$O$26*dummy_variables!$G$151+multiple_regression!$O$27*dummy_variables!$H$151+multiple_regression!$O$28*dummy_variables!$I$151</f>
        <v>602704.16432593809</v>
      </c>
      <c r="G151" s="26">
        <f t="shared" si="2"/>
        <v>-1135.2943259380991</v>
      </c>
    </row>
    <row r="152" spans="1:7" ht="15" customHeight="1">
      <c r="A152" s="5" t="str">
        <f>cleaned_data!$A$152</f>
        <v>STR-1037</v>
      </c>
      <c r="B152" s="25" t="str">
        <f>cleaned_data!$B$152</f>
        <v>2025-04-01</v>
      </c>
      <c r="C152" s="5" t="str">
        <f>cleaned_data!$C$152</f>
        <v>North</v>
      </c>
      <c r="D152" s="5" t="str">
        <f>cleaned_data!$D$152</f>
        <v>Residential</v>
      </c>
      <c r="E152" s="26">
        <f>cleaned_data!$M$152</f>
        <v>570964.84</v>
      </c>
      <c r="F152" s="26">
        <f>multiple_regression!$O$18+multiple_regression!$O$19*cleaned_data!$F$152+multiple_regression!$O$20*cleaned_data!$E$152+multiple_regression!$O$21*cleaned_data!$I$152+multiple_regression!$O$22*cleaned_data!$H$152+multiple_regression!$O$23*dummy_variables!$D$152+multiple_regression!$O$24*dummy_variables!$E$152+multiple_regression!$O$25*dummy_variables!$F$152+multiple_regression!$O$26*dummy_variables!$G$152+multiple_regression!$O$27*dummy_variables!$H$152+multiple_regression!$O$28*dummy_variables!$I$152</f>
        <v>563393.68129075598</v>
      </c>
      <c r="G152" s="26">
        <f t="shared" si="2"/>
        <v>7571.1587092439877</v>
      </c>
    </row>
    <row r="153" spans="1:7" ht="15" customHeight="1">
      <c r="A153" s="5" t="str">
        <f>cleaned_data!$A$153</f>
        <v>STR-1038</v>
      </c>
      <c r="B153" s="25" t="str">
        <f>cleaned_data!$B$153</f>
        <v>2025-01-01</v>
      </c>
      <c r="C153" s="5" t="str">
        <f>cleaned_data!$C$153</f>
        <v>South</v>
      </c>
      <c r="D153" s="5" t="str">
        <f>cleaned_data!$D$153</f>
        <v>Mall</v>
      </c>
      <c r="E153" s="26">
        <f>cleaned_data!$M$153</f>
        <v>614024.91</v>
      </c>
      <c r="F153" s="26">
        <f>multiple_regression!$O$18+multiple_regression!$O$19*cleaned_data!$F$153+multiple_regression!$O$20*cleaned_data!$E$153+multiple_regression!$O$21*cleaned_data!$I$153+multiple_regression!$O$22*cleaned_data!$H$153+multiple_regression!$O$23*dummy_variables!$D$153+multiple_regression!$O$24*dummy_variables!$E$153+multiple_regression!$O$25*dummy_variables!$F$153+multiple_regression!$O$26*dummy_variables!$G$153+multiple_regression!$O$27*dummy_variables!$H$153+multiple_regression!$O$28*dummy_variables!$I$153</f>
        <v>663122.83713935316</v>
      </c>
      <c r="G153" s="26">
        <f t="shared" si="2"/>
        <v>-49097.927139353123</v>
      </c>
    </row>
    <row r="154" spans="1:7" ht="15" customHeight="1">
      <c r="A154" s="5" t="str">
        <f>cleaned_data!$A$154</f>
        <v>STR-1038</v>
      </c>
      <c r="B154" s="25" t="str">
        <f>cleaned_data!$B$154</f>
        <v>2025-02-01</v>
      </c>
      <c r="C154" s="5" t="str">
        <f>cleaned_data!$C$154</f>
        <v>South</v>
      </c>
      <c r="D154" s="5" t="str">
        <f>cleaned_data!$D$154</f>
        <v>Mall</v>
      </c>
      <c r="E154" s="26">
        <f>cleaned_data!$M$154</f>
        <v>712868.35</v>
      </c>
      <c r="F154" s="26">
        <f>multiple_regression!$O$18+multiple_regression!$O$19*cleaned_data!$F$154+multiple_regression!$O$20*cleaned_data!$E$154+multiple_regression!$O$21*cleaned_data!$I$154+multiple_regression!$O$22*cleaned_data!$H$154+multiple_regression!$O$23*dummy_variables!$D$154+multiple_regression!$O$24*dummy_variables!$E$154+multiple_regression!$O$25*dummy_variables!$F$154+multiple_regression!$O$26*dummy_variables!$G$154+multiple_regression!$O$27*dummy_variables!$H$154+multiple_regression!$O$28*dummy_variables!$I$154</f>
        <v>710237.21984202403</v>
      </c>
      <c r="G154" s="26">
        <f t="shared" si="2"/>
        <v>2631.1301579759456</v>
      </c>
    </row>
    <row r="155" spans="1:7" ht="15" customHeight="1">
      <c r="A155" s="5" t="str">
        <f>cleaned_data!$A$155</f>
        <v>STR-1038</v>
      </c>
      <c r="B155" s="25" t="str">
        <f>cleaned_data!$B$155</f>
        <v>2025-03-01</v>
      </c>
      <c r="C155" s="5" t="str">
        <f>cleaned_data!$C$155</f>
        <v>South</v>
      </c>
      <c r="D155" s="5" t="str">
        <f>cleaned_data!$D$155</f>
        <v>Mall</v>
      </c>
      <c r="E155" s="26">
        <f>cleaned_data!$M$155</f>
        <v>696744.15</v>
      </c>
      <c r="F155" s="26">
        <f>multiple_regression!$O$18+multiple_regression!$O$19*cleaned_data!$F$155+multiple_regression!$O$20*cleaned_data!$E$155+multiple_regression!$O$21*cleaned_data!$I$155+multiple_regression!$O$22*cleaned_data!$H$155+multiple_regression!$O$23*dummy_variables!$D$155+multiple_regression!$O$24*dummy_variables!$E$155+multiple_regression!$O$25*dummy_variables!$F$155+multiple_regression!$O$26*dummy_variables!$G$155+multiple_regression!$O$27*dummy_variables!$H$155+multiple_regression!$O$28*dummy_variables!$I$155</f>
        <v>671004.27424481558</v>
      </c>
      <c r="G155" s="26">
        <f t="shared" si="2"/>
        <v>25739.875755184446</v>
      </c>
    </row>
    <row r="156" spans="1:7" ht="15" customHeight="1">
      <c r="A156" s="5" t="str">
        <f>cleaned_data!$A$156</f>
        <v>STR-1038</v>
      </c>
      <c r="B156" s="25" t="str">
        <f>cleaned_data!$B$156</f>
        <v>2025-04-01</v>
      </c>
      <c r="C156" s="5" t="str">
        <f>cleaned_data!$C$156</f>
        <v>South</v>
      </c>
      <c r="D156" s="5" t="str">
        <f>cleaned_data!$D$156</f>
        <v>Mall</v>
      </c>
      <c r="E156" s="26">
        <f>cleaned_data!$M$156</f>
        <v>725847.99</v>
      </c>
      <c r="F156" s="26">
        <f>multiple_regression!$O$18+multiple_regression!$O$19*cleaned_data!$F$156+multiple_regression!$O$20*cleaned_data!$E$156+multiple_regression!$O$21*cleaned_data!$I$156+multiple_regression!$O$22*cleaned_data!$H$156+multiple_regression!$O$23*dummy_variables!$D$156+multiple_regression!$O$24*dummy_variables!$E$156+multiple_regression!$O$25*dummy_variables!$F$156+multiple_regression!$O$26*dummy_variables!$G$156+multiple_regression!$O$27*dummy_variables!$H$156+multiple_regression!$O$28*dummy_variables!$I$156</f>
        <v>716741.3569333693</v>
      </c>
      <c r="G156" s="26">
        <f t="shared" si="2"/>
        <v>9106.6330666306894</v>
      </c>
    </row>
    <row r="157" spans="1:7" ht="15" customHeight="1">
      <c r="A157" s="5" t="str">
        <f>cleaned_data!$A$157</f>
        <v>STR-1039</v>
      </c>
      <c r="B157" s="25" t="str">
        <f>cleaned_data!$B$157</f>
        <v>2025-01-01</v>
      </c>
      <c r="C157" s="5" t="str">
        <f>cleaned_data!$C$157</f>
        <v>East</v>
      </c>
      <c r="D157" s="5" t="str">
        <f>cleaned_data!$D$157</f>
        <v>High Street</v>
      </c>
      <c r="E157" s="26">
        <f>cleaned_data!$M$157</f>
        <v>785028.25</v>
      </c>
      <c r="F157" s="26">
        <f>multiple_regression!$O$18+multiple_regression!$O$19*cleaned_data!$F$157+multiple_regression!$O$20*cleaned_data!$E$157+multiple_regression!$O$21*cleaned_data!$I$157+multiple_regression!$O$22*cleaned_data!$H$157+multiple_regression!$O$23*dummy_variables!$D$157+multiple_regression!$O$24*dummy_variables!$E$157+multiple_regression!$O$25*dummy_variables!$F$157+multiple_regression!$O$26*dummy_variables!$G$157+multiple_regression!$O$27*dummy_variables!$H$157+multiple_regression!$O$28*dummy_variables!$I$157</f>
        <v>792600.87590488407</v>
      </c>
      <c r="G157" s="26">
        <f t="shared" si="2"/>
        <v>-7572.625904884073</v>
      </c>
    </row>
    <row r="158" spans="1:7" ht="15" customHeight="1">
      <c r="A158" s="5" t="str">
        <f>cleaned_data!$A$158</f>
        <v>STR-1039</v>
      </c>
      <c r="B158" s="25" t="str">
        <f>cleaned_data!$B$158</f>
        <v>2025-02-01</v>
      </c>
      <c r="C158" s="5" t="str">
        <f>cleaned_data!$C$158</f>
        <v>East</v>
      </c>
      <c r="D158" s="5" t="str">
        <f>cleaned_data!$D$158</f>
        <v>High Street</v>
      </c>
      <c r="E158" s="26">
        <f>cleaned_data!$M$158</f>
        <v>698492.67</v>
      </c>
      <c r="F158" s="26">
        <f>multiple_regression!$O$18+multiple_regression!$O$19*cleaned_data!$F$158+multiple_regression!$O$20*cleaned_data!$E$158+multiple_regression!$O$21*cleaned_data!$I$158+multiple_regression!$O$22*cleaned_data!$H$158+multiple_regression!$O$23*dummy_variables!$D$158+multiple_regression!$O$24*dummy_variables!$E$158+multiple_regression!$O$25*dummy_variables!$F$158+multiple_regression!$O$26*dummy_variables!$G$158+multiple_regression!$O$27*dummy_variables!$H$158+multiple_regression!$O$28*dummy_variables!$I$158</f>
        <v>685216.27155797521</v>
      </c>
      <c r="G158" s="26">
        <f t="shared" si="2"/>
        <v>13276.398442024831</v>
      </c>
    </row>
    <row r="159" spans="1:7" ht="15" customHeight="1">
      <c r="A159" s="5" t="str">
        <f>cleaned_data!$A$159</f>
        <v>STR-1039</v>
      </c>
      <c r="B159" s="25" t="str">
        <f>cleaned_data!$B$159</f>
        <v>2025-03-01</v>
      </c>
      <c r="C159" s="5" t="str">
        <f>cleaned_data!$C$159</f>
        <v>East</v>
      </c>
      <c r="D159" s="5" t="str">
        <f>cleaned_data!$D$159</f>
        <v>High Street</v>
      </c>
      <c r="E159" s="26">
        <f>cleaned_data!$M$159</f>
        <v>685830.24</v>
      </c>
      <c r="F159" s="26">
        <f>multiple_regression!$O$18+multiple_regression!$O$19*cleaned_data!$F$159+multiple_regression!$O$20*cleaned_data!$E$159+multiple_regression!$O$21*cleaned_data!$I$159+multiple_regression!$O$22*cleaned_data!$H$159+multiple_regression!$O$23*dummy_variables!$D$159+multiple_regression!$O$24*dummy_variables!$E$159+multiple_regression!$O$25*dummy_variables!$F$159+multiple_regression!$O$26*dummy_variables!$G$159+multiple_regression!$O$27*dummy_variables!$H$159+multiple_regression!$O$28*dummy_variables!$I$159</f>
        <v>715668.66698242293</v>
      </c>
      <c r="G159" s="26">
        <f t="shared" si="2"/>
        <v>-29838.426982422941</v>
      </c>
    </row>
    <row r="160" spans="1:7" ht="15" customHeight="1">
      <c r="A160" s="5" t="str">
        <f>cleaned_data!$A$160</f>
        <v>STR-1039</v>
      </c>
      <c r="B160" s="25" t="str">
        <f>cleaned_data!$B$160</f>
        <v>2025-04-01</v>
      </c>
      <c r="C160" s="5" t="str">
        <f>cleaned_data!$C$160</f>
        <v>East</v>
      </c>
      <c r="D160" s="5" t="str">
        <f>cleaned_data!$D$160</f>
        <v>High Street</v>
      </c>
      <c r="E160" s="26">
        <f>cleaned_data!$M$160</f>
        <v>702318.94</v>
      </c>
      <c r="F160" s="26">
        <f>multiple_regression!$O$18+multiple_regression!$O$19*cleaned_data!$F$160+multiple_regression!$O$20*cleaned_data!$E$160+multiple_regression!$O$21*cleaned_data!$I$160+multiple_regression!$O$22*cleaned_data!$H$160+multiple_regression!$O$23*dummy_variables!$D$160+multiple_regression!$O$24*dummy_variables!$E$160+multiple_regression!$O$25*dummy_variables!$F$160+multiple_regression!$O$26*dummy_variables!$G$160+multiple_regression!$O$27*dummy_variables!$H$160+multiple_regression!$O$28*dummy_variables!$I$160</f>
        <v>699351.10302823258</v>
      </c>
      <c r="G160" s="26">
        <f t="shared" si="2"/>
        <v>2967.8369717673631</v>
      </c>
    </row>
    <row r="161" spans="1:7" ht="15" customHeight="1">
      <c r="A161" s="5" t="str">
        <f>cleaned_data!$A$161</f>
        <v>STR-1040</v>
      </c>
      <c r="B161" s="25" t="str">
        <f>cleaned_data!$B$161</f>
        <v>2025-01-01</v>
      </c>
      <c r="C161" s="5" t="str">
        <f>cleaned_data!$C$161</f>
        <v>North</v>
      </c>
      <c r="D161" s="5" t="str">
        <f>cleaned_data!$D$161</f>
        <v>Mall</v>
      </c>
      <c r="E161" s="26">
        <f>cleaned_data!$M$161</f>
        <v>700078.32</v>
      </c>
      <c r="F161" s="26">
        <f>multiple_regression!$O$18+multiple_regression!$O$19*cleaned_data!$F$161+multiple_regression!$O$20*cleaned_data!$E$161+multiple_regression!$O$21*cleaned_data!$I$161+multiple_regression!$O$22*cleaned_data!$H$161+multiple_regression!$O$23*dummy_variables!$D$161+multiple_regression!$O$24*dummy_variables!$E$161+multiple_regression!$O$25*dummy_variables!$F$161+multiple_regression!$O$26*dummy_variables!$G$161+multiple_regression!$O$27*dummy_variables!$H$161+multiple_regression!$O$28*dummy_variables!$I$161</f>
        <v>719700.04566052277</v>
      </c>
      <c r="G161" s="26">
        <f t="shared" si="2"/>
        <v>-19621.725660522818</v>
      </c>
    </row>
    <row r="162" spans="1:7" ht="15" customHeight="1">
      <c r="A162" s="5" t="str">
        <f>cleaned_data!$A$162</f>
        <v>STR-1040</v>
      </c>
      <c r="B162" s="25" t="str">
        <f>cleaned_data!$B$162</f>
        <v>2025-02-01</v>
      </c>
      <c r="C162" s="5" t="str">
        <f>cleaned_data!$C$162</f>
        <v>North</v>
      </c>
      <c r="D162" s="5" t="str">
        <f>cleaned_data!$D$162</f>
        <v>Mall</v>
      </c>
      <c r="E162" s="26">
        <f>cleaned_data!$M$162</f>
        <v>602002.31999999995</v>
      </c>
      <c r="F162" s="26">
        <f>multiple_regression!$O$18+multiple_regression!$O$19*cleaned_data!$F$162+multiple_regression!$O$20*cleaned_data!$E$162+multiple_regression!$O$21*cleaned_data!$I$162+multiple_regression!$O$22*cleaned_data!$H$162+multiple_regression!$O$23*dummy_variables!$D$162+multiple_regression!$O$24*dummy_variables!$E$162+multiple_regression!$O$25*dummy_variables!$F$162+multiple_regression!$O$26*dummy_variables!$G$162+multiple_regression!$O$27*dummy_variables!$H$162+multiple_regression!$O$28*dummy_variables!$I$162</f>
        <v>634239.80405383231</v>
      </c>
      <c r="G162" s="26">
        <f t="shared" si="2"/>
        <v>-32237.484053832362</v>
      </c>
    </row>
    <row r="163" spans="1:7" ht="15" customHeight="1">
      <c r="A163" s="5" t="str">
        <f>cleaned_data!$A$163</f>
        <v>STR-1040</v>
      </c>
      <c r="B163" s="25" t="str">
        <f>cleaned_data!$B$163</f>
        <v>2025-03-01</v>
      </c>
      <c r="C163" s="5" t="str">
        <f>cleaned_data!$C$163</f>
        <v>North</v>
      </c>
      <c r="D163" s="5" t="str">
        <f>cleaned_data!$D$163</f>
        <v>Mall</v>
      </c>
      <c r="E163" s="26">
        <f>cleaned_data!$M$163</f>
        <v>724216.07</v>
      </c>
      <c r="F163" s="26">
        <f>multiple_regression!$O$18+multiple_regression!$O$19*cleaned_data!$F$163+multiple_regression!$O$20*cleaned_data!$E$163+multiple_regression!$O$21*cleaned_data!$I$163+multiple_regression!$O$22*cleaned_data!$H$163+multiple_regression!$O$23*dummy_variables!$D$163+multiple_regression!$O$24*dummy_variables!$E$163+multiple_regression!$O$25*dummy_variables!$F$163+multiple_regression!$O$26*dummy_variables!$G$163+multiple_regression!$O$27*dummy_variables!$H$163+multiple_regression!$O$28*dummy_variables!$I$163</f>
        <v>665743.20045792649</v>
      </c>
      <c r="G163" s="26">
        <f t="shared" si="2"/>
        <v>58472.869542073458</v>
      </c>
    </row>
    <row r="164" spans="1:7" ht="15" customHeight="1">
      <c r="A164" s="5" t="str">
        <f>cleaned_data!$A$164</f>
        <v>STR-1040</v>
      </c>
      <c r="B164" s="25" t="str">
        <f>cleaned_data!$B$164</f>
        <v>2025-04-01</v>
      </c>
      <c r="C164" s="5" t="str">
        <f>cleaned_data!$C$164</f>
        <v>North</v>
      </c>
      <c r="D164" s="5" t="str">
        <f>cleaned_data!$D$164</f>
        <v>Mall</v>
      </c>
      <c r="E164" s="26">
        <f>cleaned_data!$M$164</f>
        <v>620973.03</v>
      </c>
      <c r="F164" s="26">
        <f>multiple_regression!$O$18+multiple_regression!$O$19*cleaned_data!$F$164+multiple_regression!$O$20*cleaned_data!$E$164+multiple_regression!$O$21*cleaned_data!$I$164+multiple_regression!$O$22*cleaned_data!$H$164+multiple_regression!$O$23*dummy_variables!$D$164+multiple_regression!$O$24*dummy_variables!$E$164+multiple_regression!$O$25*dummy_variables!$F$164+multiple_regression!$O$26*dummy_variables!$G$164+multiple_regression!$O$27*dummy_variables!$H$164+multiple_regression!$O$28*dummy_variables!$I$164</f>
        <v>574624.06891126558</v>
      </c>
      <c r="G164" s="26">
        <f t="shared" si="2"/>
        <v>46348.961088734446</v>
      </c>
    </row>
    <row r="165" spans="1:7" ht="15" customHeight="1">
      <c r="A165" s="5" t="str">
        <f>cleaned_data!$A$165</f>
        <v>STR-1041</v>
      </c>
      <c r="B165" s="25" t="str">
        <f>cleaned_data!$B$165</f>
        <v>2025-01-01</v>
      </c>
      <c r="C165" s="5" t="str">
        <f>cleaned_data!$C$165</f>
        <v>South</v>
      </c>
      <c r="D165" s="5" t="str">
        <f>cleaned_data!$D$165</f>
        <v>High Street</v>
      </c>
      <c r="E165" s="26">
        <f>cleaned_data!$M$165</f>
        <v>650480.06000000006</v>
      </c>
      <c r="F165" s="26">
        <f>multiple_regression!$O$18+multiple_regression!$O$19*cleaned_data!$F$165+multiple_regression!$O$20*cleaned_data!$E$165+multiple_regression!$O$21*cleaned_data!$I$165+multiple_regression!$O$22*cleaned_data!$H$165+multiple_regression!$O$23*dummy_variables!$D$165+multiple_regression!$O$24*dummy_variables!$E$165+multiple_regression!$O$25*dummy_variables!$F$165+multiple_regression!$O$26*dummy_variables!$G$165+multiple_regression!$O$27*dummy_variables!$H$165+multiple_regression!$O$28*dummy_variables!$I$165</f>
        <v>703546.66594045528</v>
      </c>
      <c r="G165" s="26">
        <f t="shared" si="2"/>
        <v>-53066.605940455222</v>
      </c>
    </row>
    <row r="166" spans="1:7" ht="15" customHeight="1">
      <c r="A166" s="5" t="str">
        <f>cleaned_data!$A$166</f>
        <v>STR-1041</v>
      </c>
      <c r="B166" s="25" t="str">
        <f>cleaned_data!$B$166</f>
        <v>2025-02-01</v>
      </c>
      <c r="C166" s="5" t="str">
        <f>cleaned_data!$C$166</f>
        <v>South</v>
      </c>
      <c r="D166" s="5" t="str">
        <f>cleaned_data!$D$166</f>
        <v>High Street</v>
      </c>
      <c r="E166" s="26">
        <f>cleaned_data!$M$166</f>
        <v>778298.88</v>
      </c>
      <c r="F166" s="26">
        <f>multiple_regression!$O$18+multiple_regression!$O$19*cleaned_data!$F$166+multiple_regression!$O$20*cleaned_data!$E$166+multiple_regression!$O$21*cleaned_data!$I$166+multiple_regression!$O$22*cleaned_data!$H$166+multiple_regression!$O$23*dummy_variables!$D$166+multiple_regression!$O$24*dummy_variables!$E$166+multiple_regression!$O$25*dummy_variables!$F$166+multiple_regression!$O$26*dummy_variables!$G$166+multiple_regression!$O$27*dummy_variables!$H$166+multiple_regression!$O$28*dummy_variables!$I$166</f>
        <v>712273.7520984232</v>
      </c>
      <c r="G166" s="26">
        <f t="shared" si="2"/>
        <v>66025.127901576809</v>
      </c>
    </row>
    <row r="167" spans="1:7" ht="15" customHeight="1">
      <c r="A167" s="5" t="str">
        <f>cleaned_data!$A$167</f>
        <v>STR-1041</v>
      </c>
      <c r="B167" s="25" t="str">
        <f>cleaned_data!$B$167</f>
        <v>2025-03-01</v>
      </c>
      <c r="C167" s="5" t="str">
        <f>cleaned_data!$C$167</f>
        <v>South</v>
      </c>
      <c r="D167" s="5" t="str">
        <f>cleaned_data!$D$167</f>
        <v>High Street</v>
      </c>
      <c r="E167" s="26">
        <f>cleaned_data!$M$167</f>
        <v>677096.71</v>
      </c>
      <c r="F167" s="26">
        <f>multiple_regression!$O$18+multiple_regression!$O$19*cleaned_data!$F$167+multiple_regression!$O$20*cleaned_data!$E$167+multiple_regression!$O$21*cleaned_data!$I$167+multiple_regression!$O$22*cleaned_data!$H$167+multiple_regression!$O$23*dummy_variables!$D$167+multiple_regression!$O$24*dummy_variables!$E$167+multiple_regression!$O$25*dummy_variables!$F$167+multiple_regression!$O$26*dummy_variables!$G$167+multiple_regression!$O$27*dummy_variables!$H$167+multiple_regression!$O$28*dummy_variables!$I$167</f>
        <v>689011.92643394845</v>
      </c>
      <c r="G167" s="26">
        <f t="shared" si="2"/>
        <v>-11915.216433948488</v>
      </c>
    </row>
    <row r="168" spans="1:7" ht="15" customHeight="1">
      <c r="A168" s="5" t="str">
        <f>cleaned_data!$A$168</f>
        <v>STR-1041</v>
      </c>
      <c r="B168" s="25" t="str">
        <f>cleaned_data!$B$168</f>
        <v>2025-04-01</v>
      </c>
      <c r="C168" s="5" t="str">
        <f>cleaned_data!$C$168</f>
        <v>South</v>
      </c>
      <c r="D168" s="5" t="str">
        <f>cleaned_data!$D$168</f>
        <v>High Street</v>
      </c>
      <c r="E168" s="26">
        <f>cleaned_data!$M$168</f>
        <v>692008.64</v>
      </c>
      <c r="F168" s="26">
        <f>multiple_regression!$O$18+multiple_regression!$O$19*cleaned_data!$F$168+multiple_regression!$O$20*cleaned_data!$E$168+multiple_regression!$O$21*cleaned_data!$I$168+multiple_regression!$O$22*cleaned_data!$H$168+multiple_regression!$O$23*dummy_variables!$D$168+multiple_regression!$O$24*dummy_variables!$E$168+multiple_regression!$O$25*dummy_variables!$F$168+multiple_regression!$O$26*dummy_variables!$G$168+multiple_regression!$O$27*dummy_variables!$H$168+multiple_regression!$O$28*dummy_variables!$I$168</f>
        <v>712511.6299290749</v>
      </c>
      <c r="G168" s="26">
        <f t="shared" si="2"/>
        <v>-20502.989929074887</v>
      </c>
    </row>
    <row r="169" spans="1:7" ht="15" customHeight="1">
      <c r="A169" s="5" t="str">
        <f>cleaned_data!$A$169</f>
        <v>STR-1042</v>
      </c>
      <c r="B169" s="25" t="str">
        <f>cleaned_data!$B$169</f>
        <v>2025-01-01</v>
      </c>
      <c r="C169" s="5" t="str">
        <f>cleaned_data!$C$169</f>
        <v>North</v>
      </c>
      <c r="D169" s="5" t="str">
        <f>cleaned_data!$D$169</f>
        <v>Mall</v>
      </c>
      <c r="E169" s="26">
        <f>cleaned_data!$M$169</f>
        <v>825797.91</v>
      </c>
      <c r="F169" s="26">
        <f>multiple_regression!$O$18+multiple_regression!$O$19*cleaned_data!$F$169+multiple_regression!$O$20*cleaned_data!$E$169+multiple_regression!$O$21*cleaned_data!$I$169+multiple_regression!$O$22*cleaned_data!$H$169+multiple_regression!$O$23*dummy_variables!$D$169+multiple_regression!$O$24*dummy_variables!$E$169+multiple_regression!$O$25*dummy_variables!$F$169+multiple_regression!$O$26*dummy_variables!$G$169+multiple_regression!$O$27*dummy_variables!$H$169+multiple_regression!$O$28*dummy_variables!$I$169</f>
        <v>787448.69037972006</v>
      </c>
      <c r="G169" s="26">
        <f t="shared" si="2"/>
        <v>38349.219620279968</v>
      </c>
    </row>
    <row r="170" spans="1:7" ht="15" customHeight="1">
      <c r="A170" s="5" t="str">
        <f>cleaned_data!$A$170</f>
        <v>STR-1042</v>
      </c>
      <c r="B170" s="25" t="str">
        <f>cleaned_data!$B$170</f>
        <v>2025-02-01</v>
      </c>
      <c r="C170" s="5" t="str">
        <f>cleaned_data!$C$170</f>
        <v>North</v>
      </c>
      <c r="D170" s="5" t="str">
        <f>cleaned_data!$D$170</f>
        <v>Mall</v>
      </c>
      <c r="E170" s="26">
        <f>cleaned_data!$M$170</f>
        <v>706285.52</v>
      </c>
      <c r="F170" s="26">
        <f>multiple_regression!$O$18+multiple_regression!$O$19*cleaned_data!$F$170+multiple_regression!$O$20*cleaned_data!$E$170+multiple_regression!$O$21*cleaned_data!$I$170+multiple_regression!$O$22*cleaned_data!$H$170+multiple_regression!$O$23*dummy_variables!$D$170+multiple_regression!$O$24*dummy_variables!$E$170+multiple_regression!$O$25*dummy_variables!$F$170+multiple_regression!$O$26*dummy_variables!$G$170+multiple_regression!$O$27*dummy_variables!$H$170+multiple_regression!$O$28*dummy_variables!$I$170</f>
        <v>738419.96970210318</v>
      </c>
      <c r="G170" s="26">
        <f t="shared" si="2"/>
        <v>-32134.449702103157</v>
      </c>
    </row>
    <row r="171" spans="1:7" ht="15" customHeight="1">
      <c r="A171" s="5" t="str">
        <f>cleaned_data!$A$171</f>
        <v>STR-1042</v>
      </c>
      <c r="B171" s="25" t="str">
        <f>cleaned_data!$B$171</f>
        <v>2025-03-01</v>
      </c>
      <c r="C171" s="5" t="str">
        <f>cleaned_data!$C$171</f>
        <v>North</v>
      </c>
      <c r="D171" s="5" t="str">
        <f>cleaned_data!$D$171</f>
        <v>Mall</v>
      </c>
      <c r="E171" s="26">
        <f>cleaned_data!$M$171</f>
        <v>665534.69999999995</v>
      </c>
      <c r="F171" s="26">
        <f>multiple_regression!$O$18+multiple_regression!$O$19*cleaned_data!$F$171+multiple_regression!$O$20*cleaned_data!$E$171+multiple_regression!$O$21*cleaned_data!$I$171+multiple_regression!$O$22*cleaned_data!$H$171+multiple_regression!$O$23*dummy_variables!$D$171+multiple_regression!$O$24*dummy_variables!$E$171+multiple_regression!$O$25*dummy_variables!$F$171+multiple_regression!$O$26*dummy_variables!$G$171+multiple_regression!$O$27*dummy_variables!$H$171+multiple_regression!$O$28*dummy_variables!$I$171</f>
        <v>675087.41335729649</v>
      </c>
      <c r="G171" s="26">
        <f t="shared" si="2"/>
        <v>-9552.7133572965395</v>
      </c>
    </row>
    <row r="172" spans="1:7" ht="15" customHeight="1">
      <c r="A172" s="5" t="str">
        <f>cleaned_data!$A$172</f>
        <v>STR-1042</v>
      </c>
      <c r="B172" s="25" t="str">
        <f>cleaned_data!$B$172</f>
        <v>2025-04-01</v>
      </c>
      <c r="C172" s="5" t="str">
        <f>cleaned_data!$C$172</f>
        <v>North</v>
      </c>
      <c r="D172" s="5" t="str">
        <f>cleaned_data!$D$172</f>
        <v>Mall</v>
      </c>
      <c r="E172" s="26">
        <f>cleaned_data!$M$172</f>
        <v>820729.29</v>
      </c>
      <c r="F172" s="26">
        <f>multiple_regression!$O$18+multiple_regression!$O$19*cleaned_data!$F$172+multiple_regression!$O$20*cleaned_data!$E$172+multiple_regression!$O$21*cleaned_data!$I$172+multiple_regression!$O$22*cleaned_data!$H$172+multiple_regression!$O$23*dummy_variables!$D$172+multiple_regression!$O$24*dummy_variables!$E$172+multiple_regression!$O$25*dummy_variables!$F$172+multiple_regression!$O$26*dummy_variables!$G$172+multiple_regression!$O$27*dummy_variables!$H$172+multiple_regression!$O$28*dummy_variables!$I$172</f>
        <v>819905.39408087137</v>
      </c>
      <c r="G172" s="26">
        <f t="shared" si="2"/>
        <v>823.89591912867036</v>
      </c>
    </row>
    <row r="173" spans="1:7" ht="15" customHeight="1">
      <c r="A173" s="5" t="str">
        <f>cleaned_data!$A$173</f>
        <v>STR-1043</v>
      </c>
      <c r="B173" s="25" t="str">
        <f>cleaned_data!$B$173</f>
        <v>2025-01-01</v>
      </c>
      <c r="C173" s="5" t="str">
        <f>cleaned_data!$C$173</f>
        <v>East</v>
      </c>
      <c r="D173" s="5" t="str">
        <f>cleaned_data!$D$173</f>
        <v>Residential</v>
      </c>
      <c r="E173" s="26">
        <f>cleaned_data!$M$173</f>
        <v>739831.73</v>
      </c>
      <c r="F173" s="26">
        <f>multiple_regression!$O$18+multiple_regression!$O$19*cleaned_data!$F$173+multiple_regression!$O$20*cleaned_data!$E$173+multiple_regression!$O$21*cleaned_data!$I$173+multiple_regression!$O$22*cleaned_data!$H$173+multiple_regression!$O$23*dummy_variables!$D$173+multiple_regression!$O$24*dummy_variables!$E$173+multiple_regression!$O$25*dummy_variables!$F$173+multiple_regression!$O$26*dummy_variables!$G$173+multiple_regression!$O$27*dummy_variables!$H$173+multiple_regression!$O$28*dummy_variables!$I$173</f>
        <v>760865.90797527472</v>
      </c>
      <c r="G173" s="26">
        <f t="shared" si="2"/>
        <v>-21034.177975274739</v>
      </c>
    </row>
    <row r="174" spans="1:7" ht="15" customHeight="1">
      <c r="A174" s="5" t="str">
        <f>cleaned_data!$A$174</f>
        <v>STR-1043</v>
      </c>
      <c r="B174" s="25" t="str">
        <f>cleaned_data!$B$174</f>
        <v>2025-02-01</v>
      </c>
      <c r="C174" s="5" t="str">
        <f>cleaned_data!$C$174</f>
        <v>East</v>
      </c>
      <c r="D174" s="5" t="str">
        <f>cleaned_data!$D$174</f>
        <v>Residential</v>
      </c>
      <c r="E174" s="26">
        <f>cleaned_data!$M$174</f>
        <v>593637.14</v>
      </c>
      <c r="F174" s="26">
        <f>multiple_regression!$O$18+multiple_regression!$O$19*cleaned_data!$F$174+multiple_regression!$O$20*cleaned_data!$E$174+multiple_regression!$O$21*cleaned_data!$I$174+multiple_regression!$O$22*cleaned_data!$H$174+multiple_regression!$O$23*dummy_variables!$D$174+multiple_regression!$O$24*dummy_variables!$E$174+multiple_regression!$O$25*dummy_variables!$F$174+multiple_regression!$O$26*dummy_variables!$G$174+multiple_regression!$O$27*dummy_variables!$H$174+multiple_regression!$O$28*dummy_variables!$I$174</f>
        <v>637817.61046499375</v>
      </c>
      <c r="G174" s="26">
        <f t="shared" si="2"/>
        <v>-44180.470464993734</v>
      </c>
    </row>
    <row r="175" spans="1:7" ht="15" customHeight="1">
      <c r="A175" s="5" t="str">
        <f>cleaned_data!$A$175</f>
        <v>STR-1043</v>
      </c>
      <c r="B175" s="25" t="str">
        <f>cleaned_data!$B$175</f>
        <v>2025-03-01</v>
      </c>
      <c r="C175" s="5" t="str">
        <f>cleaned_data!$C$175</f>
        <v>East</v>
      </c>
      <c r="D175" s="5" t="str">
        <f>cleaned_data!$D$175</f>
        <v>Residential</v>
      </c>
      <c r="E175" s="26">
        <f>cleaned_data!$M$175</f>
        <v>769702.76</v>
      </c>
      <c r="F175" s="26">
        <f>multiple_regression!$O$18+multiple_regression!$O$19*cleaned_data!$F$175+multiple_regression!$O$20*cleaned_data!$E$175+multiple_regression!$O$21*cleaned_data!$I$175+multiple_regression!$O$22*cleaned_data!$H$175+multiple_regression!$O$23*dummy_variables!$D$175+multiple_regression!$O$24*dummy_variables!$E$175+multiple_regression!$O$25*dummy_variables!$F$175+multiple_regression!$O$26*dummy_variables!$G$175+multiple_regression!$O$27*dummy_variables!$H$175+multiple_regression!$O$28*dummy_variables!$I$175</f>
        <v>717059.02111721877</v>
      </c>
      <c r="G175" s="26">
        <f t="shared" si="2"/>
        <v>52643.738882781239</v>
      </c>
    </row>
    <row r="176" spans="1:7" ht="15" customHeight="1">
      <c r="A176" s="5" t="str">
        <f>cleaned_data!$A$176</f>
        <v>STR-1043</v>
      </c>
      <c r="B176" s="25" t="str">
        <f>cleaned_data!$B$176</f>
        <v>2025-04-01</v>
      </c>
      <c r="C176" s="5" t="str">
        <f>cleaned_data!$C$176</f>
        <v>East</v>
      </c>
      <c r="D176" s="5" t="str">
        <f>cleaned_data!$D$176</f>
        <v>Residential</v>
      </c>
      <c r="E176" s="26">
        <f>cleaned_data!$M$176</f>
        <v>679731.57</v>
      </c>
      <c r="F176" s="26">
        <f>multiple_regression!$O$18+multiple_regression!$O$19*cleaned_data!$F$176+multiple_regression!$O$20*cleaned_data!$E$176+multiple_regression!$O$21*cleaned_data!$I$176+multiple_regression!$O$22*cleaned_data!$H$176+multiple_regression!$O$23*dummy_variables!$D$176+multiple_regression!$O$24*dummy_variables!$E$176+multiple_regression!$O$25*dummy_variables!$F$176+multiple_regression!$O$26*dummy_variables!$G$176+multiple_regression!$O$27*dummy_variables!$H$176+multiple_regression!$O$28*dummy_variables!$I$176</f>
        <v>670473.76514392113</v>
      </c>
      <c r="G176" s="26">
        <f t="shared" si="2"/>
        <v>9257.8048560788156</v>
      </c>
    </row>
    <row r="177" spans="1:7" ht="15" customHeight="1">
      <c r="A177" s="5" t="str">
        <f>cleaned_data!$A$177</f>
        <v>STR-1044</v>
      </c>
      <c r="B177" s="25" t="str">
        <f>cleaned_data!$B$177</f>
        <v>2025-01-01</v>
      </c>
      <c r="C177" s="5" t="str">
        <f>cleaned_data!$C$177</f>
        <v>East</v>
      </c>
      <c r="D177" s="5" t="str">
        <f>cleaned_data!$D$177</f>
        <v>Residential</v>
      </c>
      <c r="E177" s="26">
        <f>cleaned_data!$M$177</f>
        <v>780344.18</v>
      </c>
      <c r="F177" s="26">
        <f>multiple_regression!$O$18+multiple_regression!$O$19*cleaned_data!$F$177+multiple_regression!$O$20*cleaned_data!$E$177+multiple_regression!$O$21*cleaned_data!$I$177+multiple_regression!$O$22*cleaned_data!$H$177+multiple_regression!$O$23*dummy_variables!$D$177+multiple_regression!$O$24*dummy_variables!$E$177+multiple_regression!$O$25*dummy_variables!$F$177+multiple_regression!$O$26*dummy_variables!$G$177+multiple_regression!$O$27*dummy_variables!$H$177+multiple_regression!$O$28*dummy_variables!$I$177</f>
        <v>754319.43693816429</v>
      </c>
      <c r="G177" s="26">
        <f t="shared" si="2"/>
        <v>26024.743061835761</v>
      </c>
    </row>
    <row r="178" spans="1:7" ht="15" customHeight="1">
      <c r="A178" s="5" t="str">
        <f>cleaned_data!$A$178</f>
        <v>STR-1044</v>
      </c>
      <c r="B178" s="25" t="str">
        <f>cleaned_data!$B$178</f>
        <v>2025-02-01</v>
      </c>
      <c r="C178" s="5" t="str">
        <f>cleaned_data!$C$178</f>
        <v>East</v>
      </c>
      <c r="D178" s="5" t="str">
        <f>cleaned_data!$D$178</f>
        <v>Residential</v>
      </c>
      <c r="E178" s="26">
        <f>cleaned_data!$M$178</f>
        <v>721364.11</v>
      </c>
      <c r="F178" s="26">
        <f>multiple_regression!$O$18+multiple_regression!$O$19*cleaned_data!$F$178+multiple_regression!$O$20*cleaned_data!$E$178+multiple_regression!$O$21*cleaned_data!$I$178+multiple_regression!$O$22*cleaned_data!$H$178+multiple_regression!$O$23*dummy_variables!$D$178+multiple_regression!$O$24*dummy_variables!$E$178+multiple_regression!$O$25*dummy_variables!$F$178+multiple_regression!$O$26*dummy_variables!$G$178+multiple_regression!$O$27*dummy_variables!$H$178+multiple_regression!$O$28*dummy_variables!$I$178</f>
        <v>739646.5445796689</v>
      </c>
      <c r="G178" s="26">
        <f t="shared" si="2"/>
        <v>-18282.434579668916</v>
      </c>
    </row>
    <row r="179" spans="1:7" ht="15" customHeight="1">
      <c r="A179" s="5" t="str">
        <f>cleaned_data!$A$179</f>
        <v>STR-1044</v>
      </c>
      <c r="B179" s="25" t="str">
        <f>cleaned_data!$B$179</f>
        <v>2025-03-01</v>
      </c>
      <c r="C179" s="5" t="str">
        <f>cleaned_data!$C$179</f>
        <v>East</v>
      </c>
      <c r="D179" s="5" t="str">
        <f>cleaned_data!$D$179</f>
        <v>Residential</v>
      </c>
      <c r="E179" s="26">
        <f>cleaned_data!$M$179</f>
        <v>758138.29</v>
      </c>
      <c r="F179" s="26">
        <f>multiple_regression!$O$18+multiple_regression!$O$19*cleaned_data!$F$179+multiple_regression!$O$20*cleaned_data!$E$179+multiple_regression!$O$21*cleaned_data!$I$179+multiple_regression!$O$22*cleaned_data!$H$179+multiple_regression!$O$23*dummy_variables!$D$179+multiple_regression!$O$24*dummy_variables!$E$179+multiple_regression!$O$25*dummy_variables!$F$179+multiple_regression!$O$26*dummy_variables!$G$179+multiple_regression!$O$27*dummy_variables!$H$179+multiple_regression!$O$28*dummy_variables!$I$179</f>
        <v>757352.92414920719</v>
      </c>
      <c r="G179" s="26">
        <f t="shared" si="2"/>
        <v>785.36585079284851</v>
      </c>
    </row>
    <row r="180" spans="1:7" ht="15" customHeight="1">
      <c r="A180" s="5" t="str">
        <f>cleaned_data!$A$180</f>
        <v>STR-1044</v>
      </c>
      <c r="B180" s="25" t="str">
        <f>cleaned_data!$B$180</f>
        <v>2025-04-01</v>
      </c>
      <c r="C180" s="5" t="str">
        <f>cleaned_data!$C$180</f>
        <v>East</v>
      </c>
      <c r="D180" s="5" t="str">
        <f>cleaned_data!$D$180</f>
        <v>Residential</v>
      </c>
      <c r="E180" s="26">
        <f>cleaned_data!$M$180</f>
        <v>804264</v>
      </c>
      <c r="F180" s="26">
        <f>multiple_regression!$O$18+multiple_regression!$O$19*cleaned_data!$F$180+multiple_regression!$O$20*cleaned_data!$E$180+multiple_regression!$O$21*cleaned_data!$I$180+multiple_regression!$O$22*cleaned_data!$H$180+multiple_regression!$O$23*dummy_variables!$D$180+multiple_regression!$O$24*dummy_variables!$E$180+multiple_regression!$O$25*dummy_variables!$F$180+multiple_regression!$O$26*dummy_variables!$G$180+multiple_regression!$O$27*dummy_variables!$H$180+multiple_regression!$O$28*dummy_variables!$I$180</f>
        <v>806499.60996439622</v>
      </c>
      <c r="G180" s="26">
        <f t="shared" si="2"/>
        <v>-2235.6099643962225</v>
      </c>
    </row>
    <row r="181" spans="1:7" ht="15" customHeight="1">
      <c r="A181" s="5" t="str">
        <f>cleaned_data!$A$181</f>
        <v>STR-1045</v>
      </c>
      <c r="B181" s="25" t="str">
        <f>cleaned_data!$B$181</f>
        <v>2025-01-01</v>
      </c>
      <c r="C181" s="5" t="str">
        <f>cleaned_data!$C$181</f>
        <v>West</v>
      </c>
      <c r="D181" s="5" t="str">
        <f>cleaned_data!$D$181</f>
        <v>Airport</v>
      </c>
      <c r="E181" s="26">
        <f>cleaned_data!$M$181</f>
        <v>887537.75</v>
      </c>
      <c r="F181" s="26">
        <f>multiple_regression!$O$18+multiple_regression!$O$19*cleaned_data!$F$181+multiple_regression!$O$20*cleaned_data!$E$181+multiple_regression!$O$21*cleaned_data!$I$181+multiple_regression!$O$22*cleaned_data!$H$181+multiple_regression!$O$23*dummy_variables!$D$181+multiple_regression!$O$24*dummy_variables!$E$181+multiple_regression!$O$25*dummy_variables!$F$181+multiple_regression!$O$26*dummy_variables!$G$181+multiple_regression!$O$27*dummy_variables!$H$181+multiple_regression!$O$28*dummy_variables!$I$181</f>
        <v>877858.43660182622</v>
      </c>
      <c r="G181" s="26">
        <f t="shared" si="2"/>
        <v>9679.3133981737774</v>
      </c>
    </row>
    <row r="182" spans="1:7" ht="15" customHeight="1">
      <c r="A182" s="5" t="str">
        <f>cleaned_data!$A$182</f>
        <v>STR-1045</v>
      </c>
      <c r="B182" s="25" t="str">
        <f>cleaned_data!$B$182</f>
        <v>2025-02-01</v>
      </c>
      <c r="C182" s="5" t="str">
        <f>cleaned_data!$C$182</f>
        <v>West</v>
      </c>
      <c r="D182" s="5" t="str">
        <f>cleaned_data!$D$182</f>
        <v>Airport</v>
      </c>
      <c r="E182" s="26">
        <f>cleaned_data!$M$182</f>
        <v>783582</v>
      </c>
      <c r="F182" s="26">
        <f>multiple_regression!$O$18+multiple_regression!$O$19*cleaned_data!$F$182+multiple_regression!$O$20*cleaned_data!$E$182+multiple_regression!$O$21*cleaned_data!$I$182+multiple_regression!$O$22*cleaned_data!$H$182+multiple_regression!$O$23*dummy_variables!$D$182+multiple_regression!$O$24*dummy_variables!$E$182+multiple_regression!$O$25*dummy_variables!$F$182+multiple_regression!$O$26*dummy_variables!$G$182+multiple_regression!$O$27*dummy_variables!$H$182+multiple_regression!$O$28*dummy_variables!$I$182</f>
        <v>739828.25165864767</v>
      </c>
      <c r="G182" s="26">
        <f t="shared" si="2"/>
        <v>43753.74834135233</v>
      </c>
    </row>
    <row r="183" spans="1:7" ht="15" customHeight="1">
      <c r="A183" s="5" t="str">
        <f>cleaned_data!$A$183</f>
        <v>STR-1045</v>
      </c>
      <c r="B183" s="25" t="str">
        <f>cleaned_data!$B$183</f>
        <v>2025-03-01</v>
      </c>
      <c r="C183" s="5" t="str">
        <f>cleaned_data!$C$183</f>
        <v>West</v>
      </c>
      <c r="D183" s="5" t="str">
        <f>cleaned_data!$D$183</f>
        <v>Airport</v>
      </c>
      <c r="E183" s="26">
        <f>cleaned_data!$M$183</f>
        <v>781955.52</v>
      </c>
      <c r="F183" s="26">
        <f>multiple_regression!$O$18+multiple_regression!$O$19*cleaned_data!$F$183+multiple_regression!$O$20*cleaned_data!$E$183+multiple_regression!$O$21*cleaned_data!$I$183+multiple_regression!$O$22*cleaned_data!$H$183+multiple_regression!$O$23*dummy_variables!$D$183+multiple_regression!$O$24*dummy_variables!$E$183+multiple_regression!$O$25*dummy_variables!$F$183+multiple_regression!$O$26*dummy_variables!$G$183+multiple_regression!$O$27*dummy_variables!$H$183+multiple_regression!$O$28*dummy_variables!$I$183</f>
        <v>767238.31295130274</v>
      </c>
      <c r="G183" s="26">
        <f t="shared" si="2"/>
        <v>14717.207048697281</v>
      </c>
    </row>
    <row r="184" spans="1:7" ht="15" customHeight="1">
      <c r="A184" s="5" t="str">
        <f>cleaned_data!$A$184</f>
        <v>STR-1045</v>
      </c>
      <c r="B184" s="25" t="str">
        <f>cleaned_data!$B$184</f>
        <v>2025-04-01</v>
      </c>
      <c r="C184" s="5" t="str">
        <f>cleaned_data!$C$184</f>
        <v>West</v>
      </c>
      <c r="D184" s="5" t="str">
        <f>cleaned_data!$D$184</f>
        <v>Airport</v>
      </c>
      <c r="E184" s="26">
        <f>cleaned_data!$M$184</f>
        <v>898031.04</v>
      </c>
      <c r="F184" s="26">
        <f>multiple_regression!$O$18+multiple_regression!$O$19*cleaned_data!$F$184+multiple_regression!$O$20*cleaned_data!$E$184+multiple_regression!$O$21*cleaned_data!$I$184+multiple_regression!$O$22*cleaned_data!$H$184+multiple_regression!$O$23*dummy_variables!$D$184+multiple_regression!$O$24*dummy_variables!$E$184+multiple_regression!$O$25*dummy_variables!$F$184+multiple_regression!$O$26*dummy_variables!$G$184+multiple_regression!$O$27*dummy_variables!$H$184+multiple_regression!$O$28*dummy_variables!$I$184</f>
        <v>846315.55833483394</v>
      </c>
      <c r="G184" s="26">
        <f t="shared" si="2"/>
        <v>51715.481665166095</v>
      </c>
    </row>
    <row r="185" spans="1:7" ht="15" customHeight="1">
      <c r="A185" s="5" t="str">
        <f>cleaned_data!$A$185</f>
        <v>STR-1046</v>
      </c>
      <c r="B185" s="25" t="str">
        <f>cleaned_data!$B$185</f>
        <v>2025-01-01</v>
      </c>
      <c r="C185" s="5" t="str">
        <f>cleaned_data!$C$185</f>
        <v>West</v>
      </c>
      <c r="D185" s="5" t="str">
        <f>cleaned_data!$D$185</f>
        <v>Residential</v>
      </c>
      <c r="E185" s="26">
        <f>cleaned_data!$M$185</f>
        <v>855341.28</v>
      </c>
      <c r="F185" s="26">
        <f>multiple_regression!$O$18+multiple_regression!$O$19*cleaned_data!$F$185+multiple_regression!$O$20*cleaned_data!$E$185+multiple_regression!$O$21*cleaned_data!$I$185+multiple_regression!$O$22*cleaned_data!$H$185+multiple_regression!$O$23*dummy_variables!$D$185+multiple_regression!$O$24*dummy_variables!$E$185+multiple_regression!$O$25*dummy_variables!$F$185+multiple_regression!$O$26*dummy_variables!$G$185+multiple_regression!$O$27*dummy_variables!$H$185+multiple_regression!$O$28*dummy_variables!$I$185</f>
        <v>842740.4642357917</v>
      </c>
      <c r="G185" s="26">
        <f t="shared" si="2"/>
        <v>12600.815764208324</v>
      </c>
    </row>
    <row r="186" spans="1:7" ht="15" customHeight="1">
      <c r="A186" s="5" t="str">
        <f>cleaned_data!$A$186</f>
        <v>STR-1046</v>
      </c>
      <c r="B186" s="25" t="str">
        <f>cleaned_data!$B$186</f>
        <v>2025-02-01</v>
      </c>
      <c r="C186" s="5" t="str">
        <f>cleaned_data!$C$186</f>
        <v>West</v>
      </c>
      <c r="D186" s="5" t="str">
        <f>cleaned_data!$D$186</f>
        <v>Residential</v>
      </c>
      <c r="E186" s="26">
        <f>cleaned_data!$M$186</f>
        <v>751393.88</v>
      </c>
      <c r="F186" s="26">
        <f>multiple_regression!$O$18+multiple_regression!$O$19*cleaned_data!$F$186+multiple_regression!$O$20*cleaned_data!$E$186+multiple_regression!$O$21*cleaned_data!$I$186+multiple_regression!$O$22*cleaned_data!$H$186+multiple_regression!$O$23*dummy_variables!$D$186+multiple_regression!$O$24*dummy_variables!$E$186+multiple_regression!$O$25*dummy_variables!$F$186+multiple_regression!$O$26*dummy_variables!$G$186+multiple_regression!$O$27*dummy_variables!$H$186+multiple_regression!$O$28*dummy_variables!$I$186</f>
        <v>747001.52789726993</v>
      </c>
      <c r="G186" s="26">
        <f t="shared" si="2"/>
        <v>4392.352102730074</v>
      </c>
    </row>
    <row r="187" spans="1:7" ht="15" customHeight="1">
      <c r="A187" s="5" t="str">
        <f>cleaned_data!$A$187</f>
        <v>STR-1046</v>
      </c>
      <c r="B187" s="25" t="str">
        <f>cleaned_data!$B$187</f>
        <v>2025-03-01</v>
      </c>
      <c r="C187" s="5" t="str">
        <f>cleaned_data!$C$187</f>
        <v>West</v>
      </c>
      <c r="D187" s="5" t="str">
        <f>cleaned_data!$D$187</f>
        <v>Residential</v>
      </c>
      <c r="E187" s="26">
        <f>cleaned_data!$M$187</f>
        <v>761077.08</v>
      </c>
      <c r="F187" s="26">
        <f>multiple_regression!$O$18+multiple_regression!$O$19*cleaned_data!$F$187+multiple_regression!$O$20*cleaned_data!$E$187+multiple_regression!$O$21*cleaned_data!$I$187+multiple_regression!$O$22*cleaned_data!$H$187+multiple_regression!$O$23*dummy_variables!$D$187+multiple_regression!$O$24*dummy_variables!$E$187+multiple_regression!$O$25*dummy_variables!$F$187+multiple_regression!$O$26*dummy_variables!$G$187+multiple_regression!$O$27*dummy_variables!$H$187+multiple_regression!$O$28*dummy_variables!$I$187</f>
        <v>759777.38971609552</v>
      </c>
      <c r="G187" s="26">
        <f t="shared" si="2"/>
        <v>1299.6902839044342</v>
      </c>
    </row>
    <row r="188" spans="1:7" ht="15" customHeight="1">
      <c r="A188" s="5" t="str">
        <f>cleaned_data!$A$188</f>
        <v>STR-1046</v>
      </c>
      <c r="B188" s="25" t="str">
        <f>cleaned_data!$B$188</f>
        <v>2025-04-01</v>
      </c>
      <c r="C188" s="5" t="str">
        <f>cleaned_data!$C$188</f>
        <v>West</v>
      </c>
      <c r="D188" s="5" t="str">
        <f>cleaned_data!$D$188</f>
        <v>Residential</v>
      </c>
      <c r="E188" s="26">
        <f>cleaned_data!$M$188</f>
        <v>819660.59</v>
      </c>
      <c r="F188" s="26">
        <f>multiple_regression!$O$18+multiple_regression!$O$19*cleaned_data!$F$188+multiple_regression!$O$20*cleaned_data!$E$188+multiple_regression!$O$21*cleaned_data!$I$188+multiple_regression!$O$22*cleaned_data!$H$188+multiple_regression!$O$23*dummy_variables!$D$188+multiple_regression!$O$24*dummy_variables!$E$188+multiple_regression!$O$25*dummy_variables!$F$188+multiple_regression!$O$26*dummy_variables!$G$188+multiple_regression!$O$27*dummy_variables!$H$188+multiple_regression!$O$28*dummy_variables!$I$188</f>
        <v>823354.30256964301</v>
      </c>
      <c r="G188" s="26">
        <f t="shared" si="2"/>
        <v>-3693.7125696430448</v>
      </c>
    </row>
    <row r="189" spans="1:7" ht="15" customHeight="1">
      <c r="A189" s="5" t="str">
        <f>cleaned_data!$A$189</f>
        <v>STR-1047</v>
      </c>
      <c r="B189" s="25" t="str">
        <f>cleaned_data!$B$189</f>
        <v>2025-01-01</v>
      </c>
      <c r="C189" s="5" t="str">
        <f>cleaned_data!$C$189</f>
        <v>North</v>
      </c>
      <c r="D189" s="5" t="str">
        <f>cleaned_data!$D$189</f>
        <v>High Street</v>
      </c>
      <c r="E189" s="26">
        <f>cleaned_data!$M$189</f>
        <v>681855.56</v>
      </c>
      <c r="F189" s="26">
        <f>multiple_regression!$O$18+multiple_regression!$O$19*cleaned_data!$F$189+multiple_regression!$O$20*cleaned_data!$E$189+multiple_regression!$O$21*cleaned_data!$I$189+multiple_regression!$O$22*cleaned_data!$H$189+multiple_regression!$O$23*dummy_variables!$D$189+multiple_regression!$O$24*dummy_variables!$E$189+multiple_regression!$O$25*dummy_variables!$F$189+multiple_regression!$O$26*dummy_variables!$G$189+multiple_regression!$O$27*dummy_variables!$H$189+multiple_regression!$O$28*dummy_variables!$I$189</f>
        <v>688956.11307196273</v>
      </c>
      <c r="G189" s="26">
        <f t="shared" si="2"/>
        <v>-7100.5530719626695</v>
      </c>
    </row>
    <row r="190" spans="1:7" ht="15" customHeight="1">
      <c r="A190" s="5" t="str">
        <f>cleaned_data!$A$190</f>
        <v>STR-1047</v>
      </c>
      <c r="B190" s="25" t="str">
        <f>cleaned_data!$B$190</f>
        <v>2025-02-01</v>
      </c>
      <c r="C190" s="5" t="str">
        <f>cleaned_data!$C$190</f>
        <v>North</v>
      </c>
      <c r="D190" s="5" t="str">
        <f>cleaned_data!$D$190</f>
        <v>High Street</v>
      </c>
      <c r="E190" s="26">
        <f>cleaned_data!$M$190</f>
        <v>678311.17</v>
      </c>
      <c r="F190" s="26">
        <f>multiple_regression!$O$18+multiple_regression!$O$19*cleaned_data!$F$190+multiple_regression!$O$20*cleaned_data!$E$190+multiple_regression!$O$21*cleaned_data!$I$190+multiple_regression!$O$22*cleaned_data!$H$190+multiple_regression!$O$23*dummy_variables!$D$190+multiple_regression!$O$24*dummy_variables!$E$190+multiple_regression!$O$25*dummy_variables!$F$190+multiple_regression!$O$26*dummy_variables!$G$190+multiple_regression!$O$27*dummy_variables!$H$190+multiple_regression!$O$28*dummy_variables!$I$190</f>
        <v>658595.0628888713</v>
      </c>
      <c r="G190" s="26">
        <f t="shared" si="2"/>
        <v>19716.107111128746</v>
      </c>
    </row>
    <row r="191" spans="1:7" ht="15" customHeight="1">
      <c r="A191" s="5" t="str">
        <f>cleaned_data!$A$191</f>
        <v>STR-1047</v>
      </c>
      <c r="B191" s="25" t="str">
        <f>cleaned_data!$B$191</f>
        <v>2025-03-01</v>
      </c>
      <c r="C191" s="5" t="str">
        <f>cleaned_data!$C$191</f>
        <v>North</v>
      </c>
      <c r="D191" s="5" t="str">
        <f>cleaned_data!$D$191</f>
        <v>High Street</v>
      </c>
      <c r="E191" s="26">
        <f>cleaned_data!$M$191</f>
        <v>765906.95</v>
      </c>
      <c r="F191" s="26">
        <f>multiple_regression!$O$18+multiple_regression!$O$19*cleaned_data!$F$191+multiple_regression!$O$20*cleaned_data!$E$191+multiple_regression!$O$21*cleaned_data!$I$191+multiple_regression!$O$22*cleaned_data!$H$191+multiple_regression!$O$23*dummy_variables!$D$191+multiple_regression!$O$24*dummy_variables!$E$191+multiple_regression!$O$25*dummy_variables!$F$191+multiple_regression!$O$26*dummy_variables!$G$191+multiple_regression!$O$27*dummy_variables!$H$191+multiple_regression!$O$28*dummy_variables!$I$191</f>
        <v>692057.3090001574</v>
      </c>
      <c r="G191" s="26">
        <f t="shared" si="2"/>
        <v>73849.640999842552</v>
      </c>
    </row>
    <row r="192" spans="1:7" ht="15" customHeight="1">
      <c r="A192" s="5" t="str">
        <f>cleaned_data!$A$192</f>
        <v>STR-1047</v>
      </c>
      <c r="B192" s="25" t="str">
        <f>cleaned_data!$B$192</f>
        <v>2025-04-01</v>
      </c>
      <c r="C192" s="5" t="str">
        <f>cleaned_data!$C$192</f>
        <v>North</v>
      </c>
      <c r="D192" s="5" t="str">
        <f>cleaned_data!$D$192</f>
        <v>High Street</v>
      </c>
      <c r="E192" s="26">
        <f>cleaned_data!$M$192</f>
        <v>712546.38</v>
      </c>
      <c r="F192" s="26">
        <f>multiple_regression!$O$18+multiple_regression!$O$19*cleaned_data!$F$192+multiple_regression!$O$20*cleaned_data!$E$192+multiple_regression!$O$21*cleaned_data!$I$192+multiple_regression!$O$22*cleaned_data!$H$192+multiple_regression!$O$23*dummy_variables!$D$192+multiple_regression!$O$24*dummy_variables!$E$192+multiple_regression!$O$25*dummy_variables!$F$192+multiple_regression!$O$26*dummy_variables!$G$192+multiple_regression!$O$27*dummy_variables!$H$192+multiple_regression!$O$28*dummy_variables!$I$192</f>
        <v>706292.651794101</v>
      </c>
      <c r="G192" s="26">
        <f t="shared" si="2"/>
        <v>6253.7282058990095</v>
      </c>
    </row>
    <row r="193" spans="1:7" ht="15" customHeight="1">
      <c r="A193" s="5" t="str">
        <f>cleaned_data!$A$193</f>
        <v>STR-1048</v>
      </c>
      <c r="B193" s="25" t="str">
        <f>cleaned_data!$B$193</f>
        <v>2025-01-01</v>
      </c>
      <c r="C193" s="5" t="str">
        <f>cleaned_data!$C$193</f>
        <v>East</v>
      </c>
      <c r="D193" s="5" t="str">
        <f>cleaned_data!$D$193</f>
        <v>High Street</v>
      </c>
      <c r="E193" s="26">
        <f>cleaned_data!$M$193</f>
        <v>625993.82999999996</v>
      </c>
      <c r="F193" s="26">
        <f>multiple_regression!$O$18+multiple_regression!$O$19*cleaned_data!$F$193+multiple_regression!$O$20*cleaned_data!$E$193+multiple_regression!$O$21*cleaned_data!$I$193+multiple_regression!$O$22*cleaned_data!$H$193+multiple_regression!$O$23*dummy_variables!$D$193+multiple_regression!$O$24*dummy_variables!$E$193+multiple_regression!$O$25*dummy_variables!$F$193+multiple_regression!$O$26*dummy_variables!$G$193+multiple_regression!$O$27*dummy_variables!$H$193+multiple_regression!$O$28*dummy_variables!$I$193</f>
        <v>579176.44413541351</v>
      </c>
      <c r="G193" s="26">
        <f t="shared" si="2"/>
        <v>46817.385864586453</v>
      </c>
    </row>
    <row r="194" spans="1:7" ht="15" customHeight="1">
      <c r="A194" s="5" t="str">
        <f>cleaned_data!$A$194</f>
        <v>STR-1048</v>
      </c>
      <c r="B194" s="25" t="str">
        <f>cleaned_data!$B$194</f>
        <v>2025-02-01</v>
      </c>
      <c r="C194" s="5" t="str">
        <f>cleaned_data!$C$194</f>
        <v>East</v>
      </c>
      <c r="D194" s="5" t="str">
        <f>cleaned_data!$D$194</f>
        <v>High Street</v>
      </c>
      <c r="E194" s="26">
        <f>cleaned_data!$M$194</f>
        <v>550962.93000000005</v>
      </c>
      <c r="F194" s="26">
        <f>multiple_regression!$O$18+multiple_regression!$O$19*cleaned_data!$F$194+multiple_regression!$O$20*cleaned_data!$E$194+multiple_regression!$O$21*cleaned_data!$I$194+multiple_regression!$O$22*cleaned_data!$H$194+multiple_regression!$O$23*dummy_variables!$D$194+multiple_regression!$O$24*dummy_variables!$E$194+multiple_regression!$O$25*dummy_variables!$F$194+multiple_regression!$O$26*dummy_variables!$G$194+multiple_regression!$O$27*dummy_variables!$H$194+multiple_regression!$O$28*dummy_variables!$I$194</f>
        <v>538074.60785056162</v>
      </c>
      <c r="G194" s="26">
        <f t="shared" si="2"/>
        <v>12888.322149438434</v>
      </c>
    </row>
    <row r="195" spans="1:7" ht="15" customHeight="1">
      <c r="A195" s="5" t="str">
        <f>cleaned_data!$A$195</f>
        <v>STR-1048</v>
      </c>
      <c r="B195" s="25" t="str">
        <f>cleaned_data!$B$195</f>
        <v>2025-03-01</v>
      </c>
      <c r="C195" s="5" t="str">
        <f>cleaned_data!$C$195</f>
        <v>East</v>
      </c>
      <c r="D195" s="5" t="str">
        <f>cleaned_data!$D$195</f>
        <v>High Street</v>
      </c>
      <c r="E195" s="26">
        <f>cleaned_data!$M$195</f>
        <v>443275.59</v>
      </c>
      <c r="F195" s="26">
        <f>multiple_regression!$O$18+multiple_regression!$O$19*cleaned_data!$F$195+multiple_regression!$O$20*cleaned_data!$E$195+multiple_regression!$O$21*cleaned_data!$I$195+multiple_regression!$O$22*cleaned_data!$H$195+multiple_regression!$O$23*dummy_variables!$D$195+multiple_regression!$O$24*dummy_variables!$E$195+multiple_regression!$O$25*dummy_variables!$F$195+multiple_regression!$O$26*dummy_variables!$G$195+multiple_regression!$O$27*dummy_variables!$H$195+multiple_regression!$O$28*dummy_variables!$I$195</f>
        <v>462340.31294459343</v>
      </c>
      <c r="G195" s="26">
        <f t="shared" si="2"/>
        <v>-19064.722944593406</v>
      </c>
    </row>
    <row r="196" spans="1:7" ht="15" customHeight="1">
      <c r="A196" s="5" t="str">
        <f>cleaned_data!$A$196</f>
        <v>STR-1048</v>
      </c>
      <c r="B196" s="25" t="str">
        <f>cleaned_data!$B$196</f>
        <v>2025-04-01</v>
      </c>
      <c r="C196" s="5" t="str">
        <f>cleaned_data!$C$196</f>
        <v>East</v>
      </c>
      <c r="D196" s="5" t="str">
        <f>cleaned_data!$D$196</f>
        <v>High Street</v>
      </c>
      <c r="E196" s="26">
        <f>cleaned_data!$M$196</f>
        <v>554012.06999999995</v>
      </c>
      <c r="F196" s="26">
        <f>multiple_regression!$O$18+multiple_regression!$O$19*cleaned_data!$F$196+multiple_regression!$O$20*cleaned_data!$E$196+multiple_regression!$O$21*cleaned_data!$I$196+multiple_regression!$O$22*cleaned_data!$H$196+multiple_regression!$O$23*dummy_variables!$D$196+multiple_regression!$O$24*dummy_variables!$E$196+multiple_regression!$O$25*dummy_variables!$F$196+multiple_regression!$O$26*dummy_variables!$G$196+multiple_regression!$O$27*dummy_variables!$H$196+multiple_regression!$O$28*dummy_variables!$I$196</f>
        <v>598530.40001974208</v>
      </c>
      <c r="G196" s="26">
        <f t="shared" si="2"/>
        <v>-44518.330019742134</v>
      </c>
    </row>
    <row r="197" spans="1:7" ht="15" customHeight="1">
      <c r="A197" s="5" t="str">
        <f>cleaned_data!$A$197</f>
        <v>STR-1049</v>
      </c>
      <c r="B197" s="25" t="str">
        <f>cleaned_data!$B$197</f>
        <v>2025-01-01</v>
      </c>
      <c r="C197" s="5" t="str">
        <f>cleaned_data!$C$197</f>
        <v>West</v>
      </c>
      <c r="D197" s="5" t="str">
        <f>cleaned_data!$D$197</f>
        <v>Residential</v>
      </c>
      <c r="E197" s="26">
        <f>cleaned_data!$M$197</f>
        <v>643428.85</v>
      </c>
      <c r="F197" s="26">
        <f>multiple_regression!$O$18+multiple_regression!$O$19*cleaned_data!$F$197+multiple_regression!$O$20*cleaned_data!$E$197+multiple_regression!$O$21*cleaned_data!$I$197+multiple_regression!$O$22*cleaned_data!$H$197+multiple_regression!$O$23*dummy_variables!$D$197+multiple_regression!$O$24*dummy_variables!$E$197+multiple_regression!$O$25*dummy_variables!$F$197+multiple_regression!$O$26*dummy_variables!$G$197+multiple_regression!$O$27*dummy_variables!$H$197+multiple_regression!$O$28*dummy_variables!$I$197</f>
        <v>682463.95023221953</v>
      </c>
      <c r="G197" s="26">
        <f t="shared" ref="G197:G260" si="3">E197-F197</f>
        <v>-39035.100232219556</v>
      </c>
    </row>
    <row r="198" spans="1:7" ht="15" customHeight="1">
      <c r="A198" s="5" t="str">
        <f>cleaned_data!$A$198</f>
        <v>STR-1049</v>
      </c>
      <c r="B198" s="25" t="str">
        <f>cleaned_data!$B$198</f>
        <v>2025-02-01</v>
      </c>
      <c r="C198" s="5" t="str">
        <f>cleaned_data!$C$198</f>
        <v>West</v>
      </c>
      <c r="D198" s="5" t="str">
        <f>cleaned_data!$D$198</f>
        <v>Residential</v>
      </c>
      <c r="E198" s="26">
        <f>cleaned_data!$M$198</f>
        <v>611924.27</v>
      </c>
      <c r="F198" s="26">
        <f>multiple_regression!$O$18+multiple_regression!$O$19*cleaned_data!$F$198+multiple_regression!$O$20*cleaned_data!$E$198+multiple_regression!$O$21*cleaned_data!$I$198+multiple_regression!$O$22*cleaned_data!$H$198+multiple_regression!$O$23*dummy_variables!$D$198+multiple_regression!$O$24*dummy_variables!$E$198+multiple_regression!$O$25*dummy_variables!$F$198+multiple_regression!$O$26*dummy_variables!$G$198+multiple_regression!$O$27*dummy_variables!$H$198+multiple_regression!$O$28*dummy_variables!$I$198</f>
        <v>613090.41944931576</v>
      </c>
      <c r="G198" s="26">
        <f t="shared" si="3"/>
        <v>-1166.149449315737</v>
      </c>
    </row>
    <row r="199" spans="1:7" ht="15" customHeight="1">
      <c r="A199" s="5" t="str">
        <f>cleaned_data!$A$199</f>
        <v>STR-1049</v>
      </c>
      <c r="B199" s="25" t="str">
        <f>cleaned_data!$B$199</f>
        <v>2025-03-01</v>
      </c>
      <c r="C199" s="5" t="str">
        <f>cleaned_data!$C$199</f>
        <v>West</v>
      </c>
      <c r="D199" s="5" t="str">
        <f>cleaned_data!$D$199</f>
        <v>Residential</v>
      </c>
      <c r="E199" s="26">
        <f>cleaned_data!$M$199</f>
        <v>559422.02</v>
      </c>
      <c r="F199" s="26">
        <f>multiple_regression!$O$18+multiple_regression!$O$19*cleaned_data!$F$199+multiple_regression!$O$20*cleaned_data!$E$199+multiple_regression!$O$21*cleaned_data!$I$199+multiple_regression!$O$22*cleaned_data!$H$199+multiple_regression!$O$23*dummy_variables!$D$199+multiple_regression!$O$24*dummy_variables!$E$199+multiple_regression!$O$25*dummy_variables!$F$199+multiple_regression!$O$26*dummy_variables!$G$199+multiple_regression!$O$27*dummy_variables!$H$199+multiple_regression!$O$28*dummy_variables!$I$199</f>
        <v>560747.70467942022</v>
      </c>
      <c r="G199" s="26">
        <f t="shared" si="3"/>
        <v>-1325.6846794201992</v>
      </c>
    </row>
    <row r="200" spans="1:7" ht="15" customHeight="1">
      <c r="A200" s="5" t="str">
        <f>cleaned_data!$A$200</f>
        <v>STR-1049</v>
      </c>
      <c r="B200" s="25" t="str">
        <f>cleaned_data!$B$200</f>
        <v>2025-04-01</v>
      </c>
      <c r="C200" s="5" t="str">
        <f>cleaned_data!$C$200</f>
        <v>West</v>
      </c>
      <c r="D200" s="5" t="str">
        <f>cleaned_data!$D$200</f>
        <v>Residential</v>
      </c>
      <c r="E200" s="26">
        <f>cleaned_data!$M$200</f>
        <v>449465.06</v>
      </c>
      <c r="F200" s="26">
        <f>multiple_regression!$O$18+multiple_regression!$O$19*cleaned_data!$F$200+multiple_regression!$O$20*cleaned_data!$E$200+multiple_regression!$O$21*cleaned_data!$I$200+multiple_regression!$O$22*cleaned_data!$H$200+multiple_regression!$O$23*dummy_variables!$D$200+multiple_regression!$O$24*dummy_variables!$E$200+multiple_regression!$O$25*dummy_variables!$F$200+multiple_regression!$O$26*dummy_variables!$G$200+multiple_regression!$O$27*dummy_variables!$H$200+multiple_regression!$O$28*dummy_variables!$I$200</f>
        <v>520616.05179471779</v>
      </c>
      <c r="G200" s="26">
        <f t="shared" si="3"/>
        <v>-71150.991794717789</v>
      </c>
    </row>
    <row r="201" spans="1:7" ht="15" customHeight="1">
      <c r="A201" s="5" t="str">
        <f>cleaned_data!$A$201</f>
        <v>STR-1050</v>
      </c>
      <c r="B201" s="25" t="str">
        <f>cleaned_data!$B$201</f>
        <v>2025-01-01</v>
      </c>
      <c r="C201" s="5" t="str">
        <f>cleaned_data!$C$201</f>
        <v>North</v>
      </c>
      <c r="D201" s="5" t="str">
        <f>cleaned_data!$D$201</f>
        <v>Residential</v>
      </c>
      <c r="E201" s="26">
        <f>cleaned_data!$M$201</f>
        <v>691447.43</v>
      </c>
      <c r="F201" s="26">
        <f>multiple_regression!$O$18+multiple_regression!$O$19*cleaned_data!$F$201+multiple_regression!$O$20*cleaned_data!$E$201+multiple_regression!$O$21*cleaned_data!$I$201+multiple_regression!$O$22*cleaned_data!$H$201+multiple_regression!$O$23*dummy_variables!$D$201+multiple_regression!$O$24*dummy_variables!$E$201+multiple_regression!$O$25*dummy_variables!$F$201+multiple_regression!$O$26*dummy_variables!$G$201+multiple_regression!$O$27*dummy_variables!$H$201+multiple_regression!$O$28*dummy_variables!$I$201</f>
        <v>621437.69851795479</v>
      </c>
      <c r="G201" s="26">
        <f t="shared" si="3"/>
        <v>70009.731482045259</v>
      </c>
    </row>
    <row r="202" spans="1:7" ht="15" customHeight="1">
      <c r="A202" s="5" t="str">
        <f>cleaned_data!$A$202</f>
        <v>STR-1050</v>
      </c>
      <c r="B202" s="25" t="str">
        <f>cleaned_data!$B$202</f>
        <v>2025-02-01</v>
      </c>
      <c r="C202" s="5" t="str">
        <f>cleaned_data!$C$202</f>
        <v>North</v>
      </c>
      <c r="D202" s="5" t="str">
        <f>cleaned_data!$D$202</f>
        <v>Residential</v>
      </c>
      <c r="E202" s="26">
        <f>cleaned_data!$M$202</f>
        <v>574066.61</v>
      </c>
      <c r="F202" s="26">
        <f>multiple_regression!$O$18+multiple_regression!$O$19*cleaned_data!$F$202+multiple_regression!$O$20*cleaned_data!$E$202+multiple_regression!$O$21*cleaned_data!$I$202+multiple_regression!$O$22*cleaned_data!$H$202+multiple_regression!$O$23*dummy_variables!$D$202+multiple_regression!$O$24*dummy_variables!$E$202+multiple_regression!$O$25*dummy_variables!$F$202+multiple_regression!$O$26*dummy_variables!$G$202+multiple_regression!$O$27*dummy_variables!$H$202+multiple_regression!$O$28*dummy_variables!$I$202</f>
        <v>597242.72937896987</v>
      </c>
      <c r="G202" s="26">
        <f t="shared" si="3"/>
        <v>-23176.119378969888</v>
      </c>
    </row>
    <row r="203" spans="1:7" ht="15" customHeight="1">
      <c r="A203" s="5" t="str">
        <f>cleaned_data!$A$203</f>
        <v>STR-1050</v>
      </c>
      <c r="B203" s="25" t="str">
        <f>cleaned_data!$B$203</f>
        <v>2025-03-01</v>
      </c>
      <c r="C203" s="5" t="str">
        <f>cleaned_data!$C$203</f>
        <v>North</v>
      </c>
      <c r="D203" s="5" t="str">
        <f>cleaned_data!$D$203</f>
        <v>Residential</v>
      </c>
      <c r="E203" s="26">
        <f>cleaned_data!$M$203</f>
        <v>578949.84</v>
      </c>
      <c r="F203" s="26">
        <f>multiple_regression!$O$18+multiple_regression!$O$19*cleaned_data!$F$203+multiple_regression!$O$20*cleaned_data!$E$203+multiple_regression!$O$21*cleaned_data!$I$203+multiple_regression!$O$22*cleaned_data!$H$203+multiple_regression!$O$23*dummy_variables!$D$203+multiple_regression!$O$24*dummy_variables!$E$203+multiple_regression!$O$25*dummy_variables!$F$203+multiple_regression!$O$26*dummy_variables!$G$203+multiple_regression!$O$27*dummy_variables!$H$203+multiple_regression!$O$28*dummy_variables!$I$203</f>
        <v>597029.24254944117</v>
      </c>
      <c r="G203" s="26">
        <f t="shared" si="3"/>
        <v>-18079.402549441205</v>
      </c>
    </row>
    <row r="204" spans="1:7" ht="15" customHeight="1">
      <c r="A204" s="5" t="str">
        <f>cleaned_data!$A$204</f>
        <v>STR-1050</v>
      </c>
      <c r="B204" s="25" t="str">
        <f>cleaned_data!$B$204</f>
        <v>2025-04-01</v>
      </c>
      <c r="C204" s="5" t="str">
        <f>cleaned_data!$C$204</f>
        <v>North</v>
      </c>
      <c r="D204" s="5" t="str">
        <f>cleaned_data!$D$204</f>
        <v>Residential</v>
      </c>
      <c r="E204" s="26">
        <f>cleaned_data!$M$204</f>
        <v>735786.64</v>
      </c>
      <c r="F204" s="26">
        <f>multiple_regression!$O$18+multiple_regression!$O$19*cleaned_data!$F$204+multiple_regression!$O$20*cleaned_data!$E$204+multiple_regression!$O$21*cleaned_data!$I$204+multiple_regression!$O$22*cleaned_data!$H$204+multiple_regression!$O$23*dummy_variables!$D$204+multiple_regression!$O$24*dummy_variables!$E$204+multiple_regression!$O$25*dummy_variables!$F$204+multiple_regression!$O$26*dummy_variables!$G$204+multiple_regression!$O$27*dummy_variables!$H$204+multiple_regression!$O$28*dummy_variables!$I$204</f>
        <v>647338.41264509084</v>
      </c>
      <c r="G204" s="26">
        <f t="shared" si="3"/>
        <v>88448.227354909177</v>
      </c>
    </row>
    <row r="205" spans="1:7" ht="15" customHeight="1">
      <c r="A205" s="5" t="str">
        <f>cleaned_data!$A$205</f>
        <v>STR-1051</v>
      </c>
      <c r="B205" s="25" t="str">
        <f>cleaned_data!$B$205</f>
        <v>2025-01-01</v>
      </c>
      <c r="C205" s="5" t="str">
        <f>cleaned_data!$C$205</f>
        <v>East</v>
      </c>
      <c r="D205" s="5" t="str">
        <f>cleaned_data!$D$205</f>
        <v>Airport</v>
      </c>
      <c r="E205" s="26">
        <f>cleaned_data!$M$205</f>
        <v>598904.9</v>
      </c>
      <c r="F205" s="26">
        <f>multiple_regression!$O$18+multiple_regression!$O$19*cleaned_data!$F$205+multiple_regression!$O$20*cleaned_data!$E$205+multiple_regression!$O$21*cleaned_data!$I$205+multiple_regression!$O$22*cleaned_data!$H$205+multiple_regression!$O$23*dummy_variables!$D$205+multiple_regression!$O$24*dummy_variables!$E$205+multiple_regression!$O$25*dummy_variables!$F$205+multiple_regression!$O$26*dummy_variables!$G$205+multiple_regression!$O$27*dummy_variables!$H$205+multiple_regression!$O$28*dummy_variables!$I$205</f>
        <v>613390.73809995363</v>
      </c>
      <c r="G205" s="26">
        <f t="shared" si="3"/>
        <v>-14485.838099953602</v>
      </c>
    </row>
    <row r="206" spans="1:7" ht="15" customHeight="1">
      <c r="A206" s="5" t="str">
        <f>cleaned_data!$A$206</f>
        <v>STR-1051</v>
      </c>
      <c r="B206" s="25" t="str">
        <f>cleaned_data!$B$206</f>
        <v>2025-02-01</v>
      </c>
      <c r="C206" s="5" t="str">
        <f>cleaned_data!$C$206</f>
        <v>East</v>
      </c>
      <c r="D206" s="5" t="str">
        <f>cleaned_data!$D$206</f>
        <v>Airport</v>
      </c>
      <c r="E206" s="26">
        <f>cleaned_data!$M$206</f>
        <v>787715.51</v>
      </c>
      <c r="F206" s="26">
        <f>multiple_regression!$O$18+multiple_regression!$O$19*cleaned_data!$F$206+multiple_regression!$O$20*cleaned_data!$E$206+multiple_regression!$O$21*cleaned_data!$I$206+multiple_regression!$O$22*cleaned_data!$H$206+multiple_regression!$O$23*dummy_variables!$D$206+multiple_regression!$O$24*dummy_variables!$E$206+multiple_regression!$O$25*dummy_variables!$F$206+multiple_regression!$O$26*dummy_variables!$G$206+multiple_regression!$O$27*dummy_variables!$H$206+multiple_regression!$O$28*dummy_variables!$I$206</f>
        <v>690488.43488574272</v>
      </c>
      <c r="G206" s="26">
        <f t="shared" si="3"/>
        <v>97227.075114257284</v>
      </c>
    </row>
    <row r="207" spans="1:7" ht="15" customHeight="1">
      <c r="A207" s="5" t="str">
        <f>cleaned_data!$A$207</f>
        <v>STR-1051</v>
      </c>
      <c r="B207" s="25" t="str">
        <f>cleaned_data!$B$207</f>
        <v>2025-03-01</v>
      </c>
      <c r="C207" s="5" t="str">
        <f>cleaned_data!$C$207</f>
        <v>East</v>
      </c>
      <c r="D207" s="5" t="str">
        <f>cleaned_data!$D$207</f>
        <v>Airport</v>
      </c>
      <c r="E207" s="26">
        <f>cleaned_data!$M$207</f>
        <v>607084.92000000004</v>
      </c>
      <c r="F207" s="26">
        <f>multiple_regression!$O$18+multiple_regression!$O$19*cleaned_data!$F$207+multiple_regression!$O$20*cleaned_data!$E$207+multiple_regression!$O$21*cleaned_data!$I$207+multiple_regression!$O$22*cleaned_data!$H$207+multiple_regression!$O$23*dummy_variables!$D$207+multiple_regression!$O$24*dummy_variables!$E$207+multiple_regression!$O$25*dummy_variables!$F$207+multiple_regression!$O$26*dummy_variables!$G$207+multiple_regression!$O$27*dummy_variables!$H$207+multiple_regression!$O$28*dummy_variables!$I$207</f>
        <v>648226.38789773779</v>
      </c>
      <c r="G207" s="26">
        <f t="shared" si="3"/>
        <v>-41141.467897737748</v>
      </c>
    </row>
    <row r="208" spans="1:7" ht="15" customHeight="1">
      <c r="A208" s="5" t="str">
        <f>cleaned_data!$A$208</f>
        <v>STR-1051</v>
      </c>
      <c r="B208" s="25" t="str">
        <f>cleaned_data!$B$208</f>
        <v>2025-04-01</v>
      </c>
      <c r="C208" s="5" t="str">
        <f>cleaned_data!$C$208</f>
        <v>East</v>
      </c>
      <c r="D208" s="5" t="str">
        <f>cleaned_data!$D$208</f>
        <v>Airport</v>
      </c>
      <c r="E208" s="26">
        <f>cleaned_data!$M$208</f>
        <v>650795.49</v>
      </c>
      <c r="F208" s="26">
        <f>multiple_regression!$O$18+multiple_regression!$O$19*cleaned_data!$F$208+multiple_regression!$O$20*cleaned_data!$E$208+multiple_regression!$O$21*cleaned_data!$I$208+multiple_regression!$O$22*cleaned_data!$H$208+multiple_regression!$O$23*dummy_variables!$D$208+multiple_regression!$O$24*dummy_variables!$E$208+multiple_regression!$O$25*dummy_variables!$F$208+multiple_regression!$O$26*dummy_variables!$G$208+multiple_regression!$O$27*dummy_variables!$H$208+multiple_regression!$O$28*dummy_variables!$I$208</f>
        <v>683263.62297589076</v>
      </c>
      <c r="G208" s="26">
        <f t="shared" si="3"/>
        <v>-32468.132975890767</v>
      </c>
    </row>
    <row r="209" spans="1:7" ht="15" customHeight="1">
      <c r="A209" s="5" t="str">
        <f>cleaned_data!$A$209</f>
        <v>STR-1052</v>
      </c>
      <c r="B209" s="25" t="str">
        <f>cleaned_data!$B$209</f>
        <v>2025-01-01</v>
      </c>
      <c r="C209" s="5" t="str">
        <f>cleaned_data!$C$209</f>
        <v>East</v>
      </c>
      <c r="D209" s="5" t="str">
        <f>cleaned_data!$D$209</f>
        <v>Mall</v>
      </c>
      <c r="E209" s="26">
        <f>cleaned_data!$M$209</f>
        <v>825060.52</v>
      </c>
      <c r="F209" s="26">
        <f>multiple_regression!$O$18+multiple_regression!$O$19*cleaned_data!$F$209+multiple_regression!$O$20*cleaned_data!$E$209+multiple_regression!$O$21*cleaned_data!$I$209+multiple_regression!$O$22*cleaned_data!$H$209+multiple_regression!$O$23*dummy_variables!$D$209+multiple_regression!$O$24*dummy_variables!$E$209+multiple_regression!$O$25*dummy_variables!$F$209+multiple_regression!$O$26*dummy_variables!$G$209+multiple_regression!$O$27*dummy_variables!$H$209+multiple_regression!$O$28*dummy_variables!$I$209</f>
        <v>847478.79378751386</v>
      </c>
      <c r="G209" s="26">
        <f t="shared" si="3"/>
        <v>-22418.273787513841</v>
      </c>
    </row>
    <row r="210" spans="1:7" ht="15" customHeight="1">
      <c r="A210" s="5" t="str">
        <f>cleaned_data!$A$210</f>
        <v>STR-1052</v>
      </c>
      <c r="B210" s="25" t="str">
        <f>cleaned_data!$B$210</f>
        <v>2025-02-01</v>
      </c>
      <c r="C210" s="5" t="str">
        <f>cleaned_data!$C$210</f>
        <v>East</v>
      </c>
      <c r="D210" s="5" t="str">
        <f>cleaned_data!$D$210</f>
        <v>Mall</v>
      </c>
      <c r="E210" s="26">
        <f>cleaned_data!$M$210</f>
        <v>795464.47</v>
      </c>
      <c r="F210" s="26">
        <f>multiple_regression!$O$18+multiple_regression!$O$19*cleaned_data!$F$210+multiple_regression!$O$20*cleaned_data!$E$210+multiple_regression!$O$21*cleaned_data!$I$210+multiple_regression!$O$22*cleaned_data!$H$210+multiple_regression!$O$23*dummy_variables!$D$210+multiple_regression!$O$24*dummy_variables!$E$210+multiple_regression!$O$25*dummy_variables!$F$210+multiple_regression!$O$26*dummy_variables!$G$210+multiple_regression!$O$27*dummy_variables!$H$210+multiple_regression!$O$28*dummy_variables!$I$210</f>
        <v>742420.0591704828</v>
      </c>
      <c r="G210" s="26">
        <f t="shared" si="3"/>
        <v>53044.410829517175</v>
      </c>
    </row>
    <row r="211" spans="1:7" ht="15" customHeight="1">
      <c r="A211" s="5" t="str">
        <f>cleaned_data!$A$211</f>
        <v>STR-1052</v>
      </c>
      <c r="B211" s="25" t="str">
        <f>cleaned_data!$B$211</f>
        <v>2025-03-01</v>
      </c>
      <c r="C211" s="5" t="str">
        <f>cleaned_data!$C$211</f>
        <v>East</v>
      </c>
      <c r="D211" s="5" t="str">
        <f>cleaned_data!$D$211</f>
        <v>Mall</v>
      </c>
      <c r="E211" s="26">
        <f>cleaned_data!$M$211</f>
        <v>671868.59</v>
      </c>
      <c r="F211" s="26">
        <f>multiple_regression!$O$18+multiple_regression!$O$19*cleaned_data!$F$211+multiple_regression!$O$20*cleaned_data!$E$211+multiple_regression!$O$21*cleaned_data!$I$211+multiple_regression!$O$22*cleaned_data!$H$211+multiple_regression!$O$23*dummy_variables!$D$211+multiple_regression!$O$24*dummy_variables!$E$211+multiple_regression!$O$25*dummy_variables!$F$211+multiple_regression!$O$26*dummy_variables!$G$211+multiple_regression!$O$27*dummy_variables!$H$211+multiple_regression!$O$28*dummy_variables!$I$211</f>
        <v>731124.5336109011</v>
      </c>
      <c r="G211" s="26">
        <f t="shared" si="3"/>
        <v>-59255.943610901129</v>
      </c>
    </row>
    <row r="212" spans="1:7" ht="15" customHeight="1">
      <c r="A212" s="5" t="str">
        <f>cleaned_data!$A$212</f>
        <v>STR-1052</v>
      </c>
      <c r="B212" s="25" t="str">
        <f>cleaned_data!$B$212</f>
        <v>2025-04-01</v>
      </c>
      <c r="C212" s="5" t="str">
        <f>cleaned_data!$C$212</f>
        <v>East</v>
      </c>
      <c r="D212" s="5" t="str">
        <f>cleaned_data!$D$212</f>
        <v>Mall</v>
      </c>
      <c r="E212" s="26">
        <f>cleaned_data!$M$212</f>
        <v>675917.63</v>
      </c>
      <c r="F212" s="26">
        <f>multiple_regression!$O$18+multiple_regression!$O$19*cleaned_data!$F$212+multiple_regression!$O$20*cleaned_data!$E$212+multiple_regression!$O$21*cleaned_data!$I$212+multiple_regression!$O$22*cleaned_data!$H$212+multiple_regression!$O$23*dummy_variables!$D$212+multiple_regression!$O$24*dummy_variables!$E$212+multiple_regression!$O$25*dummy_variables!$F$212+multiple_regression!$O$26*dummy_variables!$G$212+multiple_regression!$O$27*dummy_variables!$H$212+multiple_regression!$O$28*dummy_variables!$I$212</f>
        <v>752946.5628962653</v>
      </c>
      <c r="G212" s="26">
        <f t="shared" si="3"/>
        <v>-77028.932896265294</v>
      </c>
    </row>
    <row r="213" spans="1:7" ht="15" customHeight="1">
      <c r="A213" s="5" t="str">
        <f>cleaned_data!$A$213</f>
        <v>STR-1053</v>
      </c>
      <c r="B213" s="25" t="str">
        <f>cleaned_data!$B$213</f>
        <v>2025-01-01</v>
      </c>
      <c r="C213" s="5" t="str">
        <f>cleaned_data!$C$213</f>
        <v>East</v>
      </c>
      <c r="D213" s="5" t="str">
        <f>cleaned_data!$D$213</f>
        <v>High Street</v>
      </c>
      <c r="E213" s="26">
        <f>cleaned_data!$M$213</f>
        <v>810446.53</v>
      </c>
      <c r="F213" s="26">
        <f>multiple_regression!$O$18+multiple_regression!$O$19*cleaned_data!$F$213+multiple_regression!$O$20*cleaned_data!$E$213+multiple_regression!$O$21*cleaned_data!$I$213+multiple_regression!$O$22*cleaned_data!$H$213+multiple_regression!$O$23*dummy_variables!$D$213+multiple_regression!$O$24*dummy_variables!$E$213+multiple_regression!$O$25*dummy_variables!$F$213+multiple_regression!$O$26*dummy_variables!$G$213+multiple_regression!$O$27*dummy_variables!$H$213+multiple_regression!$O$28*dummy_variables!$I$213</f>
        <v>798468.80698600039</v>
      </c>
      <c r="G213" s="26">
        <f t="shared" si="3"/>
        <v>11977.723013999639</v>
      </c>
    </row>
    <row r="214" spans="1:7" ht="15" customHeight="1">
      <c r="A214" s="5" t="str">
        <f>cleaned_data!$A$214</f>
        <v>STR-1053</v>
      </c>
      <c r="B214" s="25" t="str">
        <f>cleaned_data!$B$214</f>
        <v>2025-02-01</v>
      </c>
      <c r="C214" s="5" t="str">
        <f>cleaned_data!$C$214</f>
        <v>East</v>
      </c>
      <c r="D214" s="5" t="str">
        <f>cleaned_data!$D$214</f>
        <v>High Street</v>
      </c>
      <c r="E214" s="26">
        <f>cleaned_data!$M$214</f>
        <v>691288.19</v>
      </c>
      <c r="F214" s="26">
        <f>multiple_regression!$O$18+multiple_regression!$O$19*cleaned_data!$F$214+multiple_regression!$O$20*cleaned_data!$E$214+multiple_regression!$O$21*cleaned_data!$I$214+multiple_regression!$O$22*cleaned_data!$H$214+multiple_regression!$O$23*dummy_variables!$D$214+multiple_regression!$O$24*dummy_variables!$E$214+multiple_regression!$O$25*dummy_variables!$F$214+multiple_regression!$O$26*dummy_variables!$G$214+multiple_regression!$O$27*dummy_variables!$H$214+multiple_regression!$O$28*dummy_variables!$I$214</f>
        <v>758384.75411446171</v>
      </c>
      <c r="G214" s="26">
        <f t="shared" si="3"/>
        <v>-67096.564114461769</v>
      </c>
    </row>
    <row r="215" spans="1:7" ht="15" customHeight="1">
      <c r="A215" s="5" t="str">
        <f>cleaned_data!$A$215</f>
        <v>STR-1053</v>
      </c>
      <c r="B215" s="25" t="str">
        <f>cleaned_data!$B$215</f>
        <v>2025-03-01</v>
      </c>
      <c r="C215" s="5" t="str">
        <f>cleaned_data!$C$215</f>
        <v>East</v>
      </c>
      <c r="D215" s="5" t="str">
        <f>cleaned_data!$D$215</f>
        <v>High Street</v>
      </c>
      <c r="E215" s="26">
        <f>cleaned_data!$M$215</f>
        <v>946833.54</v>
      </c>
      <c r="F215" s="26">
        <f>multiple_regression!$O$18+multiple_regression!$O$19*cleaned_data!$F$215+multiple_regression!$O$20*cleaned_data!$E$215+multiple_regression!$O$21*cleaned_data!$I$215+multiple_regression!$O$22*cleaned_data!$H$215+multiple_regression!$O$23*dummy_variables!$D$215+multiple_regression!$O$24*dummy_variables!$E$215+multiple_regression!$O$25*dummy_variables!$F$215+multiple_regression!$O$26*dummy_variables!$G$215+multiple_regression!$O$27*dummy_variables!$H$215+multiple_regression!$O$28*dummy_variables!$I$215</f>
        <v>963495.09227361029</v>
      </c>
      <c r="G215" s="26">
        <f t="shared" si="3"/>
        <v>-16661.552273610258</v>
      </c>
    </row>
    <row r="216" spans="1:7" ht="15" customHeight="1">
      <c r="A216" s="5" t="str">
        <f>cleaned_data!$A$216</f>
        <v>STR-1053</v>
      </c>
      <c r="B216" s="25" t="str">
        <f>cleaned_data!$B$216</f>
        <v>2025-04-01</v>
      </c>
      <c r="C216" s="5" t="str">
        <f>cleaned_data!$C$216</f>
        <v>East</v>
      </c>
      <c r="D216" s="5" t="str">
        <f>cleaned_data!$D$216</f>
        <v>High Street</v>
      </c>
      <c r="E216" s="26">
        <f>cleaned_data!$M$216</f>
        <v>761963.23</v>
      </c>
      <c r="F216" s="26">
        <f>multiple_regression!$O$18+multiple_regression!$O$19*cleaned_data!$F$216+multiple_regression!$O$20*cleaned_data!$E$216+multiple_regression!$O$21*cleaned_data!$I$216+multiple_regression!$O$22*cleaned_data!$H$216+multiple_regression!$O$23*dummy_variables!$D$216+multiple_regression!$O$24*dummy_variables!$E$216+multiple_regression!$O$25*dummy_variables!$F$216+multiple_regression!$O$26*dummy_variables!$G$216+multiple_regression!$O$27*dummy_variables!$H$216+multiple_regression!$O$28*dummy_variables!$I$216</f>
        <v>762853.03182120144</v>
      </c>
      <c r="G216" s="26">
        <f t="shared" si="3"/>
        <v>-889.80182120145764</v>
      </c>
    </row>
    <row r="217" spans="1:7" ht="15" customHeight="1">
      <c r="A217" s="5" t="str">
        <f>cleaned_data!$A$217</f>
        <v>STR-1054</v>
      </c>
      <c r="B217" s="25" t="str">
        <f>cleaned_data!$B$217</f>
        <v>2025-01-01</v>
      </c>
      <c r="C217" s="5" t="str">
        <f>cleaned_data!$C$217</f>
        <v>West</v>
      </c>
      <c r="D217" s="5" t="str">
        <f>cleaned_data!$D$217</f>
        <v>Residential</v>
      </c>
      <c r="E217" s="26">
        <f>cleaned_data!$M$217</f>
        <v>812152.6</v>
      </c>
      <c r="F217" s="26">
        <f>multiple_regression!$O$18+multiple_regression!$O$19*cleaned_data!$F$217+multiple_regression!$O$20*cleaned_data!$E$217+multiple_regression!$O$21*cleaned_data!$I$217+multiple_regression!$O$22*cleaned_data!$H$217+multiple_regression!$O$23*dummy_variables!$D$217+multiple_regression!$O$24*dummy_variables!$E$217+multiple_regression!$O$25*dummy_variables!$F$217+multiple_regression!$O$26*dummy_variables!$G$217+multiple_regression!$O$27*dummy_variables!$H$217+multiple_regression!$O$28*dummy_variables!$I$217</f>
        <v>778232.7966040388</v>
      </c>
      <c r="G217" s="26">
        <f t="shared" si="3"/>
        <v>33919.803395961178</v>
      </c>
    </row>
    <row r="218" spans="1:7" ht="15" customHeight="1">
      <c r="A218" s="5" t="str">
        <f>cleaned_data!$A$218</f>
        <v>STR-1054</v>
      </c>
      <c r="B218" s="25" t="str">
        <f>cleaned_data!$B$218</f>
        <v>2025-02-01</v>
      </c>
      <c r="C218" s="5" t="str">
        <f>cleaned_data!$C$218</f>
        <v>West</v>
      </c>
      <c r="D218" s="5" t="str">
        <f>cleaned_data!$D$218</f>
        <v>Residential</v>
      </c>
      <c r="E218" s="26">
        <f>cleaned_data!$M$218</f>
        <v>804975.5</v>
      </c>
      <c r="F218" s="26">
        <f>multiple_regression!$O$18+multiple_regression!$O$19*cleaned_data!$F$218+multiple_regression!$O$20*cleaned_data!$E$218+multiple_regression!$O$21*cleaned_data!$I$218+multiple_regression!$O$22*cleaned_data!$H$218+multiple_regression!$O$23*dummy_variables!$D$218+multiple_regression!$O$24*dummy_variables!$E$218+multiple_regression!$O$25*dummy_variables!$F$218+multiple_regression!$O$26*dummy_variables!$G$218+multiple_regression!$O$27*dummy_variables!$H$218+multiple_regression!$O$28*dummy_variables!$I$218</f>
        <v>760442.14913734328</v>
      </c>
      <c r="G218" s="26">
        <f t="shared" si="3"/>
        <v>44533.35086265672</v>
      </c>
    </row>
    <row r="219" spans="1:7" ht="15" customHeight="1">
      <c r="A219" s="5" t="str">
        <f>cleaned_data!$A$219</f>
        <v>STR-1054</v>
      </c>
      <c r="B219" s="25" t="str">
        <f>cleaned_data!$B$219</f>
        <v>2025-03-01</v>
      </c>
      <c r="C219" s="5" t="str">
        <f>cleaned_data!$C$219</f>
        <v>West</v>
      </c>
      <c r="D219" s="5" t="str">
        <f>cleaned_data!$D$219</f>
        <v>Residential</v>
      </c>
      <c r="E219" s="26">
        <f>cleaned_data!$M$219</f>
        <v>752321.72</v>
      </c>
      <c r="F219" s="26">
        <f>multiple_regression!$O$18+multiple_regression!$O$19*cleaned_data!$F$219+multiple_regression!$O$20*cleaned_data!$E$219+multiple_regression!$O$21*cleaned_data!$I$219+multiple_regression!$O$22*cleaned_data!$H$219+multiple_regression!$O$23*dummy_variables!$D$219+multiple_regression!$O$24*dummy_variables!$E$219+multiple_regression!$O$25*dummy_variables!$F$219+multiple_regression!$O$26*dummy_variables!$G$219+multiple_regression!$O$27*dummy_variables!$H$219+multiple_regression!$O$28*dummy_variables!$I$219</f>
        <v>750465.08563467115</v>
      </c>
      <c r="G219" s="26">
        <f t="shared" si="3"/>
        <v>1856.6343653288204</v>
      </c>
    </row>
    <row r="220" spans="1:7" ht="15" customHeight="1">
      <c r="A220" s="5" t="str">
        <f>cleaned_data!$A$220</f>
        <v>STR-1054</v>
      </c>
      <c r="B220" s="25" t="str">
        <f>cleaned_data!$B$220</f>
        <v>2025-04-01</v>
      </c>
      <c r="C220" s="5" t="str">
        <f>cleaned_data!$C$220</f>
        <v>West</v>
      </c>
      <c r="D220" s="5" t="str">
        <f>cleaned_data!$D$220</f>
        <v>Residential</v>
      </c>
      <c r="E220" s="26">
        <f>cleaned_data!$M$220</f>
        <v>836908.24</v>
      </c>
      <c r="F220" s="26">
        <f>multiple_regression!$O$18+multiple_regression!$O$19*cleaned_data!$F$220+multiple_regression!$O$20*cleaned_data!$E$220+multiple_regression!$O$21*cleaned_data!$I$220+multiple_regression!$O$22*cleaned_data!$H$220+multiple_regression!$O$23*dummy_variables!$D$220+multiple_regression!$O$24*dummy_variables!$E$220+multiple_regression!$O$25*dummy_variables!$F$220+multiple_regression!$O$26*dummy_variables!$G$220+multiple_regression!$O$27*dummy_variables!$H$220+multiple_regression!$O$28*dummy_variables!$I$220</f>
        <v>819782.25369773351</v>
      </c>
      <c r="G220" s="26">
        <f t="shared" si="3"/>
        <v>17125.986302266479</v>
      </c>
    </row>
    <row r="221" spans="1:7" ht="15" customHeight="1">
      <c r="A221" s="5" t="str">
        <f>cleaned_data!$A$221</f>
        <v>STR-1055</v>
      </c>
      <c r="B221" s="25" t="str">
        <f>cleaned_data!$B$221</f>
        <v>2025-01-01</v>
      </c>
      <c r="C221" s="5" t="str">
        <f>cleaned_data!$C$221</f>
        <v>North</v>
      </c>
      <c r="D221" s="5" t="str">
        <f>cleaned_data!$D$221</f>
        <v>Airport</v>
      </c>
      <c r="E221" s="26">
        <f>cleaned_data!$M$221</f>
        <v>674289.1</v>
      </c>
      <c r="F221" s="26">
        <f>multiple_regression!$O$18+multiple_regression!$O$19*cleaned_data!$F$221+multiple_regression!$O$20*cleaned_data!$E$221+multiple_regression!$O$21*cleaned_data!$I$221+multiple_regression!$O$22*cleaned_data!$H$221+multiple_regression!$O$23*dummy_variables!$D$221+multiple_regression!$O$24*dummy_variables!$E$221+multiple_regression!$O$25*dummy_variables!$F$221+multiple_regression!$O$26*dummy_variables!$G$221+multiple_regression!$O$27*dummy_variables!$H$221+multiple_regression!$O$28*dummy_variables!$I$221</f>
        <v>653128.79723223147</v>
      </c>
      <c r="G221" s="26">
        <f t="shared" si="3"/>
        <v>21160.302767768502</v>
      </c>
    </row>
    <row r="222" spans="1:7" ht="15" customHeight="1">
      <c r="A222" s="5" t="str">
        <f>cleaned_data!$A$222</f>
        <v>STR-1055</v>
      </c>
      <c r="B222" s="25" t="str">
        <f>cleaned_data!$B$222</f>
        <v>2025-02-01</v>
      </c>
      <c r="C222" s="5" t="str">
        <f>cleaned_data!$C$222</f>
        <v>North</v>
      </c>
      <c r="D222" s="5" t="str">
        <f>cleaned_data!$D$222</f>
        <v>Airport</v>
      </c>
      <c r="E222" s="26">
        <f>cleaned_data!$M$222</f>
        <v>622892.42000000004</v>
      </c>
      <c r="F222" s="26">
        <f>multiple_regression!$O$18+multiple_regression!$O$19*cleaned_data!$F$222+multiple_regression!$O$20*cleaned_data!$E$222+multiple_regression!$O$21*cleaned_data!$I$222+multiple_regression!$O$22*cleaned_data!$H$222+multiple_regression!$O$23*dummy_variables!$D$222+multiple_regression!$O$24*dummy_variables!$E$222+multiple_regression!$O$25*dummy_variables!$F$222+multiple_regression!$O$26*dummy_variables!$G$222+multiple_regression!$O$27*dummy_variables!$H$222+multiple_regression!$O$28*dummy_variables!$I$222</f>
        <v>649060.71882262931</v>
      </c>
      <c r="G222" s="26">
        <f t="shared" si="3"/>
        <v>-26168.298822629265</v>
      </c>
    </row>
    <row r="223" spans="1:7" ht="15" customHeight="1">
      <c r="A223" s="5" t="str">
        <f>cleaned_data!$A$223</f>
        <v>STR-1055</v>
      </c>
      <c r="B223" s="25" t="str">
        <f>cleaned_data!$B$223</f>
        <v>2025-03-01</v>
      </c>
      <c r="C223" s="5" t="str">
        <f>cleaned_data!$C$223</f>
        <v>North</v>
      </c>
      <c r="D223" s="5" t="str">
        <f>cleaned_data!$D$223</f>
        <v>Airport</v>
      </c>
      <c r="E223" s="26">
        <f>cleaned_data!$M$223</f>
        <v>673348.56</v>
      </c>
      <c r="F223" s="26">
        <f>multiple_regression!$O$18+multiple_regression!$O$19*cleaned_data!$F$223+multiple_regression!$O$20*cleaned_data!$E$223+multiple_regression!$O$21*cleaned_data!$I$223+multiple_regression!$O$22*cleaned_data!$H$223+multiple_regression!$O$23*dummy_variables!$D$223+multiple_regression!$O$24*dummy_variables!$E$223+multiple_regression!$O$25*dummy_variables!$F$223+multiple_regression!$O$26*dummy_variables!$G$223+multiple_regression!$O$27*dummy_variables!$H$223+multiple_regression!$O$28*dummy_variables!$I$223</f>
        <v>643211.17341809848</v>
      </c>
      <c r="G223" s="26">
        <f t="shared" si="3"/>
        <v>30137.386581901577</v>
      </c>
    </row>
    <row r="224" spans="1:7" ht="15" customHeight="1">
      <c r="A224" s="5" t="str">
        <f>cleaned_data!$A$224</f>
        <v>STR-1055</v>
      </c>
      <c r="B224" s="25" t="str">
        <f>cleaned_data!$B$224</f>
        <v>2025-04-01</v>
      </c>
      <c r="C224" s="5" t="str">
        <f>cleaned_data!$C$224</f>
        <v>North</v>
      </c>
      <c r="D224" s="5" t="str">
        <f>cleaned_data!$D$224</f>
        <v>Airport</v>
      </c>
      <c r="E224" s="26">
        <f>cleaned_data!$M$224</f>
        <v>606278.30000000005</v>
      </c>
      <c r="F224" s="26">
        <f>multiple_regression!$O$18+multiple_regression!$O$19*cleaned_data!$F$224+multiple_regression!$O$20*cleaned_data!$E$224+multiple_regression!$O$21*cleaned_data!$I$224+multiple_regression!$O$22*cleaned_data!$H$224+multiple_regression!$O$23*dummy_variables!$D$224+multiple_regression!$O$24*dummy_variables!$E$224+multiple_regression!$O$25*dummy_variables!$F$224+multiple_regression!$O$26*dummy_variables!$G$224+multiple_regression!$O$27*dummy_variables!$H$224+multiple_regression!$O$28*dummy_variables!$I$224</f>
        <v>606856.5358392495</v>
      </c>
      <c r="G224" s="26">
        <f t="shared" si="3"/>
        <v>-578.23583924944978</v>
      </c>
    </row>
    <row r="225" spans="1:7" ht="15" customHeight="1">
      <c r="A225" s="5" t="str">
        <f>cleaned_data!$A$225</f>
        <v>STR-1056</v>
      </c>
      <c r="B225" s="25" t="str">
        <f>cleaned_data!$B$225</f>
        <v>2025-01-01</v>
      </c>
      <c r="C225" s="5" t="str">
        <f>cleaned_data!$C$225</f>
        <v>East</v>
      </c>
      <c r="D225" s="5" t="str">
        <f>cleaned_data!$D$225</f>
        <v>High Street</v>
      </c>
      <c r="E225" s="26">
        <f>cleaned_data!$M$225</f>
        <v>712219.81</v>
      </c>
      <c r="F225" s="26">
        <f>multiple_regression!$O$18+multiple_regression!$O$19*cleaned_data!$F$225+multiple_regression!$O$20*cleaned_data!$E$225+multiple_regression!$O$21*cleaned_data!$I$225+multiple_regression!$O$22*cleaned_data!$H$225+multiple_regression!$O$23*dummy_variables!$D$225+multiple_regression!$O$24*dummy_variables!$E$225+multiple_regression!$O$25*dummy_variables!$F$225+multiple_regression!$O$26*dummy_variables!$G$225+multiple_regression!$O$27*dummy_variables!$H$225+multiple_regression!$O$28*dummy_variables!$I$225</f>
        <v>698995.02977784129</v>
      </c>
      <c r="G225" s="26">
        <f t="shared" si="3"/>
        <v>13224.780222158763</v>
      </c>
    </row>
    <row r="226" spans="1:7" ht="15" customHeight="1">
      <c r="A226" s="5" t="str">
        <f>cleaned_data!$A$226</f>
        <v>STR-1056</v>
      </c>
      <c r="B226" s="25" t="str">
        <f>cleaned_data!$B$226</f>
        <v>2025-02-01</v>
      </c>
      <c r="C226" s="5" t="str">
        <f>cleaned_data!$C$226</f>
        <v>East</v>
      </c>
      <c r="D226" s="5" t="str">
        <f>cleaned_data!$D$226</f>
        <v>High Street</v>
      </c>
      <c r="E226" s="26">
        <f>cleaned_data!$M$226</f>
        <v>672670.54</v>
      </c>
      <c r="F226" s="26">
        <f>multiple_regression!$O$18+multiple_regression!$O$19*cleaned_data!$F$226+multiple_regression!$O$20*cleaned_data!$E$226+multiple_regression!$O$21*cleaned_data!$I$226+multiple_regression!$O$22*cleaned_data!$H$226+multiple_regression!$O$23*dummy_variables!$D$226+multiple_regression!$O$24*dummy_variables!$E$226+multiple_regression!$O$25*dummy_variables!$F$226+multiple_regression!$O$26*dummy_variables!$G$226+multiple_regression!$O$27*dummy_variables!$H$226+multiple_regression!$O$28*dummy_variables!$I$226</f>
        <v>670334.12031280401</v>
      </c>
      <c r="G226" s="26">
        <f t="shared" si="3"/>
        <v>2336.4196871960303</v>
      </c>
    </row>
    <row r="227" spans="1:7" ht="15" customHeight="1">
      <c r="A227" s="5" t="str">
        <f>cleaned_data!$A$227</f>
        <v>STR-1056</v>
      </c>
      <c r="B227" s="25" t="str">
        <f>cleaned_data!$B$227</f>
        <v>2025-03-01</v>
      </c>
      <c r="C227" s="5" t="str">
        <f>cleaned_data!$C$227</f>
        <v>East</v>
      </c>
      <c r="D227" s="5" t="str">
        <f>cleaned_data!$D$227</f>
        <v>High Street</v>
      </c>
      <c r="E227" s="26">
        <f>cleaned_data!$M$227</f>
        <v>732667.92</v>
      </c>
      <c r="F227" s="26">
        <f>multiple_regression!$O$18+multiple_regression!$O$19*cleaned_data!$F$227+multiple_regression!$O$20*cleaned_data!$E$227+multiple_regression!$O$21*cleaned_data!$I$227+multiple_regression!$O$22*cleaned_data!$H$227+multiple_regression!$O$23*dummy_variables!$D$227+multiple_regression!$O$24*dummy_variables!$E$227+multiple_regression!$O$25*dummy_variables!$F$227+multiple_regression!$O$26*dummy_variables!$G$227+multiple_regression!$O$27*dummy_variables!$H$227+multiple_regression!$O$28*dummy_variables!$I$227</f>
        <v>734120.56278587121</v>
      </c>
      <c r="G227" s="26">
        <f t="shared" si="3"/>
        <v>-1452.6427858711686</v>
      </c>
    </row>
    <row r="228" spans="1:7" ht="15" customHeight="1">
      <c r="A228" s="5" t="str">
        <f>cleaned_data!$A$228</f>
        <v>STR-1056</v>
      </c>
      <c r="B228" s="25" t="str">
        <f>cleaned_data!$B$228</f>
        <v>2025-04-01</v>
      </c>
      <c r="C228" s="5" t="str">
        <f>cleaned_data!$C$228</f>
        <v>East</v>
      </c>
      <c r="D228" s="5" t="str">
        <f>cleaned_data!$D$228</f>
        <v>High Street</v>
      </c>
      <c r="E228" s="26">
        <f>cleaned_data!$M$228</f>
        <v>723531.4</v>
      </c>
      <c r="F228" s="26">
        <f>multiple_regression!$O$18+multiple_regression!$O$19*cleaned_data!$F$228+multiple_regression!$O$20*cleaned_data!$E$228+multiple_regression!$O$21*cleaned_data!$I$228+multiple_regression!$O$22*cleaned_data!$H$228+multiple_regression!$O$23*dummy_variables!$D$228+multiple_regression!$O$24*dummy_variables!$E$228+multiple_regression!$O$25*dummy_variables!$F$228+multiple_regression!$O$26*dummy_variables!$G$228+multiple_regression!$O$27*dummy_variables!$H$228+multiple_regression!$O$28*dummy_variables!$I$228</f>
        <v>755146.29864637752</v>
      </c>
      <c r="G228" s="26">
        <f t="shared" si="3"/>
        <v>-31614.898646377493</v>
      </c>
    </row>
    <row r="229" spans="1:7" ht="15" customHeight="1">
      <c r="A229" s="5" t="str">
        <f>cleaned_data!$A$229</f>
        <v>STR-1057</v>
      </c>
      <c r="B229" s="25" t="str">
        <f>cleaned_data!$B$229</f>
        <v>2025-01-01</v>
      </c>
      <c r="C229" s="5" t="str">
        <f>cleaned_data!$C$229</f>
        <v>East</v>
      </c>
      <c r="D229" s="5" t="str">
        <f>cleaned_data!$D$229</f>
        <v>Mall</v>
      </c>
      <c r="E229" s="26">
        <f>cleaned_data!$M$229</f>
        <v>641564.6</v>
      </c>
      <c r="F229" s="26">
        <f>multiple_regression!$O$18+multiple_regression!$O$19*cleaned_data!$F$229+multiple_regression!$O$20*cleaned_data!$E$229+multiple_regression!$O$21*cleaned_data!$I$229+multiple_regression!$O$22*cleaned_data!$H$229+multiple_regression!$O$23*dummy_variables!$D$229+multiple_regression!$O$24*dummy_variables!$E$229+multiple_regression!$O$25*dummy_variables!$F$229+multiple_regression!$O$26*dummy_variables!$G$229+multiple_regression!$O$27*dummy_variables!$H$229+multiple_regression!$O$28*dummy_variables!$I$229</f>
        <v>621888.94030420715</v>
      </c>
      <c r="G229" s="26">
        <f t="shared" si="3"/>
        <v>19675.659695792827</v>
      </c>
    </row>
    <row r="230" spans="1:7" ht="15" customHeight="1">
      <c r="A230" s="5" t="str">
        <f>cleaned_data!$A$230</f>
        <v>STR-1057</v>
      </c>
      <c r="B230" s="25" t="str">
        <f>cleaned_data!$B$230</f>
        <v>2025-02-01</v>
      </c>
      <c r="C230" s="5" t="str">
        <f>cleaned_data!$C$230</f>
        <v>East</v>
      </c>
      <c r="D230" s="5" t="str">
        <f>cleaned_data!$D$230</f>
        <v>Mall</v>
      </c>
      <c r="E230" s="26">
        <f>cleaned_data!$M$230</f>
        <v>536545.49</v>
      </c>
      <c r="F230" s="26">
        <f>multiple_regression!$O$18+multiple_regression!$O$19*cleaned_data!$F$230+multiple_regression!$O$20*cleaned_data!$E$230+multiple_regression!$O$21*cleaned_data!$I$230+multiple_regression!$O$22*cleaned_data!$H$230+multiple_regression!$O$23*dummy_variables!$D$230+multiple_regression!$O$24*dummy_variables!$E$230+multiple_regression!$O$25*dummy_variables!$F$230+multiple_regression!$O$26*dummy_variables!$G$230+multiple_regression!$O$27*dummy_variables!$H$230+multiple_regression!$O$28*dummy_variables!$I$230</f>
        <v>531793.18433449115</v>
      </c>
      <c r="G230" s="26">
        <f t="shared" si="3"/>
        <v>4752.305665508844</v>
      </c>
    </row>
    <row r="231" spans="1:7" ht="15" customHeight="1">
      <c r="A231" s="5" t="str">
        <f>cleaned_data!$A$231</f>
        <v>STR-1057</v>
      </c>
      <c r="B231" s="25" t="str">
        <f>cleaned_data!$B$231</f>
        <v>2025-03-01</v>
      </c>
      <c r="C231" s="5" t="str">
        <f>cleaned_data!$C$231</f>
        <v>East</v>
      </c>
      <c r="D231" s="5" t="str">
        <f>cleaned_data!$D$231</f>
        <v>Mall</v>
      </c>
      <c r="E231" s="26">
        <f>cleaned_data!$M$231</f>
        <v>527681.56000000006</v>
      </c>
      <c r="F231" s="26">
        <f>multiple_regression!$O$18+multiple_regression!$O$19*cleaned_data!$F$231+multiple_regression!$O$20*cleaned_data!$E$231+multiple_regression!$O$21*cleaned_data!$I$231+multiple_regression!$O$22*cleaned_data!$H$231+multiple_regression!$O$23*dummy_variables!$D$231+multiple_regression!$O$24*dummy_variables!$E$231+multiple_regression!$O$25*dummy_variables!$F$231+multiple_regression!$O$26*dummy_variables!$G$231+multiple_regression!$O$27*dummy_variables!$H$231+multiple_regression!$O$28*dummy_variables!$I$231</f>
        <v>561404.77167085116</v>
      </c>
      <c r="G231" s="26">
        <f t="shared" si="3"/>
        <v>-33723.211670851102</v>
      </c>
    </row>
    <row r="232" spans="1:7" ht="15" customHeight="1">
      <c r="A232" s="5" t="str">
        <f>cleaned_data!$A$232</f>
        <v>STR-1057</v>
      </c>
      <c r="B232" s="25" t="str">
        <f>cleaned_data!$B$232</f>
        <v>2025-04-01</v>
      </c>
      <c r="C232" s="5" t="str">
        <f>cleaned_data!$C$232</f>
        <v>East</v>
      </c>
      <c r="D232" s="5" t="str">
        <f>cleaned_data!$D$232</f>
        <v>Mall</v>
      </c>
      <c r="E232" s="26">
        <f>cleaned_data!$M$232</f>
        <v>529598.93999999994</v>
      </c>
      <c r="F232" s="26">
        <f>multiple_regression!$O$18+multiple_regression!$O$19*cleaned_data!$F$232+multiple_regression!$O$20*cleaned_data!$E$232+multiple_regression!$O$21*cleaned_data!$I$232+multiple_regression!$O$22*cleaned_data!$H$232+multiple_regression!$O$23*dummy_variables!$D$232+multiple_regression!$O$24*dummy_variables!$E$232+multiple_regression!$O$25*dummy_variables!$F$232+multiple_regression!$O$26*dummy_variables!$G$232+multiple_regression!$O$27*dummy_variables!$H$232+multiple_regression!$O$28*dummy_variables!$I$232</f>
        <v>501110.44715899322</v>
      </c>
      <c r="G232" s="26">
        <f t="shared" si="3"/>
        <v>28488.492841006722</v>
      </c>
    </row>
    <row r="233" spans="1:7" ht="15" customHeight="1">
      <c r="A233" s="5" t="str">
        <f>cleaned_data!$A$233</f>
        <v>STR-1058</v>
      </c>
      <c r="B233" s="25" t="str">
        <f>cleaned_data!$B$233</f>
        <v>2025-01-01</v>
      </c>
      <c r="C233" s="5" t="str">
        <f>cleaned_data!$C$233</f>
        <v>East</v>
      </c>
      <c r="D233" s="5" t="str">
        <f>cleaned_data!$D$233</f>
        <v>High Street</v>
      </c>
      <c r="E233" s="26">
        <f>cleaned_data!$M$233</f>
        <v>570963.31000000006</v>
      </c>
      <c r="F233" s="26">
        <f>multiple_regression!$O$18+multiple_regression!$O$19*cleaned_data!$F$233+multiple_regression!$O$20*cleaned_data!$E$233+multiple_regression!$O$21*cleaned_data!$I$233+multiple_regression!$O$22*cleaned_data!$H$233+multiple_regression!$O$23*dummy_variables!$D$233+multiple_regression!$O$24*dummy_variables!$E$233+multiple_regression!$O$25*dummy_variables!$F$233+multiple_regression!$O$26*dummy_variables!$G$233+multiple_regression!$O$27*dummy_variables!$H$233+multiple_regression!$O$28*dummy_variables!$I$233</f>
        <v>610849.45171977265</v>
      </c>
      <c r="G233" s="26">
        <f t="shared" si="3"/>
        <v>-39886.141719772597</v>
      </c>
    </row>
    <row r="234" spans="1:7" ht="15" customHeight="1">
      <c r="A234" s="5" t="str">
        <f>cleaned_data!$A$234</f>
        <v>STR-1058</v>
      </c>
      <c r="B234" s="25" t="str">
        <f>cleaned_data!$B$234</f>
        <v>2025-02-01</v>
      </c>
      <c r="C234" s="5" t="str">
        <f>cleaned_data!$C$234</f>
        <v>East</v>
      </c>
      <c r="D234" s="5" t="str">
        <f>cleaned_data!$D$234</f>
        <v>High Street</v>
      </c>
      <c r="E234" s="26">
        <f>cleaned_data!$M$234</f>
        <v>870937.4</v>
      </c>
      <c r="F234" s="26">
        <f>multiple_regression!$O$18+multiple_regression!$O$19*cleaned_data!$F$234+multiple_regression!$O$20*cleaned_data!$E$234+multiple_regression!$O$21*cleaned_data!$I$234+multiple_regression!$O$22*cleaned_data!$H$234+multiple_regression!$O$23*dummy_variables!$D$234+multiple_regression!$O$24*dummy_variables!$E$234+multiple_regression!$O$25*dummy_variables!$F$234+multiple_regression!$O$26*dummy_variables!$G$234+multiple_regression!$O$27*dummy_variables!$H$234+multiple_regression!$O$28*dummy_variables!$I$234</f>
        <v>821517.30736674089</v>
      </c>
      <c r="G234" s="26">
        <f t="shared" si="3"/>
        <v>49420.092633259133</v>
      </c>
    </row>
    <row r="235" spans="1:7" ht="15" customHeight="1">
      <c r="A235" s="5" t="str">
        <f>cleaned_data!$A$235</f>
        <v>STR-1058</v>
      </c>
      <c r="B235" s="25" t="str">
        <f>cleaned_data!$B$235</f>
        <v>2025-03-01</v>
      </c>
      <c r="C235" s="5" t="str">
        <f>cleaned_data!$C$235</f>
        <v>East</v>
      </c>
      <c r="D235" s="5" t="str">
        <f>cleaned_data!$D$235</f>
        <v>High Street</v>
      </c>
      <c r="E235" s="26">
        <f>cleaned_data!$M$235</f>
        <v>596969.27</v>
      </c>
      <c r="F235" s="26">
        <f>multiple_regression!$O$18+multiple_regression!$O$19*cleaned_data!$F$235+multiple_regression!$O$20*cleaned_data!$E$235+multiple_regression!$O$21*cleaned_data!$I$235+multiple_regression!$O$22*cleaned_data!$H$235+multiple_regression!$O$23*dummy_variables!$D$235+multiple_regression!$O$24*dummy_variables!$E$235+multiple_regression!$O$25*dummy_variables!$F$235+multiple_regression!$O$26*dummy_variables!$G$235+multiple_regression!$O$27*dummy_variables!$H$235+multiple_regression!$O$28*dummy_variables!$I$235</f>
        <v>626796.57974234619</v>
      </c>
      <c r="G235" s="26">
        <f t="shared" si="3"/>
        <v>-29827.309742346173</v>
      </c>
    </row>
    <row r="236" spans="1:7" ht="15" customHeight="1">
      <c r="A236" s="5" t="str">
        <f>cleaned_data!$A$236</f>
        <v>STR-1058</v>
      </c>
      <c r="B236" s="25" t="str">
        <f>cleaned_data!$B$236</f>
        <v>2025-04-01</v>
      </c>
      <c r="C236" s="5" t="str">
        <f>cleaned_data!$C$236</f>
        <v>East</v>
      </c>
      <c r="D236" s="5" t="str">
        <f>cleaned_data!$D$236</f>
        <v>High Street</v>
      </c>
      <c r="E236" s="26">
        <f>cleaned_data!$M$236</f>
        <v>647512.85</v>
      </c>
      <c r="F236" s="26">
        <f>multiple_regression!$O$18+multiple_regression!$O$19*cleaned_data!$F$236+multiple_regression!$O$20*cleaned_data!$E$236+multiple_regression!$O$21*cleaned_data!$I$236+multiple_regression!$O$22*cleaned_data!$H$236+multiple_regression!$O$23*dummy_variables!$D$236+multiple_regression!$O$24*dummy_variables!$E$236+multiple_regression!$O$25*dummy_variables!$F$236+multiple_regression!$O$26*dummy_variables!$G$236+multiple_regression!$O$27*dummy_variables!$H$236+multiple_regression!$O$28*dummy_variables!$I$236</f>
        <v>608672.21420869324</v>
      </c>
      <c r="G236" s="26">
        <f t="shared" si="3"/>
        <v>38840.635791306733</v>
      </c>
    </row>
    <row r="237" spans="1:7" ht="15" customHeight="1">
      <c r="A237" s="5" t="str">
        <f>cleaned_data!$A$237</f>
        <v>STR-1059</v>
      </c>
      <c r="B237" s="25" t="str">
        <f>cleaned_data!$B$237</f>
        <v>2025-01-01</v>
      </c>
      <c r="C237" s="5" t="str">
        <f>cleaned_data!$C$237</f>
        <v>West</v>
      </c>
      <c r="D237" s="5" t="str">
        <f>cleaned_data!$D$237</f>
        <v>Residential</v>
      </c>
      <c r="E237" s="26">
        <f>cleaned_data!$M$237</f>
        <v>658072.14</v>
      </c>
      <c r="F237" s="26">
        <f>multiple_regression!$O$18+multiple_regression!$O$19*cleaned_data!$F$237+multiple_regression!$O$20*cleaned_data!$E$237+multiple_regression!$O$21*cleaned_data!$I$237+multiple_regression!$O$22*cleaned_data!$H$237+multiple_regression!$O$23*dummy_variables!$D$237+multiple_regression!$O$24*dummy_variables!$E$237+multiple_regression!$O$25*dummy_variables!$F$237+multiple_regression!$O$26*dummy_variables!$G$237+multiple_regression!$O$27*dummy_variables!$H$237+multiple_regression!$O$28*dummy_variables!$I$237</f>
        <v>606193.8384306035</v>
      </c>
      <c r="G237" s="26">
        <f t="shared" si="3"/>
        <v>51878.301569396514</v>
      </c>
    </row>
    <row r="238" spans="1:7" ht="15" customHeight="1">
      <c r="A238" s="5" t="str">
        <f>cleaned_data!$A$238</f>
        <v>STR-1059</v>
      </c>
      <c r="B238" s="25" t="str">
        <f>cleaned_data!$B$238</f>
        <v>2025-02-01</v>
      </c>
      <c r="C238" s="5" t="str">
        <f>cleaned_data!$C$238</f>
        <v>West</v>
      </c>
      <c r="D238" s="5" t="str">
        <f>cleaned_data!$D$238</f>
        <v>Residential</v>
      </c>
      <c r="E238" s="26">
        <f>cleaned_data!$M$238</f>
        <v>723305.11</v>
      </c>
      <c r="F238" s="26">
        <f>multiple_regression!$O$18+multiple_regression!$O$19*cleaned_data!$F$238+multiple_regression!$O$20*cleaned_data!$E$238+multiple_regression!$O$21*cleaned_data!$I$238+multiple_regression!$O$22*cleaned_data!$H$238+multiple_regression!$O$23*dummy_variables!$D$238+multiple_regression!$O$24*dummy_variables!$E$238+multiple_regression!$O$25*dummy_variables!$F$238+multiple_regression!$O$26*dummy_variables!$G$238+multiple_regression!$O$27*dummy_variables!$H$238+multiple_regression!$O$28*dummy_variables!$I$238</f>
        <v>646418.36687803746</v>
      </c>
      <c r="G238" s="26">
        <f t="shared" si="3"/>
        <v>76886.743121962529</v>
      </c>
    </row>
    <row r="239" spans="1:7" ht="15" customHeight="1">
      <c r="A239" s="5" t="str">
        <f>cleaned_data!$A$239</f>
        <v>STR-1059</v>
      </c>
      <c r="B239" s="25" t="str">
        <f>cleaned_data!$B$239</f>
        <v>2025-03-01</v>
      </c>
      <c r="C239" s="5" t="str">
        <f>cleaned_data!$C$239</f>
        <v>West</v>
      </c>
      <c r="D239" s="5" t="str">
        <f>cleaned_data!$D$239</f>
        <v>Residential</v>
      </c>
      <c r="E239" s="26">
        <f>cleaned_data!$M$239</f>
        <v>640666.53</v>
      </c>
      <c r="F239" s="26">
        <f>multiple_regression!$O$18+multiple_regression!$O$19*cleaned_data!$F$239+multiple_regression!$O$20*cleaned_data!$E$239+multiple_regression!$O$21*cleaned_data!$I$239+multiple_regression!$O$22*cleaned_data!$H$239+multiple_regression!$O$23*dummy_variables!$D$239+multiple_regression!$O$24*dummy_variables!$E$239+multiple_regression!$O$25*dummy_variables!$F$239+multiple_regression!$O$26*dummy_variables!$G$239+multiple_regression!$O$27*dummy_variables!$H$239+multiple_regression!$O$28*dummy_variables!$I$239</f>
        <v>625249.94236992626</v>
      </c>
      <c r="G239" s="26">
        <f t="shared" si="3"/>
        <v>15416.587630073773</v>
      </c>
    </row>
    <row r="240" spans="1:7" ht="15" customHeight="1">
      <c r="A240" s="5" t="str">
        <f>cleaned_data!$A$240</f>
        <v>STR-1059</v>
      </c>
      <c r="B240" s="25" t="str">
        <f>cleaned_data!$B$240</f>
        <v>2025-04-01</v>
      </c>
      <c r="C240" s="5" t="str">
        <f>cleaned_data!$C$240</f>
        <v>West</v>
      </c>
      <c r="D240" s="5" t="str">
        <f>cleaned_data!$D$240</f>
        <v>Residential</v>
      </c>
      <c r="E240" s="26">
        <f>cleaned_data!$M$240</f>
        <v>670629.48</v>
      </c>
      <c r="F240" s="26">
        <f>multiple_regression!$O$18+multiple_regression!$O$19*cleaned_data!$F$240+multiple_regression!$O$20*cleaned_data!$E$240+multiple_regression!$O$21*cleaned_data!$I$240+multiple_regression!$O$22*cleaned_data!$H$240+multiple_regression!$O$23*dummy_variables!$D$240+multiple_regression!$O$24*dummy_variables!$E$240+multiple_regression!$O$25*dummy_variables!$F$240+multiple_regression!$O$26*dummy_variables!$G$240+multiple_regression!$O$27*dummy_variables!$H$240+multiple_regression!$O$28*dummy_variables!$I$240</f>
        <v>663789.02482206235</v>
      </c>
      <c r="G240" s="26">
        <f t="shared" si="3"/>
        <v>6840.4551779376343</v>
      </c>
    </row>
    <row r="241" spans="1:7" ht="15" customHeight="1">
      <c r="A241" s="5" t="str">
        <f>cleaned_data!$A$241</f>
        <v>STR-1060</v>
      </c>
      <c r="B241" s="25" t="str">
        <f>cleaned_data!$B$241</f>
        <v>2025-01-01</v>
      </c>
      <c r="C241" s="5" t="str">
        <f>cleaned_data!$C$241</f>
        <v>West</v>
      </c>
      <c r="D241" s="5" t="str">
        <f>cleaned_data!$D$241</f>
        <v>Mall</v>
      </c>
      <c r="E241" s="26">
        <f>cleaned_data!$M$241</f>
        <v>721079.35</v>
      </c>
      <c r="F241" s="26">
        <f>multiple_regression!$O$18+multiple_regression!$O$19*cleaned_data!$F$241+multiple_regression!$O$20*cleaned_data!$E$241+multiple_regression!$O$21*cleaned_data!$I$241+multiple_regression!$O$22*cleaned_data!$H$241+multiple_regression!$O$23*dummy_variables!$D$241+multiple_regression!$O$24*dummy_variables!$E$241+multiple_regression!$O$25*dummy_variables!$F$241+multiple_regression!$O$26*dummy_variables!$G$241+multiple_regression!$O$27*dummy_variables!$H$241+multiple_regression!$O$28*dummy_variables!$I$241</f>
        <v>805017.72406434303</v>
      </c>
      <c r="G241" s="26">
        <f t="shared" si="3"/>
        <v>-83938.37406434305</v>
      </c>
    </row>
    <row r="242" spans="1:7" ht="15" customHeight="1">
      <c r="A242" s="5" t="str">
        <f>cleaned_data!$A$242</f>
        <v>STR-1060</v>
      </c>
      <c r="B242" s="25" t="str">
        <f>cleaned_data!$B$242</f>
        <v>2025-02-01</v>
      </c>
      <c r="C242" s="5" t="str">
        <f>cleaned_data!$C$242</f>
        <v>West</v>
      </c>
      <c r="D242" s="5" t="str">
        <f>cleaned_data!$D$242</f>
        <v>Mall</v>
      </c>
      <c r="E242" s="26">
        <f>cleaned_data!$M$242</f>
        <v>810355.02</v>
      </c>
      <c r="F242" s="26">
        <f>multiple_regression!$O$18+multiple_regression!$O$19*cleaned_data!$F$242+multiple_regression!$O$20*cleaned_data!$E$242+multiple_regression!$O$21*cleaned_data!$I$242+multiple_regression!$O$22*cleaned_data!$H$242+multiple_regression!$O$23*dummy_variables!$D$242+multiple_regression!$O$24*dummy_variables!$E$242+multiple_regression!$O$25*dummy_variables!$F$242+multiple_regression!$O$26*dummy_variables!$G$242+multiple_regression!$O$27*dummy_variables!$H$242+multiple_regression!$O$28*dummy_variables!$I$242</f>
        <v>837715.35845662421</v>
      </c>
      <c r="G242" s="26">
        <f t="shared" si="3"/>
        <v>-27360.338456624188</v>
      </c>
    </row>
    <row r="243" spans="1:7" ht="15" customHeight="1">
      <c r="A243" s="5" t="str">
        <f>cleaned_data!$A$243</f>
        <v>STR-1060</v>
      </c>
      <c r="B243" s="25" t="str">
        <f>cleaned_data!$B$243</f>
        <v>2025-03-01</v>
      </c>
      <c r="C243" s="5" t="str">
        <f>cleaned_data!$C$243</f>
        <v>West</v>
      </c>
      <c r="D243" s="5" t="str">
        <f>cleaned_data!$D$243</f>
        <v>Mall</v>
      </c>
      <c r="E243" s="26">
        <f>cleaned_data!$M$243</f>
        <v>761919.25</v>
      </c>
      <c r="F243" s="26">
        <f>multiple_regression!$O$18+multiple_regression!$O$19*cleaned_data!$F$243+multiple_regression!$O$20*cleaned_data!$E$243+multiple_regression!$O$21*cleaned_data!$I$243+multiple_regression!$O$22*cleaned_data!$H$243+multiple_regression!$O$23*dummy_variables!$D$243+multiple_regression!$O$24*dummy_variables!$E$243+multiple_regression!$O$25*dummy_variables!$F$243+multiple_regression!$O$26*dummy_variables!$G$243+multiple_regression!$O$27*dummy_variables!$H$243+multiple_regression!$O$28*dummy_variables!$I$243</f>
        <v>791087.23532403831</v>
      </c>
      <c r="G243" s="26">
        <f t="shared" si="3"/>
        <v>-29167.985324038309</v>
      </c>
    </row>
    <row r="244" spans="1:7" ht="15" customHeight="1">
      <c r="A244" s="5" t="str">
        <f>cleaned_data!$A$244</f>
        <v>STR-1060</v>
      </c>
      <c r="B244" s="25" t="str">
        <f>cleaned_data!$B$244</f>
        <v>2025-04-01</v>
      </c>
      <c r="C244" s="5" t="str">
        <f>cleaned_data!$C$244</f>
        <v>West</v>
      </c>
      <c r="D244" s="5" t="str">
        <f>cleaned_data!$D$244</f>
        <v>Mall</v>
      </c>
      <c r="E244" s="26">
        <f>cleaned_data!$M$244</f>
        <v>737070.18</v>
      </c>
      <c r="F244" s="26">
        <f>multiple_regression!$O$18+multiple_regression!$O$19*cleaned_data!$F$244+multiple_regression!$O$20*cleaned_data!$E$244+multiple_regression!$O$21*cleaned_data!$I$244+multiple_regression!$O$22*cleaned_data!$H$244+multiple_regression!$O$23*dummy_variables!$D$244+multiple_regression!$O$24*dummy_variables!$E$244+multiple_regression!$O$25*dummy_variables!$F$244+multiple_regression!$O$26*dummy_variables!$G$244+multiple_regression!$O$27*dummy_variables!$H$244+multiple_regression!$O$28*dummy_variables!$I$244</f>
        <v>744221.13130819367</v>
      </c>
      <c r="G244" s="26">
        <f t="shared" si="3"/>
        <v>-7150.9513081936166</v>
      </c>
    </row>
    <row r="245" spans="1:7" ht="15" customHeight="1">
      <c r="A245" s="5" t="str">
        <f>cleaned_data!$A$245</f>
        <v>STR-1061</v>
      </c>
      <c r="B245" s="25" t="str">
        <f>cleaned_data!$B$245</f>
        <v>2025-01-01</v>
      </c>
      <c r="C245" s="5" t="str">
        <f>cleaned_data!$C$245</f>
        <v>South</v>
      </c>
      <c r="D245" s="5" t="str">
        <f>cleaned_data!$D$245</f>
        <v>Airport</v>
      </c>
      <c r="E245" s="26">
        <f>cleaned_data!$M$245</f>
        <v>776992.93</v>
      </c>
      <c r="F245" s="26">
        <f>multiple_regression!$O$18+multiple_regression!$O$19*cleaned_data!$F$245+multiple_regression!$O$20*cleaned_data!$E$245+multiple_regression!$O$21*cleaned_data!$I$245+multiple_regression!$O$22*cleaned_data!$H$245+multiple_regression!$O$23*dummy_variables!$D$245+multiple_regression!$O$24*dummy_variables!$E$245+multiple_regression!$O$25*dummy_variables!$F$245+multiple_regression!$O$26*dummy_variables!$G$245+multiple_regression!$O$27*dummy_variables!$H$245+multiple_regression!$O$28*dummy_variables!$I$245</f>
        <v>780001.12084620784</v>
      </c>
      <c r="G245" s="26">
        <f t="shared" si="3"/>
        <v>-3008.1908462077845</v>
      </c>
    </row>
    <row r="246" spans="1:7" ht="15" customHeight="1">
      <c r="A246" s="5" t="str">
        <f>cleaned_data!$A$246</f>
        <v>STR-1061</v>
      </c>
      <c r="B246" s="25" t="str">
        <f>cleaned_data!$B$246</f>
        <v>2025-02-01</v>
      </c>
      <c r="C246" s="5" t="str">
        <f>cleaned_data!$C$246</f>
        <v>South</v>
      </c>
      <c r="D246" s="5" t="str">
        <f>cleaned_data!$D$246</f>
        <v>Airport</v>
      </c>
      <c r="E246" s="26">
        <f>cleaned_data!$M$246</f>
        <v>676337.41</v>
      </c>
      <c r="F246" s="26">
        <f>multiple_regression!$O$18+multiple_regression!$O$19*cleaned_data!$F$246+multiple_regression!$O$20*cleaned_data!$E$246+multiple_regression!$O$21*cleaned_data!$I$246+multiple_regression!$O$22*cleaned_data!$H$246+multiple_regression!$O$23*dummy_variables!$D$246+multiple_regression!$O$24*dummy_variables!$E$246+multiple_regression!$O$25*dummy_variables!$F$246+multiple_regression!$O$26*dummy_variables!$G$246+multiple_regression!$O$27*dummy_variables!$H$246+multiple_regression!$O$28*dummy_variables!$I$246</f>
        <v>663930.49772847339</v>
      </c>
      <c r="G246" s="26">
        <f t="shared" si="3"/>
        <v>12406.912271526642</v>
      </c>
    </row>
    <row r="247" spans="1:7" ht="15" customHeight="1">
      <c r="A247" s="5" t="str">
        <f>cleaned_data!$A$247</f>
        <v>STR-1061</v>
      </c>
      <c r="B247" s="25" t="str">
        <f>cleaned_data!$B$247</f>
        <v>2025-03-01</v>
      </c>
      <c r="C247" s="5" t="str">
        <f>cleaned_data!$C$247</f>
        <v>South</v>
      </c>
      <c r="D247" s="5" t="str">
        <f>cleaned_data!$D$247</f>
        <v>Airport</v>
      </c>
      <c r="E247" s="26">
        <f>cleaned_data!$M$247</f>
        <v>828219.67</v>
      </c>
      <c r="F247" s="26">
        <f>multiple_regression!$O$18+multiple_regression!$O$19*cleaned_data!$F$247+multiple_regression!$O$20*cleaned_data!$E$247+multiple_regression!$O$21*cleaned_data!$I$247+multiple_regression!$O$22*cleaned_data!$H$247+multiple_regression!$O$23*dummy_variables!$D$247+multiple_regression!$O$24*dummy_variables!$E$247+multiple_regression!$O$25*dummy_variables!$F$247+multiple_regression!$O$26*dummy_variables!$G$247+multiple_regression!$O$27*dummy_variables!$H$247+multiple_regression!$O$28*dummy_variables!$I$247</f>
        <v>842498.71486780734</v>
      </c>
      <c r="G247" s="26">
        <f t="shared" si="3"/>
        <v>-14279.044867807301</v>
      </c>
    </row>
    <row r="248" spans="1:7" ht="15" customHeight="1">
      <c r="A248" s="5" t="str">
        <f>cleaned_data!$A$248</f>
        <v>STR-1061</v>
      </c>
      <c r="B248" s="25" t="str">
        <f>cleaned_data!$B$248</f>
        <v>2025-04-01</v>
      </c>
      <c r="C248" s="5" t="str">
        <f>cleaned_data!$C$248</f>
        <v>South</v>
      </c>
      <c r="D248" s="5" t="str">
        <f>cleaned_data!$D$248</f>
        <v>Airport</v>
      </c>
      <c r="E248" s="26">
        <f>cleaned_data!$M$248</f>
        <v>763159.92</v>
      </c>
      <c r="F248" s="26">
        <f>multiple_regression!$O$18+multiple_regression!$O$19*cleaned_data!$F$248+multiple_regression!$O$20*cleaned_data!$E$248+multiple_regression!$O$21*cleaned_data!$I$248+multiple_regression!$O$22*cleaned_data!$H$248+multiple_regression!$O$23*dummy_variables!$D$248+multiple_regression!$O$24*dummy_variables!$E$248+multiple_regression!$O$25*dummy_variables!$F$248+multiple_regression!$O$26*dummy_variables!$G$248+multiple_regression!$O$27*dummy_variables!$H$248+multiple_regression!$O$28*dummy_variables!$I$248</f>
        <v>785379.19984983886</v>
      </c>
      <c r="G248" s="26">
        <f t="shared" si="3"/>
        <v>-22219.279849838815</v>
      </c>
    </row>
    <row r="249" spans="1:7" ht="15" customHeight="1">
      <c r="A249" s="5" t="str">
        <f>cleaned_data!$A$249</f>
        <v>STR-1062</v>
      </c>
      <c r="B249" s="25" t="str">
        <f>cleaned_data!$B$249</f>
        <v>2025-01-01</v>
      </c>
      <c r="C249" s="5" t="str">
        <f>cleaned_data!$C$249</f>
        <v>East</v>
      </c>
      <c r="D249" s="5" t="str">
        <f>cleaned_data!$D$249</f>
        <v>High Street</v>
      </c>
      <c r="E249" s="26">
        <f>cleaned_data!$M$249</f>
        <v>802001.68</v>
      </c>
      <c r="F249" s="26">
        <f>multiple_regression!$O$18+multiple_regression!$O$19*cleaned_data!$F$249+multiple_regression!$O$20*cleaned_data!$E$249+multiple_regression!$O$21*cleaned_data!$I$249+multiple_regression!$O$22*cleaned_data!$H$249+multiple_regression!$O$23*dummy_variables!$D$249+multiple_regression!$O$24*dummy_variables!$E$249+multiple_regression!$O$25*dummy_variables!$F$249+multiple_regression!$O$26*dummy_variables!$G$249+multiple_regression!$O$27*dummy_variables!$H$249+multiple_regression!$O$28*dummy_variables!$I$249</f>
        <v>780811.00323045696</v>
      </c>
      <c r="G249" s="26">
        <f t="shared" si="3"/>
        <v>21190.67676954309</v>
      </c>
    </row>
    <row r="250" spans="1:7" ht="15" customHeight="1">
      <c r="A250" s="5" t="str">
        <f>cleaned_data!$A$250</f>
        <v>STR-1062</v>
      </c>
      <c r="B250" s="25" t="str">
        <f>cleaned_data!$B$250</f>
        <v>2025-02-01</v>
      </c>
      <c r="C250" s="5" t="str">
        <f>cleaned_data!$C$250</f>
        <v>East</v>
      </c>
      <c r="D250" s="5" t="str">
        <f>cleaned_data!$D$250</f>
        <v>High Street</v>
      </c>
      <c r="E250" s="26">
        <f>cleaned_data!$M$250</f>
        <v>750471.34</v>
      </c>
      <c r="F250" s="26">
        <f>multiple_regression!$O$18+multiple_regression!$O$19*cleaned_data!$F$250+multiple_regression!$O$20*cleaned_data!$E$250+multiple_regression!$O$21*cleaned_data!$I$250+multiple_regression!$O$22*cleaned_data!$H$250+multiple_regression!$O$23*dummy_variables!$D$250+multiple_regression!$O$24*dummy_variables!$E$250+multiple_regression!$O$25*dummy_variables!$F$250+multiple_regression!$O$26*dummy_variables!$G$250+multiple_regression!$O$27*dummy_variables!$H$250+multiple_regression!$O$28*dummy_variables!$I$250</f>
        <v>737816.87882569002</v>
      </c>
      <c r="G250" s="26">
        <f t="shared" si="3"/>
        <v>12654.461174309952</v>
      </c>
    </row>
    <row r="251" spans="1:7" ht="15" customHeight="1">
      <c r="A251" s="5" t="str">
        <f>cleaned_data!$A$251</f>
        <v>STR-1062</v>
      </c>
      <c r="B251" s="25" t="str">
        <f>cleaned_data!$B$251</f>
        <v>2025-03-01</v>
      </c>
      <c r="C251" s="5" t="str">
        <f>cleaned_data!$C$251</f>
        <v>East</v>
      </c>
      <c r="D251" s="5" t="str">
        <f>cleaned_data!$D$251</f>
        <v>High Street</v>
      </c>
      <c r="E251" s="26">
        <f>cleaned_data!$M$251</f>
        <v>679230.86</v>
      </c>
      <c r="F251" s="26">
        <f>multiple_regression!$O$18+multiple_regression!$O$19*cleaned_data!$F$251+multiple_regression!$O$20*cleaned_data!$E$251+multiple_regression!$O$21*cleaned_data!$I$251+multiple_regression!$O$22*cleaned_data!$H$251+multiple_regression!$O$23*dummy_variables!$D$251+multiple_regression!$O$24*dummy_variables!$E$251+multiple_regression!$O$25*dummy_variables!$F$251+multiple_regression!$O$26*dummy_variables!$G$251+multiple_regression!$O$27*dummy_variables!$H$251+multiple_regression!$O$28*dummy_variables!$I$251</f>
        <v>718083.97927559714</v>
      </c>
      <c r="G251" s="26">
        <f t="shared" si="3"/>
        <v>-38853.119275597157</v>
      </c>
    </row>
    <row r="252" spans="1:7" ht="15" customHeight="1">
      <c r="A252" s="5" t="str">
        <f>cleaned_data!$A$252</f>
        <v>STR-1062</v>
      </c>
      <c r="B252" s="25" t="str">
        <f>cleaned_data!$B$252</f>
        <v>2025-04-01</v>
      </c>
      <c r="C252" s="5" t="str">
        <f>cleaned_data!$C$252</f>
        <v>East</v>
      </c>
      <c r="D252" s="5" t="str">
        <f>cleaned_data!$D$252</f>
        <v>High Street</v>
      </c>
      <c r="E252" s="26">
        <f>cleaned_data!$M$252</f>
        <v>679888.74</v>
      </c>
      <c r="F252" s="26">
        <f>multiple_regression!$O$18+multiple_regression!$O$19*cleaned_data!$F$252+multiple_regression!$O$20*cleaned_data!$E$252+multiple_regression!$O$21*cleaned_data!$I$252+multiple_regression!$O$22*cleaned_data!$H$252+multiple_regression!$O$23*dummy_variables!$D$252+multiple_regression!$O$24*dummy_variables!$E$252+multiple_regression!$O$25*dummy_variables!$F$252+multiple_regression!$O$26*dummy_variables!$G$252+multiple_regression!$O$27*dummy_variables!$H$252+multiple_regression!$O$28*dummy_variables!$I$252</f>
        <v>690487.6831812351</v>
      </c>
      <c r="G252" s="26">
        <f t="shared" si="3"/>
        <v>-10598.94318123511</v>
      </c>
    </row>
    <row r="253" spans="1:7" ht="15" customHeight="1">
      <c r="A253" s="5" t="str">
        <f>cleaned_data!$A$253</f>
        <v>STR-1063</v>
      </c>
      <c r="B253" s="25" t="str">
        <f>cleaned_data!$B$253</f>
        <v>2025-01-01</v>
      </c>
      <c r="C253" s="5" t="str">
        <f>cleaned_data!$C$253</f>
        <v>North</v>
      </c>
      <c r="D253" s="5" t="str">
        <f>cleaned_data!$D$253</f>
        <v>High Street</v>
      </c>
      <c r="E253" s="26">
        <f>cleaned_data!$M$253</f>
        <v>606783.67000000004</v>
      </c>
      <c r="F253" s="26">
        <f>multiple_regression!$O$18+multiple_regression!$O$19*cleaned_data!$F$253+multiple_regression!$O$20*cleaned_data!$E$253+multiple_regression!$O$21*cleaned_data!$I$253+multiple_regression!$O$22*cleaned_data!$H$253+multiple_regression!$O$23*dummy_variables!$D$253+multiple_regression!$O$24*dummy_variables!$E$253+multiple_regression!$O$25*dummy_variables!$F$253+multiple_regression!$O$26*dummy_variables!$G$253+multiple_regression!$O$27*dummy_variables!$H$253+multiple_regression!$O$28*dummy_variables!$I$253</f>
        <v>587705.89539575041</v>
      </c>
      <c r="G253" s="26">
        <f t="shared" si="3"/>
        <v>19077.774604249629</v>
      </c>
    </row>
    <row r="254" spans="1:7" ht="15" customHeight="1">
      <c r="A254" s="5" t="str">
        <f>cleaned_data!$A$254</f>
        <v>STR-1063</v>
      </c>
      <c r="B254" s="25" t="str">
        <f>cleaned_data!$B$254</f>
        <v>2025-02-01</v>
      </c>
      <c r="C254" s="5" t="str">
        <f>cleaned_data!$C$254</f>
        <v>North</v>
      </c>
      <c r="D254" s="5" t="str">
        <f>cleaned_data!$D$254</f>
        <v>High Street</v>
      </c>
      <c r="E254" s="26">
        <f>cleaned_data!$M$254</f>
        <v>642751.42000000004</v>
      </c>
      <c r="F254" s="26">
        <f>multiple_regression!$O$18+multiple_regression!$O$19*cleaned_data!$F$254+multiple_regression!$O$20*cleaned_data!$E$254+multiple_regression!$O$21*cleaned_data!$I$254+multiple_regression!$O$22*cleaned_data!$H$254+multiple_regression!$O$23*dummy_variables!$D$254+multiple_regression!$O$24*dummy_variables!$E$254+multiple_regression!$O$25*dummy_variables!$F$254+multiple_regression!$O$26*dummy_variables!$G$254+multiple_regression!$O$27*dummy_variables!$H$254+multiple_regression!$O$28*dummy_variables!$I$254</f>
        <v>656344.93644210522</v>
      </c>
      <c r="G254" s="26">
        <f t="shared" si="3"/>
        <v>-13593.516442105174</v>
      </c>
    </row>
    <row r="255" spans="1:7" ht="15" customHeight="1">
      <c r="A255" s="5" t="str">
        <f>cleaned_data!$A$255</f>
        <v>STR-1063</v>
      </c>
      <c r="B255" s="25" t="str">
        <f>cleaned_data!$B$255</f>
        <v>2025-03-01</v>
      </c>
      <c r="C255" s="5" t="str">
        <f>cleaned_data!$C$255</f>
        <v>North</v>
      </c>
      <c r="D255" s="5" t="str">
        <f>cleaned_data!$D$255</f>
        <v>High Street</v>
      </c>
      <c r="E255" s="26">
        <f>cleaned_data!$M$255</f>
        <v>647953.78</v>
      </c>
      <c r="F255" s="26">
        <f>multiple_regression!$O$18+multiple_regression!$O$19*cleaned_data!$F$255+multiple_regression!$O$20*cleaned_data!$E$255+multiple_regression!$O$21*cleaned_data!$I$255+multiple_regression!$O$22*cleaned_data!$H$255+multiple_regression!$O$23*dummy_variables!$D$255+multiple_regression!$O$24*dummy_variables!$E$255+multiple_regression!$O$25*dummy_variables!$F$255+multiple_regression!$O$26*dummy_variables!$G$255+multiple_regression!$O$27*dummy_variables!$H$255+multiple_regression!$O$28*dummy_variables!$I$255</f>
        <v>646070.96558817464</v>
      </c>
      <c r="G255" s="26">
        <f t="shared" si="3"/>
        <v>1882.814411825384</v>
      </c>
    </row>
    <row r="256" spans="1:7" ht="15" customHeight="1">
      <c r="A256" s="5" t="str">
        <f>cleaned_data!$A$256</f>
        <v>STR-1063</v>
      </c>
      <c r="B256" s="25" t="str">
        <f>cleaned_data!$B$256</f>
        <v>2025-04-01</v>
      </c>
      <c r="C256" s="5" t="str">
        <f>cleaned_data!$C$256</f>
        <v>North</v>
      </c>
      <c r="D256" s="5" t="str">
        <f>cleaned_data!$D$256</f>
        <v>High Street</v>
      </c>
      <c r="E256" s="26">
        <f>cleaned_data!$M$256</f>
        <v>729440.45</v>
      </c>
      <c r="F256" s="26">
        <f>multiple_regression!$O$18+multiple_regression!$O$19*cleaned_data!$F$256+multiple_regression!$O$20*cleaned_data!$E$256+multiple_regression!$O$21*cleaned_data!$I$256+multiple_regression!$O$22*cleaned_data!$H$256+multiple_regression!$O$23*dummy_variables!$D$256+multiple_regression!$O$24*dummy_variables!$E$256+multiple_regression!$O$25*dummy_variables!$F$256+multiple_regression!$O$26*dummy_variables!$G$256+multiple_regression!$O$27*dummy_variables!$H$256+multiple_regression!$O$28*dummy_variables!$I$256</f>
        <v>699966.55100611201</v>
      </c>
      <c r="G256" s="26">
        <f t="shared" si="3"/>
        <v>29473.898993887939</v>
      </c>
    </row>
    <row r="257" spans="1:7" ht="15" customHeight="1">
      <c r="A257" s="5" t="str">
        <f>cleaned_data!$A$257</f>
        <v>STR-1064</v>
      </c>
      <c r="B257" s="25" t="str">
        <f>cleaned_data!$B$257</f>
        <v>2025-01-01</v>
      </c>
      <c r="C257" s="5" t="str">
        <f>cleaned_data!$C$257</f>
        <v>South</v>
      </c>
      <c r="D257" s="5" t="str">
        <f>cleaned_data!$D$257</f>
        <v>Airport</v>
      </c>
      <c r="E257" s="26">
        <f>cleaned_data!$M$257</f>
        <v>764949</v>
      </c>
      <c r="F257" s="26">
        <f>multiple_regression!$O$18+multiple_regression!$O$19*cleaned_data!$F$257+multiple_regression!$O$20*cleaned_data!$E$257+multiple_regression!$O$21*cleaned_data!$I$257+multiple_regression!$O$22*cleaned_data!$H$257+multiple_regression!$O$23*dummy_variables!$D$257+multiple_regression!$O$24*dummy_variables!$E$257+multiple_regression!$O$25*dummy_variables!$F$257+multiple_regression!$O$26*dummy_variables!$G$257+multiple_regression!$O$27*dummy_variables!$H$257+multiple_regression!$O$28*dummy_variables!$I$257</f>
        <v>780771.43330397725</v>
      </c>
      <c r="G257" s="26">
        <f t="shared" si="3"/>
        <v>-15822.433303977246</v>
      </c>
    </row>
    <row r="258" spans="1:7" ht="15" customHeight="1">
      <c r="A258" s="5" t="str">
        <f>cleaned_data!$A$258</f>
        <v>STR-1064</v>
      </c>
      <c r="B258" s="25" t="str">
        <f>cleaned_data!$B$258</f>
        <v>2025-02-01</v>
      </c>
      <c r="C258" s="5" t="str">
        <f>cleaned_data!$C$258</f>
        <v>South</v>
      </c>
      <c r="D258" s="5" t="str">
        <f>cleaned_data!$D$258</f>
        <v>Airport</v>
      </c>
      <c r="E258" s="26">
        <f>cleaned_data!$M$258</f>
        <v>799046.94</v>
      </c>
      <c r="F258" s="26">
        <f>multiple_regression!$O$18+multiple_regression!$O$19*cleaned_data!$F$258+multiple_regression!$O$20*cleaned_data!$E$258+multiple_regression!$O$21*cleaned_data!$I$258+multiple_regression!$O$22*cleaned_data!$H$258+multiple_regression!$O$23*dummy_variables!$D$258+multiple_regression!$O$24*dummy_variables!$E$258+multiple_regression!$O$25*dummy_variables!$F$258+multiple_regression!$O$26*dummy_variables!$G$258+multiple_regression!$O$27*dummy_variables!$H$258+multiple_regression!$O$28*dummy_variables!$I$258</f>
        <v>735780.63815102295</v>
      </c>
      <c r="G258" s="26">
        <f t="shared" si="3"/>
        <v>63266.301848976989</v>
      </c>
    </row>
    <row r="259" spans="1:7" ht="15" customHeight="1">
      <c r="A259" s="5" t="str">
        <f>cleaned_data!$A$259</f>
        <v>STR-1064</v>
      </c>
      <c r="B259" s="25" t="str">
        <f>cleaned_data!$B$259</f>
        <v>2025-03-01</v>
      </c>
      <c r="C259" s="5" t="str">
        <f>cleaned_data!$C$259</f>
        <v>South</v>
      </c>
      <c r="D259" s="5" t="str">
        <f>cleaned_data!$D$259</f>
        <v>Airport</v>
      </c>
      <c r="E259" s="26">
        <f>cleaned_data!$M$259</f>
        <v>720079.54</v>
      </c>
      <c r="F259" s="26">
        <f>multiple_regression!$O$18+multiple_regression!$O$19*cleaned_data!$F$259+multiple_regression!$O$20*cleaned_data!$E$259+multiple_regression!$O$21*cleaned_data!$I$259+multiple_regression!$O$22*cleaned_data!$H$259+multiple_regression!$O$23*dummy_variables!$D$259+multiple_regression!$O$24*dummy_variables!$E$259+multiple_regression!$O$25*dummy_variables!$F$259+multiple_regression!$O$26*dummy_variables!$G$259+multiple_regression!$O$27*dummy_variables!$H$259+multiple_regression!$O$28*dummy_variables!$I$259</f>
        <v>698670.66882218712</v>
      </c>
      <c r="G259" s="26">
        <f t="shared" si="3"/>
        <v>21408.871177812922</v>
      </c>
    </row>
    <row r="260" spans="1:7" ht="15" customHeight="1">
      <c r="A260" s="5" t="str">
        <f>cleaned_data!$A$260</f>
        <v>STR-1064</v>
      </c>
      <c r="B260" s="25" t="str">
        <f>cleaned_data!$B$260</f>
        <v>2025-04-01</v>
      </c>
      <c r="C260" s="5" t="str">
        <f>cleaned_data!$C$260</f>
        <v>South</v>
      </c>
      <c r="D260" s="5" t="str">
        <f>cleaned_data!$D$260</f>
        <v>Airport</v>
      </c>
      <c r="E260" s="26">
        <f>cleaned_data!$M$260</f>
        <v>612390.14</v>
      </c>
      <c r="F260" s="26">
        <f>multiple_regression!$O$18+multiple_regression!$O$19*cleaned_data!$F$260+multiple_regression!$O$20*cleaned_data!$E$260+multiple_regression!$O$21*cleaned_data!$I$260+multiple_regression!$O$22*cleaned_data!$H$260+multiple_regression!$O$23*dummy_variables!$D$260+multiple_regression!$O$24*dummy_variables!$E$260+multiple_regression!$O$25*dummy_variables!$F$260+multiple_regression!$O$26*dummy_variables!$G$260+multiple_regression!$O$27*dummy_variables!$H$260+multiple_regression!$O$28*dummy_variables!$I$260</f>
        <v>669327.87467820011</v>
      </c>
      <c r="G260" s="26">
        <f t="shared" si="3"/>
        <v>-56937.734678200097</v>
      </c>
    </row>
    <row r="261" spans="1:7" ht="15" customHeight="1">
      <c r="A261" s="5" t="str">
        <f>cleaned_data!$A$261</f>
        <v>STR-1065</v>
      </c>
      <c r="B261" s="25" t="str">
        <f>cleaned_data!$B$261</f>
        <v>2025-01-01</v>
      </c>
      <c r="C261" s="5" t="str">
        <f>cleaned_data!$C$261</f>
        <v>South</v>
      </c>
      <c r="D261" s="5" t="str">
        <f>cleaned_data!$D$261</f>
        <v>Mall</v>
      </c>
      <c r="E261" s="26">
        <f>cleaned_data!$M$261</f>
        <v>840108.12</v>
      </c>
      <c r="F261" s="26">
        <f>multiple_regression!$O$18+multiple_regression!$O$19*cleaned_data!$F$261+multiple_regression!$O$20*cleaned_data!$E$261+multiple_regression!$O$21*cleaned_data!$I$261+multiple_regression!$O$22*cleaned_data!$H$261+multiple_regression!$O$23*dummy_variables!$D$261+multiple_regression!$O$24*dummy_variables!$E$261+multiple_regression!$O$25*dummy_variables!$F$261+multiple_regression!$O$26*dummy_variables!$G$261+multiple_regression!$O$27*dummy_variables!$H$261+multiple_regression!$O$28*dummy_variables!$I$261</f>
        <v>765637.06312565168</v>
      </c>
      <c r="G261" s="26">
        <f t="shared" ref="G261:G324" si="4">E261-F261</f>
        <v>74471.056874348316</v>
      </c>
    </row>
    <row r="262" spans="1:7" ht="15" customHeight="1">
      <c r="A262" s="5" t="str">
        <f>cleaned_data!$A$262</f>
        <v>STR-1065</v>
      </c>
      <c r="B262" s="25" t="str">
        <f>cleaned_data!$B$262</f>
        <v>2025-02-01</v>
      </c>
      <c r="C262" s="5" t="str">
        <f>cleaned_data!$C$262</f>
        <v>South</v>
      </c>
      <c r="D262" s="5" t="str">
        <f>cleaned_data!$D$262</f>
        <v>Mall</v>
      </c>
      <c r="E262" s="26">
        <f>cleaned_data!$M$262</f>
        <v>697888.09</v>
      </c>
      <c r="F262" s="26">
        <f>multiple_regression!$O$18+multiple_regression!$O$19*cleaned_data!$F$262+multiple_regression!$O$20*cleaned_data!$E$262+multiple_regression!$O$21*cleaned_data!$I$262+multiple_regression!$O$22*cleaned_data!$H$262+multiple_regression!$O$23*dummy_variables!$D$262+multiple_regression!$O$24*dummy_variables!$E$262+multiple_regression!$O$25*dummy_variables!$F$262+multiple_regression!$O$26*dummy_variables!$G$262+multiple_regression!$O$27*dummy_variables!$H$262+multiple_regression!$O$28*dummy_variables!$I$262</f>
        <v>690325.06756379234</v>
      </c>
      <c r="G262" s="26">
        <f t="shared" si="4"/>
        <v>7563.022436207626</v>
      </c>
    </row>
    <row r="263" spans="1:7" ht="15" customHeight="1">
      <c r="A263" s="5" t="str">
        <f>cleaned_data!$A$263</f>
        <v>STR-1065</v>
      </c>
      <c r="B263" s="25" t="str">
        <f>cleaned_data!$B$263</f>
        <v>2025-03-01</v>
      </c>
      <c r="C263" s="5" t="str">
        <f>cleaned_data!$C$263</f>
        <v>South</v>
      </c>
      <c r="D263" s="5" t="str">
        <f>cleaned_data!$D$263</f>
        <v>Mall</v>
      </c>
      <c r="E263" s="26">
        <f>cleaned_data!$M$263</f>
        <v>746115.59</v>
      </c>
      <c r="F263" s="26">
        <f>multiple_regression!$O$18+multiple_regression!$O$19*cleaned_data!$F$263+multiple_regression!$O$20*cleaned_data!$E$263+multiple_regression!$O$21*cleaned_data!$I$263+multiple_regression!$O$22*cleaned_data!$H$263+multiple_regression!$O$23*dummy_variables!$D$263+multiple_regression!$O$24*dummy_variables!$E$263+multiple_regression!$O$25*dummy_variables!$F$263+multiple_regression!$O$26*dummy_variables!$G$263+multiple_regression!$O$27*dummy_variables!$H$263+multiple_regression!$O$28*dummy_variables!$I$263</f>
        <v>753513.19120512193</v>
      </c>
      <c r="G263" s="26">
        <f t="shared" si="4"/>
        <v>-7397.6012051219586</v>
      </c>
    </row>
    <row r="264" spans="1:7" ht="15" customHeight="1">
      <c r="A264" s="5" t="str">
        <f>cleaned_data!$A$264</f>
        <v>STR-1065</v>
      </c>
      <c r="B264" s="25" t="str">
        <f>cleaned_data!$B$264</f>
        <v>2025-04-01</v>
      </c>
      <c r="C264" s="5" t="str">
        <f>cleaned_data!$C$264</f>
        <v>South</v>
      </c>
      <c r="D264" s="5" t="str">
        <f>cleaned_data!$D$264</f>
        <v>Mall</v>
      </c>
      <c r="E264" s="26">
        <f>cleaned_data!$M$264</f>
        <v>776110.32</v>
      </c>
      <c r="F264" s="26">
        <f>multiple_regression!$O$18+multiple_regression!$O$19*cleaned_data!$F$264+multiple_regression!$O$20*cleaned_data!$E$264+multiple_regression!$O$21*cleaned_data!$I$264+multiple_regression!$O$22*cleaned_data!$H$264+multiple_regression!$O$23*dummy_variables!$D$264+multiple_regression!$O$24*dummy_variables!$E$264+multiple_regression!$O$25*dummy_variables!$F$264+multiple_regression!$O$26*dummy_variables!$G$264+multiple_regression!$O$27*dummy_variables!$H$264+multiple_regression!$O$28*dummy_variables!$I$264</f>
        <v>743407.17605496128</v>
      </c>
      <c r="G264" s="26">
        <f t="shared" si="4"/>
        <v>32703.143945038668</v>
      </c>
    </row>
    <row r="265" spans="1:7" ht="15" customHeight="1">
      <c r="A265" s="5" t="str">
        <f>cleaned_data!$A$265</f>
        <v>STR-1066</v>
      </c>
      <c r="B265" s="25" t="str">
        <f>cleaned_data!$B$265</f>
        <v>2025-01-01</v>
      </c>
      <c r="C265" s="5" t="str">
        <f>cleaned_data!$C$265</f>
        <v>West</v>
      </c>
      <c r="D265" s="5" t="str">
        <f>cleaned_data!$D$265</f>
        <v>High Street</v>
      </c>
      <c r="E265" s="26">
        <f>cleaned_data!$M$265</f>
        <v>528852.62</v>
      </c>
      <c r="F265" s="26">
        <f>multiple_regression!$O$18+multiple_regression!$O$19*cleaned_data!$F$265+multiple_regression!$O$20*cleaned_data!$E$265+multiple_regression!$O$21*cleaned_data!$I$265+multiple_regression!$O$22*cleaned_data!$H$265+multiple_regression!$O$23*dummy_variables!$D$265+multiple_regression!$O$24*dummy_variables!$E$265+multiple_regression!$O$25*dummy_variables!$F$265+multiple_regression!$O$26*dummy_variables!$G$265+multiple_regression!$O$27*dummy_variables!$H$265+multiple_regression!$O$28*dummy_variables!$I$265</f>
        <v>526719.21864249569</v>
      </c>
      <c r="G265" s="26">
        <f t="shared" si="4"/>
        <v>2133.4013575043064</v>
      </c>
    </row>
    <row r="266" spans="1:7" ht="15" customHeight="1">
      <c r="A266" s="5" t="str">
        <f>cleaned_data!$A$266</f>
        <v>STR-1066</v>
      </c>
      <c r="B266" s="25" t="str">
        <f>cleaned_data!$B$266</f>
        <v>2025-02-01</v>
      </c>
      <c r="C266" s="5" t="str">
        <f>cleaned_data!$C$266</f>
        <v>West</v>
      </c>
      <c r="D266" s="5" t="str">
        <f>cleaned_data!$D$266</f>
        <v>High Street</v>
      </c>
      <c r="E266" s="26">
        <f>cleaned_data!$M$266</f>
        <v>605751.32999999996</v>
      </c>
      <c r="F266" s="26">
        <f>multiple_regression!$O$18+multiple_regression!$O$19*cleaned_data!$F$266+multiple_regression!$O$20*cleaned_data!$E$266+multiple_regression!$O$21*cleaned_data!$I$266+multiple_regression!$O$22*cleaned_data!$H$266+multiple_regression!$O$23*dummy_variables!$D$266+multiple_regression!$O$24*dummy_variables!$E$266+multiple_regression!$O$25*dummy_variables!$F$266+multiple_regression!$O$26*dummy_variables!$G$266+multiple_regression!$O$27*dummy_variables!$H$266+multiple_regression!$O$28*dummy_variables!$I$266</f>
        <v>609891.66800860071</v>
      </c>
      <c r="G266" s="26">
        <f t="shared" si="4"/>
        <v>-4140.3380086007528</v>
      </c>
    </row>
    <row r="267" spans="1:7" ht="15" customHeight="1">
      <c r="A267" s="5" t="str">
        <f>cleaned_data!$A$267</f>
        <v>STR-1066</v>
      </c>
      <c r="B267" s="25" t="str">
        <f>cleaned_data!$B$267</f>
        <v>2025-03-01</v>
      </c>
      <c r="C267" s="5" t="str">
        <f>cleaned_data!$C$267</f>
        <v>West</v>
      </c>
      <c r="D267" s="5" t="str">
        <f>cleaned_data!$D$267</f>
        <v>High Street</v>
      </c>
      <c r="E267" s="26">
        <f>cleaned_data!$M$267</f>
        <v>677640.65</v>
      </c>
      <c r="F267" s="26">
        <f>multiple_regression!$O$18+multiple_regression!$O$19*cleaned_data!$F$267+multiple_regression!$O$20*cleaned_data!$E$267+multiple_regression!$O$21*cleaned_data!$I$267+multiple_regression!$O$22*cleaned_data!$H$267+multiple_regression!$O$23*dummy_variables!$D$267+multiple_regression!$O$24*dummy_variables!$E$267+multiple_regression!$O$25*dummy_variables!$F$267+multiple_regression!$O$26*dummy_variables!$G$267+multiple_regression!$O$27*dummy_variables!$H$267+multiple_regression!$O$28*dummy_variables!$I$267</f>
        <v>606508.85213841556</v>
      </c>
      <c r="G267" s="26">
        <f t="shared" si="4"/>
        <v>71131.797861584462</v>
      </c>
    </row>
    <row r="268" spans="1:7" ht="15" customHeight="1">
      <c r="A268" s="5" t="str">
        <f>cleaned_data!$A$268</f>
        <v>STR-1066</v>
      </c>
      <c r="B268" s="25" t="str">
        <f>cleaned_data!$B$268</f>
        <v>2025-04-01</v>
      </c>
      <c r="C268" s="5" t="str">
        <f>cleaned_data!$C$268</f>
        <v>West</v>
      </c>
      <c r="D268" s="5" t="str">
        <f>cleaned_data!$D$268</f>
        <v>High Street</v>
      </c>
      <c r="E268" s="26">
        <f>cleaned_data!$M$268</f>
        <v>636613.23</v>
      </c>
      <c r="F268" s="26">
        <f>multiple_regression!$O$18+multiple_regression!$O$19*cleaned_data!$F$268+multiple_regression!$O$20*cleaned_data!$E$268+multiple_regression!$O$21*cleaned_data!$I$268+multiple_regression!$O$22*cleaned_data!$H$268+multiple_regression!$O$23*dummy_variables!$D$268+multiple_regression!$O$24*dummy_variables!$E$268+multiple_regression!$O$25*dummy_variables!$F$268+multiple_regression!$O$26*dummy_variables!$G$268+multiple_regression!$O$27*dummy_variables!$H$268+multiple_regression!$O$28*dummy_variables!$I$268</f>
        <v>622757.71407732123</v>
      </c>
      <c r="G268" s="26">
        <f t="shared" si="4"/>
        <v>13855.515922678751</v>
      </c>
    </row>
    <row r="269" spans="1:7" ht="15" customHeight="1">
      <c r="A269" s="5" t="str">
        <f>cleaned_data!$A$269</f>
        <v>STR-1067</v>
      </c>
      <c r="B269" s="25" t="str">
        <f>cleaned_data!$B$269</f>
        <v>2025-01-01</v>
      </c>
      <c r="C269" s="5" t="str">
        <f>cleaned_data!$C$269</f>
        <v>East</v>
      </c>
      <c r="D269" s="5" t="str">
        <f>cleaned_data!$D$269</f>
        <v>High Street</v>
      </c>
      <c r="E269" s="26">
        <f>cleaned_data!$M$269</f>
        <v>708985.19</v>
      </c>
      <c r="F269" s="26">
        <f>multiple_regression!$O$18+multiple_regression!$O$19*cleaned_data!$F$269+multiple_regression!$O$20*cleaned_data!$E$269+multiple_regression!$O$21*cleaned_data!$I$269+multiple_regression!$O$22*cleaned_data!$H$269+multiple_regression!$O$23*dummy_variables!$D$269+multiple_regression!$O$24*dummy_variables!$E$269+multiple_regression!$O$25*dummy_variables!$F$269+multiple_regression!$O$26*dummy_variables!$G$269+multiple_regression!$O$27*dummy_variables!$H$269+multiple_regression!$O$28*dummy_variables!$I$269</f>
        <v>713781.15102577792</v>
      </c>
      <c r="G269" s="26">
        <f t="shared" si="4"/>
        <v>-4795.9610257779714</v>
      </c>
    </row>
    <row r="270" spans="1:7" ht="15" customHeight="1">
      <c r="A270" s="5" t="str">
        <f>cleaned_data!$A$270</f>
        <v>STR-1067</v>
      </c>
      <c r="B270" s="25" t="str">
        <f>cleaned_data!$B$270</f>
        <v>2025-02-01</v>
      </c>
      <c r="C270" s="5" t="str">
        <f>cleaned_data!$C$270</f>
        <v>East</v>
      </c>
      <c r="D270" s="5" t="str">
        <f>cleaned_data!$D$270</f>
        <v>High Street</v>
      </c>
      <c r="E270" s="26">
        <f>cleaned_data!$M$270</f>
        <v>767792.94</v>
      </c>
      <c r="F270" s="26">
        <f>multiple_regression!$O$18+multiple_regression!$O$19*cleaned_data!$F$270+multiple_regression!$O$20*cleaned_data!$E$270+multiple_regression!$O$21*cleaned_data!$I$270+multiple_regression!$O$22*cleaned_data!$H$270+multiple_regression!$O$23*dummy_variables!$D$270+multiple_regression!$O$24*dummy_variables!$E$270+multiple_regression!$O$25*dummy_variables!$F$270+multiple_regression!$O$26*dummy_variables!$G$270+multiple_regression!$O$27*dummy_variables!$H$270+multiple_regression!$O$28*dummy_variables!$I$270</f>
        <v>736091.08169743139</v>
      </c>
      <c r="G270" s="26">
        <f t="shared" si="4"/>
        <v>31701.858302568551</v>
      </c>
    </row>
    <row r="271" spans="1:7" ht="15" customHeight="1">
      <c r="A271" s="5" t="str">
        <f>cleaned_data!$A$271</f>
        <v>STR-1067</v>
      </c>
      <c r="B271" s="25" t="str">
        <f>cleaned_data!$B$271</f>
        <v>2025-03-01</v>
      </c>
      <c r="C271" s="5" t="str">
        <f>cleaned_data!$C$271</f>
        <v>East</v>
      </c>
      <c r="D271" s="5" t="str">
        <f>cleaned_data!$D$271</f>
        <v>High Street</v>
      </c>
      <c r="E271" s="26">
        <f>cleaned_data!$M$271</f>
        <v>745580.51</v>
      </c>
      <c r="F271" s="26">
        <f>multiple_regression!$O$18+multiple_regression!$O$19*cleaned_data!$F$271+multiple_regression!$O$20*cleaned_data!$E$271+multiple_regression!$O$21*cleaned_data!$I$271+multiple_regression!$O$22*cleaned_data!$H$271+multiple_regression!$O$23*dummy_variables!$D$271+multiple_regression!$O$24*dummy_variables!$E$271+multiple_regression!$O$25*dummy_variables!$F$271+multiple_regression!$O$26*dummy_variables!$G$271+multiple_regression!$O$27*dummy_variables!$H$271+multiple_regression!$O$28*dummy_variables!$I$271</f>
        <v>723801.22440347087</v>
      </c>
      <c r="G271" s="26">
        <f t="shared" si="4"/>
        <v>21779.285596529138</v>
      </c>
    </row>
    <row r="272" spans="1:7" ht="15" customHeight="1">
      <c r="A272" s="5" t="str">
        <f>cleaned_data!$A$272</f>
        <v>STR-1067</v>
      </c>
      <c r="B272" s="25" t="str">
        <f>cleaned_data!$B$272</f>
        <v>2025-04-01</v>
      </c>
      <c r="C272" s="5" t="str">
        <f>cleaned_data!$C$272</f>
        <v>East</v>
      </c>
      <c r="D272" s="5" t="str">
        <f>cleaned_data!$D$272</f>
        <v>High Street</v>
      </c>
      <c r="E272" s="26">
        <f>cleaned_data!$M$272</f>
        <v>762328.31</v>
      </c>
      <c r="F272" s="26">
        <f>multiple_regression!$O$18+multiple_regression!$O$19*cleaned_data!$F$272+multiple_regression!$O$20*cleaned_data!$E$272+multiple_regression!$O$21*cleaned_data!$I$272+multiple_regression!$O$22*cleaned_data!$H$272+multiple_regression!$O$23*dummy_variables!$D$272+multiple_regression!$O$24*dummy_variables!$E$272+multiple_regression!$O$25*dummy_variables!$F$272+multiple_regression!$O$26*dummy_variables!$G$272+multiple_regression!$O$27*dummy_variables!$H$272+multiple_regression!$O$28*dummy_variables!$I$272</f>
        <v>712907.73315250664</v>
      </c>
      <c r="G272" s="26">
        <f t="shared" si="4"/>
        <v>49420.576847493416</v>
      </c>
    </row>
    <row r="273" spans="1:7" ht="15" customHeight="1">
      <c r="A273" s="5" t="str">
        <f>cleaned_data!$A$273</f>
        <v>STR-1068</v>
      </c>
      <c r="B273" s="25" t="str">
        <f>cleaned_data!$B$273</f>
        <v>2025-01-01</v>
      </c>
      <c r="C273" s="5" t="str">
        <f>cleaned_data!$C$273</f>
        <v>East</v>
      </c>
      <c r="D273" s="5" t="str">
        <f>cleaned_data!$D$273</f>
        <v>Mall</v>
      </c>
      <c r="E273" s="26">
        <f>cleaned_data!$M$273</f>
        <v>660633.99</v>
      </c>
      <c r="F273" s="26">
        <f>multiple_regression!$O$18+multiple_regression!$O$19*cleaned_data!$F$273+multiple_regression!$O$20*cleaned_data!$E$273+multiple_regression!$O$21*cleaned_data!$I$273+multiple_regression!$O$22*cleaned_data!$H$273+multiple_regression!$O$23*dummy_variables!$D$273+multiple_regression!$O$24*dummy_variables!$E$273+multiple_regression!$O$25*dummy_variables!$F$273+multiple_regression!$O$26*dummy_variables!$G$273+multiple_regression!$O$27*dummy_variables!$H$273+multiple_regression!$O$28*dummy_variables!$I$273</f>
        <v>735042.81223503372</v>
      </c>
      <c r="G273" s="26">
        <f t="shared" si="4"/>
        <v>-74408.822235033731</v>
      </c>
    </row>
    <row r="274" spans="1:7" ht="15" customHeight="1">
      <c r="A274" s="5" t="str">
        <f>cleaned_data!$A$274</f>
        <v>STR-1068</v>
      </c>
      <c r="B274" s="25" t="str">
        <f>cleaned_data!$B$274</f>
        <v>2025-02-01</v>
      </c>
      <c r="C274" s="5" t="str">
        <f>cleaned_data!$C$274</f>
        <v>East</v>
      </c>
      <c r="D274" s="5" t="str">
        <f>cleaned_data!$D$274</f>
        <v>Mall</v>
      </c>
      <c r="E274" s="26">
        <f>cleaned_data!$M$274</f>
        <v>739374.56</v>
      </c>
      <c r="F274" s="26">
        <f>multiple_regression!$O$18+multiple_regression!$O$19*cleaned_data!$F$274+multiple_regression!$O$20*cleaned_data!$E$274+multiple_regression!$O$21*cleaned_data!$I$274+multiple_regression!$O$22*cleaned_data!$H$274+multiple_regression!$O$23*dummy_variables!$D$274+multiple_regression!$O$24*dummy_variables!$E$274+multiple_regression!$O$25*dummy_variables!$F$274+multiple_regression!$O$26*dummy_variables!$G$274+multiple_regression!$O$27*dummy_variables!$H$274+multiple_regression!$O$28*dummy_variables!$I$274</f>
        <v>698354.61937122408</v>
      </c>
      <c r="G274" s="26">
        <f t="shared" si="4"/>
        <v>41019.940628775978</v>
      </c>
    </row>
    <row r="275" spans="1:7" ht="15" customHeight="1">
      <c r="A275" s="5" t="str">
        <f>cleaned_data!$A$275</f>
        <v>STR-1068</v>
      </c>
      <c r="B275" s="25" t="str">
        <f>cleaned_data!$B$275</f>
        <v>2025-03-01</v>
      </c>
      <c r="C275" s="5" t="str">
        <f>cleaned_data!$C$275</f>
        <v>East</v>
      </c>
      <c r="D275" s="5" t="str">
        <f>cleaned_data!$D$275</f>
        <v>Mall</v>
      </c>
      <c r="E275" s="26">
        <f>cleaned_data!$M$275</f>
        <v>799756.46</v>
      </c>
      <c r="F275" s="26">
        <f>multiple_regression!$O$18+multiple_regression!$O$19*cleaned_data!$F$275+multiple_regression!$O$20*cleaned_data!$E$275+multiple_regression!$O$21*cleaned_data!$I$275+multiple_regression!$O$22*cleaned_data!$H$275+multiple_regression!$O$23*dummy_variables!$D$275+multiple_regression!$O$24*dummy_variables!$E$275+multiple_regression!$O$25*dummy_variables!$F$275+multiple_regression!$O$26*dummy_variables!$G$275+multiple_regression!$O$27*dummy_variables!$H$275+multiple_regression!$O$28*dummy_variables!$I$275</f>
        <v>804306.71808445512</v>
      </c>
      <c r="G275" s="26">
        <f t="shared" si="4"/>
        <v>-4550.2580844551558</v>
      </c>
    </row>
    <row r="276" spans="1:7" ht="15" customHeight="1">
      <c r="A276" s="5" t="str">
        <f>cleaned_data!$A$276</f>
        <v>STR-1068</v>
      </c>
      <c r="B276" s="25" t="str">
        <f>cleaned_data!$B$276</f>
        <v>2025-04-01</v>
      </c>
      <c r="C276" s="5" t="str">
        <f>cleaned_data!$C$276</f>
        <v>East</v>
      </c>
      <c r="D276" s="5" t="str">
        <f>cleaned_data!$D$276</f>
        <v>Mall</v>
      </c>
      <c r="E276" s="26">
        <f>cleaned_data!$M$276</f>
        <v>593343</v>
      </c>
      <c r="F276" s="26">
        <f>multiple_regression!$O$18+multiple_regression!$O$19*cleaned_data!$F$276+multiple_regression!$O$20*cleaned_data!$E$276+multiple_regression!$O$21*cleaned_data!$I$276+multiple_regression!$O$22*cleaned_data!$H$276+multiple_regression!$O$23*dummy_variables!$D$276+multiple_regression!$O$24*dummy_variables!$E$276+multiple_regression!$O$25*dummy_variables!$F$276+multiple_regression!$O$26*dummy_variables!$G$276+multiple_regression!$O$27*dummy_variables!$H$276+multiple_regression!$O$28*dummy_variables!$I$276</f>
        <v>665875.30832285504</v>
      </c>
      <c r="G276" s="26">
        <f t="shared" si="4"/>
        <v>-72532.308322855039</v>
      </c>
    </row>
    <row r="277" spans="1:7" ht="15" customHeight="1">
      <c r="A277" s="5" t="str">
        <f>cleaned_data!$A$277</f>
        <v>STR-1069</v>
      </c>
      <c r="B277" s="25" t="str">
        <f>cleaned_data!$B$277</f>
        <v>2025-01-01</v>
      </c>
      <c r="C277" s="5" t="str">
        <f>cleaned_data!$C$277</f>
        <v>West</v>
      </c>
      <c r="D277" s="5" t="str">
        <f>cleaned_data!$D$277</f>
        <v>High Street</v>
      </c>
      <c r="E277" s="26">
        <f>cleaned_data!$M$277</f>
        <v>645039.97</v>
      </c>
      <c r="F277" s="26">
        <f>multiple_regression!$O$18+multiple_regression!$O$19*cleaned_data!$F$277+multiple_regression!$O$20*cleaned_data!$E$277+multiple_regression!$O$21*cleaned_data!$I$277+multiple_regression!$O$22*cleaned_data!$H$277+multiple_regression!$O$23*dummy_variables!$D$277+multiple_regression!$O$24*dummy_variables!$E$277+multiple_regression!$O$25*dummy_variables!$F$277+multiple_regression!$O$26*dummy_variables!$G$277+multiple_regression!$O$27*dummy_variables!$H$277+multiple_regression!$O$28*dummy_variables!$I$277</f>
        <v>650568.7908464371</v>
      </c>
      <c r="G277" s="26">
        <f t="shared" si="4"/>
        <v>-5528.8208464371273</v>
      </c>
    </row>
    <row r="278" spans="1:7" ht="15" customHeight="1">
      <c r="A278" s="5" t="str">
        <f>cleaned_data!$A$278</f>
        <v>STR-1069</v>
      </c>
      <c r="B278" s="25" t="str">
        <f>cleaned_data!$B$278</f>
        <v>2025-02-01</v>
      </c>
      <c r="C278" s="5" t="str">
        <f>cleaned_data!$C$278</f>
        <v>West</v>
      </c>
      <c r="D278" s="5" t="str">
        <f>cleaned_data!$D$278</f>
        <v>High Street</v>
      </c>
      <c r="E278" s="26">
        <f>cleaned_data!$M$278</f>
        <v>561597.32999999996</v>
      </c>
      <c r="F278" s="26">
        <f>multiple_regression!$O$18+multiple_regression!$O$19*cleaned_data!$F$278+multiple_regression!$O$20*cleaned_data!$E$278+multiple_regression!$O$21*cleaned_data!$I$278+multiple_regression!$O$22*cleaned_data!$H$278+multiple_regression!$O$23*dummy_variables!$D$278+multiple_regression!$O$24*dummy_variables!$E$278+multiple_regression!$O$25*dummy_variables!$F$278+multiple_regression!$O$26*dummy_variables!$G$278+multiple_regression!$O$27*dummy_variables!$H$278+multiple_regression!$O$28*dummy_variables!$I$278</f>
        <v>542888.73154853424</v>
      </c>
      <c r="G278" s="26">
        <f t="shared" si="4"/>
        <v>18708.598451465718</v>
      </c>
    </row>
    <row r="279" spans="1:7" ht="15" customHeight="1">
      <c r="A279" s="5" t="str">
        <f>cleaned_data!$A$279</f>
        <v>STR-1069</v>
      </c>
      <c r="B279" s="25" t="str">
        <f>cleaned_data!$B$279</f>
        <v>2025-03-01</v>
      </c>
      <c r="C279" s="5" t="str">
        <f>cleaned_data!$C$279</f>
        <v>West</v>
      </c>
      <c r="D279" s="5" t="str">
        <f>cleaned_data!$D$279</f>
        <v>High Street</v>
      </c>
      <c r="E279" s="26">
        <f>cleaned_data!$M$279</f>
        <v>635837.74</v>
      </c>
      <c r="F279" s="26">
        <f>multiple_regression!$O$18+multiple_regression!$O$19*cleaned_data!$F$279+multiple_regression!$O$20*cleaned_data!$E$279+multiple_regression!$O$21*cleaned_data!$I$279+multiple_regression!$O$22*cleaned_data!$H$279+multiple_regression!$O$23*dummy_variables!$D$279+multiple_regression!$O$24*dummy_variables!$E$279+multiple_regression!$O$25*dummy_variables!$F$279+multiple_regression!$O$26*dummy_variables!$G$279+multiple_regression!$O$27*dummy_variables!$H$279+multiple_regression!$O$28*dummy_variables!$I$279</f>
        <v>662047.36344123632</v>
      </c>
      <c r="G279" s="26">
        <f t="shared" si="4"/>
        <v>-26209.623441236326</v>
      </c>
    </row>
    <row r="280" spans="1:7" ht="15" customHeight="1">
      <c r="A280" s="5" t="str">
        <f>cleaned_data!$A$280</f>
        <v>STR-1069</v>
      </c>
      <c r="B280" s="25" t="str">
        <f>cleaned_data!$B$280</f>
        <v>2025-04-01</v>
      </c>
      <c r="C280" s="5" t="str">
        <f>cleaned_data!$C$280</f>
        <v>West</v>
      </c>
      <c r="D280" s="5" t="str">
        <f>cleaned_data!$D$280</f>
        <v>High Street</v>
      </c>
      <c r="E280" s="26">
        <f>cleaned_data!$M$280</f>
        <v>686737.87</v>
      </c>
      <c r="F280" s="26">
        <f>multiple_regression!$O$18+multiple_regression!$O$19*cleaned_data!$F$280+multiple_regression!$O$20*cleaned_data!$E$280+multiple_regression!$O$21*cleaned_data!$I$280+multiple_regression!$O$22*cleaned_data!$H$280+multiple_regression!$O$23*dummy_variables!$D$280+multiple_regression!$O$24*dummy_variables!$E$280+multiple_regression!$O$25*dummy_variables!$F$280+multiple_regression!$O$26*dummy_variables!$G$280+multiple_regression!$O$27*dummy_variables!$H$280+multiple_regression!$O$28*dummy_variables!$I$280</f>
        <v>620855.00683665823</v>
      </c>
      <c r="G280" s="26">
        <f t="shared" si="4"/>
        <v>65882.863163341768</v>
      </c>
    </row>
    <row r="281" spans="1:7" ht="15" customHeight="1">
      <c r="A281" s="5" t="str">
        <f>cleaned_data!$A$281</f>
        <v>STR-1070</v>
      </c>
      <c r="B281" s="25" t="str">
        <f>cleaned_data!$B$281</f>
        <v>2025-01-01</v>
      </c>
      <c r="C281" s="5" t="str">
        <f>cleaned_data!$C$281</f>
        <v>South</v>
      </c>
      <c r="D281" s="5" t="str">
        <f>cleaned_data!$D$281</f>
        <v>Residential</v>
      </c>
      <c r="E281" s="26">
        <f>cleaned_data!$M$281</f>
        <v>673076.34</v>
      </c>
      <c r="F281" s="26">
        <f>multiple_regression!$O$18+multiple_regression!$O$19*cleaned_data!$F$281+multiple_regression!$O$20*cleaned_data!$E$281+multiple_regression!$O$21*cleaned_data!$I$281+multiple_regression!$O$22*cleaned_data!$H$281+multiple_regression!$O$23*dummy_variables!$D$281+multiple_regression!$O$24*dummy_variables!$E$281+multiple_regression!$O$25*dummy_variables!$F$281+multiple_regression!$O$26*dummy_variables!$G$281+multiple_regression!$O$27*dummy_variables!$H$281+multiple_regression!$O$28*dummy_variables!$I$281</f>
        <v>736669.52474939718</v>
      </c>
      <c r="G281" s="26">
        <f t="shared" si="4"/>
        <v>-63593.184749397216</v>
      </c>
    </row>
    <row r="282" spans="1:7" ht="15" customHeight="1">
      <c r="A282" s="5" t="str">
        <f>cleaned_data!$A$282</f>
        <v>STR-1070</v>
      </c>
      <c r="B282" s="25" t="str">
        <f>cleaned_data!$B$282</f>
        <v>2025-02-01</v>
      </c>
      <c r="C282" s="5" t="str">
        <f>cleaned_data!$C$282</f>
        <v>South</v>
      </c>
      <c r="D282" s="5" t="str">
        <f>cleaned_data!$D$282</f>
        <v>Residential</v>
      </c>
      <c r="E282" s="26">
        <f>cleaned_data!$M$282</f>
        <v>738548.42</v>
      </c>
      <c r="F282" s="26">
        <f>multiple_regression!$O$18+multiple_regression!$O$19*cleaned_data!$F$282+multiple_regression!$O$20*cleaned_data!$E$282+multiple_regression!$O$21*cleaned_data!$I$282+multiple_regression!$O$22*cleaned_data!$H$282+multiple_regression!$O$23*dummy_variables!$D$282+multiple_regression!$O$24*dummy_variables!$E$282+multiple_regression!$O$25*dummy_variables!$F$282+multiple_regression!$O$26*dummy_variables!$G$282+multiple_regression!$O$27*dummy_variables!$H$282+multiple_regression!$O$28*dummy_variables!$I$282</f>
        <v>700640.15335897799</v>
      </c>
      <c r="G282" s="26">
        <f t="shared" si="4"/>
        <v>37908.266641022055</v>
      </c>
    </row>
    <row r="283" spans="1:7" ht="15" customHeight="1">
      <c r="A283" s="5" t="str">
        <f>cleaned_data!$A$283</f>
        <v>STR-1070</v>
      </c>
      <c r="B283" s="25" t="str">
        <f>cleaned_data!$B$283</f>
        <v>2025-03-01</v>
      </c>
      <c r="C283" s="5" t="str">
        <f>cleaned_data!$C$283</f>
        <v>South</v>
      </c>
      <c r="D283" s="5" t="str">
        <f>cleaned_data!$D$283</f>
        <v>Residential</v>
      </c>
      <c r="E283" s="26">
        <f>cleaned_data!$M$283</f>
        <v>756619.77</v>
      </c>
      <c r="F283" s="26">
        <f>multiple_regression!$O$18+multiple_regression!$O$19*cleaned_data!$F$283+multiple_regression!$O$20*cleaned_data!$E$283+multiple_regression!$O$21*cleaned_data!$I$283+multiple_regression!$O$22*cleaned_data!$H$283+multiple_regression!$O$23*dummy_variables!$D$283+multiple_regression!$O$24*dummy_variables!$E$283+multiple_regression!$O$25*dummy_variables!$F$283+multiple_regression!$O$26*dummy_variables!$G$283+multiple_regression!$O$27*dummy_variables!$H$283+multiple_regression!$O$28*dummy_variables!$I$283</f>
        <v>743205.03071021626</v>
      </c>
      <c r="G283" s="26">
        <f t="shared" si="4"/>
        <v>13414.739289783756</v>
      </c>
    </row>
    <row r="284" spans="1:7" ht="15" customHeight="1">
      <c r="A284" s="5" t="str">
        <f>cleaned_data!$A$284</f>
        <v>STR-1070</v>
      </c>
      <c r="B284" s="25" t="str">
        <f>cleaned_data!$B$284</f>
        <v>2025-04-01</v>
      </c>
      <c r="C284" s="5" t="str">
        <f>cleaned_data!$C$284</f>
        <v>South</v>
      </c>
      <c r="D284" s="5" t="str">
        <f>cleaned_data!$D$284</f>
        <v>Residential</v>
      </c>
      <c r="E284" s="26">
        <f>cleaned_data!$M$284</f>
        <v>761122.42</v>
      </c>
      <c r="F284" s="26">
        <f>multiple_regression!$O$18+multiple_regression!$O$19*cleaned_data!$F$284+multiple_regression!$O$20*cleaned_data!$E$284+multiple_regression!$O$21*cleaned_data!$I$284+multiple_regression!$O$22*cleaned_data!$H$284+multiple_regression!$O$23*dummy_variables!$D$284+multiple_regression!$O$24*dummy_variables!$E$284+multiple_regression!$O$25*dummy_variables!$F$284+multiple_regression!$O$26*dummy_variables!$G$284+multiple_regression!$O$27*dummy_variables!$H$284+multiple_regression!$O$28*dummy_variables!$I$284</f>
        <v>777898.70448481839</v>
      </c>
      <c r="G284" s="26">
        <f t="shared" si="4"/>
        <v>-16776.284484818345</v>
      </c>
    </row>
    <row r="285" spans="1:7" ht="15" customHeight="1">
      <c r="A285" s="5" t="str">
        <f>cleaned_data!$A$285</f>
        <v>STR-1071</v>
      </c>
      <c r="B285" s="25" t="str">
        <f>cleaned_data!$B$285</f>
        <v>2025-01-01</v>
      </c>
      <c r="C285" s="5" t="str">
        <f>cleaned_data!$C$285</f>
        <v>South</v>
      </c>
      <c r="D285" s="5" t="str">
        <f>cleaned_data!$D$285</f>
        <v>High Street</v>
      </c>
      <c r="E285" s="26">
        <f>cleaned_data!$M$285</f>
        <v>524899.56999999995</v>
      </c>
      <c r="F285" s="26">
        <f>multiple_regression!$O$18+multiple_regression!$O$19*cleaned_data!$F$285+multiple_regression!$O$20*cleaned_data!$E$285+multiple_regression!$O$21*cleaned_data!$I$285+multiple_regression!$O$22*cleaned_data!$H$285+multiple_regression!$O$23*dummy_variables!$D$285+multiple_regression!$O$24*dummy_variables!$E$285+multiple_regression!$O$25*dummy_variables!$F$285+multiple_regression!$O$26*dummy_variables!$G$285+multiple_regression!$O$27*dummy_variables!$H$285+multiple_regression!$O$28*dummy_variables!$I$285</f>
        <v>571787.56301005906</v>
      </c>
      <c r="G285" s="26">
        <f t="shared" si="4"/>
        <v>-46887.993010059115</v>
      </c>
    </row>
    <row r="286" spans="1:7" ht="15" customHeight="1">
      <c r="A286" s="5" t="str">
        <f>cleaned_data!$A$286</f>
        <v>STR-1071</v>
      </c>
      <c r="B286" s="25" t="str">
        <f>cleaned_data!$B$286</f>
        <v>2025-02-01</v>
      </c>
      <c r="C286" s="5" t="str">
        <f>cleaned_data!$C$286</f>
        <v>South</v>
      </c>
      <c r="D286" s="5" t="str">
        <f>cleaned_data!$D$286</f>
        <v>High Street</v>
      </c>
      <c r="E286" s="26">
        <f>cleaned_data!$M$286</f>
        <v>555557.77</v>
      </c>
      <c r="F286" s="26">
        <f>multiple_regression!$O$18+multiple_regression!$O$19*cleaned_data!$F$286+multiple_regression!$O$20*cleaned_data!$E$286+multiple_regression!$O$21*cleaned_data!$I$286+multiple_regression!$O$22*cleaned_data!$H$286+multiple_regression!$O$23*dummy_variables!$D$286+multiple_regression!$O$24*dummy_variables!$E$286+multiple_regression!$O$25*dummy_variables!$F$286+multiple_regression!$O$26*dummy_variables!$G$286+multiple_regression!$O$27*dummy_variables!$H$286+multiple_regression!$O$28*dummy_variables!$I$286</f>
        <v>596948.11284222919</v>
      </c>
      <c r="G286" s="26">
        <f t="shared" si="4"/>
        <v>-41390.342842229176</v>
      </c>
    </row>
    <row r="287" spans="1:7" ht="15" customHeight="1">
      <c r="A287" s="5" t="str">
        <f>cleaned_data!$A$287</f>
        <v>STR-1071</v>
      </c>
      <c r="B287" s="25" t="str">
        <f>cleaned_data!$B$287</f>
        <v>2025-03-01</v>
      </c>
      <c r="C287" s="5" t="str">
        <f>cleaned_data!$C$287</f>
        <v>South</v>
      </c>
      <c r="D287" s="5" t="str">
        <f>cleaned_data!$D$287</f>
        <v>High Street</v>
      </c>
      <c r="E287" s="26">
        <f>cleaned_data!$M$287</f>
        <v>714083.68</v>
      </c>
      <c r="F287" s="26">
        <f>multiple_regression!$O$18+multiple_regression!$O$19*cleaned_data!$F$287+multiple_regression!$O$20*cleaned_data!$E$287+multiple_regression!$O$21*cleaned_data!$I$287+multiple_regression!$O$22*cleaned_data!$H$287+multiple_regression!$O$23*dummy_variables!$D$287+multiple_regression!$O$24*dummy_variables!$E$287+multiple_regression!$O$25*dummy_variables!$F$287+multiple_regression!$O$26*dummy_variables!$G$287+multiple_regression!$O$27*dummy_variables!$H$287+multiple_regression!$O$28*dummy_variables!$I$287</f>
        <v>703100.79507255531</v>
      </c>
      <c r="G287" s="26">
        <f t="shared" si="4"/>
        <v>10982.884927444742</v>
      </c>
    </row>
    <row r="288" spans="1:7" ht="15" customHeight="1">
      <c r="A288" s="5" t="str">
        <f>cleaned_data!$A$288</f>
        <v>STR-1071</v>
      </c>
      <c r="B288" s="25" t="str">
        <f>cleaned_data!$B$288</f>
        <v>2025-04-01</v>
      </c>
      <c r="C288" s="5" t="str">
        <f>cleaned_data!$C$288</f>
        <v>South</v>
      </c>
      <c r="D288" s="5" t="str">
        <f>cleaned_data!$D$288</f>
        <v>High Street</v>
      </c>
      <c r="E288" s="26">
        <f>cleaned_data!$M$288</f>
        <v>497439.82</v>
      </c>
      <c r="F288" s="26">
        <f>multiple_regression!$O$18+multiple_regression!$O$19*cleaned_data!$F$288+multiple_regression!$O$20*cleaned_data!$E$288+multiple_regression!$O$21*cleaned_data!$I$288+multiple_regression!$O$22*cleaned_data!$H$288+multiple_regression!$O$23*dummy_variables!$D$288+multiple_regression!$O$24*dummy_variables!$E$288+multiple_regression!$O$25*dummy_variables!$F$288+multiple_regression!$O$26*dummy_variables!$G$288+multiple_regression!$O$27*dummy_variables!$H$288+multiple_regression!$O$28*dummy_variables!$I$288</f>
        <v>507497.96192923305</v>
      </c>
      <c r="G288" s="26">
        <f t="shared" si="4"/>
        <v>-10058.141929233039</v>
      </c>
    </row>
    <row r="289" spans="1:7" ht="15" customHeight="1">
      <c r="A289" s="5" t="str">
        <f>cleaned_data!$A$289</f>
        <v>STR-1072</v>
      </c>
      <c r="B289" s="25" t="str">
        <f>cleaned_data!$B$289</f>
        <v>2025-01-01</v>
      </c>
      <c r="C289" s="5" t="str">
        <f>cleaned_data!$C$289</f>
        <v>West</v>
      </c>
      <c r="D289" s="5" t="str">
        <f>cleaned_data!$D$289</f>
        <v>Residential</v>
      </c>
      <c r="E289" s="26">
        <f>cleaned_data!$M$289</f>
        <v>636775.66</v>
      </c>
      <c r="F289" s="26">
        <f>multiple_regression!$O$18+multiple_regression!$O$19*cleaned_data!$F$289+multiple_regression!$O$20*cleaned_data!$E$289+multiple_regression!$O$21*cleaned_data!$I$289+multiple_regression!$O$22*cleaned_data!$H$289+multiple_regression!$O$23*dummy_variables!$D$289+multiple_regression!$O$24*dummy_variables!$E$289+multiple_regression!$O$25*dummy_variables!$F$289+multiple_regression!$O$26*dummy_variables!$G$289+multiple_regression!$O$27*dummy_variables!$H$289+multiple_regression!$O$28*dummy_variables!$I$289</f>
        <v>631771.99306162272</v>
      </c>
      <c r="G289" s="26">
        <f t="shared" si="4"/>
        <v>5003.6669383773115</v>
      </c>
    </row>
    <row r="290" spans="1:7" ht="15" customHeight="1">
      <c r="A290" s="5" t="str">
        <f>cleaned_data!$A$290</f>
        <v>STR-1072</v>
      </c>
      <c r="B290" s="25" t="str">
        <f>cleaned_data!$B$290</f>
        <v>2025-02-01</v>
      </c>
      <c r="C290" s="5" t="str">
        <f>cleaned_data!$C$290</f>
        <v>West</v>
      </c>
      <c r="D290" s="5" t="str">
        <f>cleaned_data!$D$290</f>
        <v>Residential</v>
      </c>
      <c r="E290" s="26">
        <f>cleaned_data!$M$290</f>
        <v>633009.53</v>
      </c>
      <c r="F290" s="26">
        <f>multiple_regression!$O$18+multiple_regression!$O$19*cleaned_data!$F$290+multiple_regression!$O$20*cleaned_data!$E$290+multiple_regression!$O$21*cleaned_data!$I$290+multiple_regression!$O$22*cleaned_data!$H$290+multiple_regression!$O$23*dummy_variables!$D$290+multiple_regression!$O$24*dummy_variables!$E$290+multiple_regression!$O$25*dummy_variables!$F$290+multiple_regression!$O$26*dummy_variables!$G$290+multiple_regression!$O$27*dummy_variables!$H$290+multiple_regression!$O$28*dummy_variables!$I$290</f>
        <v>621571.49300021469</v>
      </c>
      <c r="G290" s="26">
        <f t="shared" si="4"/>
        <v>11438.036999785341</v>
      </c>
    </row>
    <row r="291" spans="1:7" ht="15" customHeight="1">
      <c r="A291" s="5" t="str">
        <f>cleaned_data!$A$291</f>
        <v>STR-1072</v>
      </c>
      <c r="B291" s="25" t="str">
        <f>cleaned_data!$B$291</f>
        <v>2025-03-01</v>
      </c>
      <c r="C291" s="5" t="str">
        <f>cleaned_data!$C$291</f>
        <v>West</v>
      </c>
      <c r="D291" s="5" t="str">
        <f>cleaned_data!$D$291</f>
        <v>Residential</v>
      </c>
      <c r="E291" s="26">
        <f>cleaned_data!$M$291</f>
        <v>609949</v>
      </c>
      <c r="F291" s="26">
        <f>multiple_regression!$O$18+multiple_regression!$O$19*cleaned_data!$F$291+multiple_regression!$O$20*cleaned_data!$E$291+multiple_regression!$O$21*cleaned_data!$I$291+multiple_regression!$O$22*cleaned_data!$H$291+multiple_regression!$O$23*dummy_variables!$D$291+multiple_regression!$O$24*dummy_variables!$E$291+multiple_regression!$O$25*dummy_variables!$F$291+multiple_regression!$O$26*dummy_variables!$G$291+multiple_regression!$O$27*dummy_variables!$H$291+multiple_regression!$O$28*dummy_variables!$I$291</f>
        <v>597302.88612025604</v>
      </c>
      <c r="G291" s="26">
        <f t="shared" si="4"/>
        <v>12646.113879743963</v>
      </c>
    </row>
    <row r="292" spans="1:7" ht="15" customHeight="1">
      <c r="A292" s="5" t="str">
        <f>cleaned_data!$A$292</f>
        <v>STR-1072</v>
      </c>
      <c r="B292" s="25" t="str">
        <f>cleaned_data!$B$292</f>
        <v>2025-04-01</v>
      </c>
      <c r="C292" s="5" t="str">
        <f>cleaned_data!$C$292</f>
        <v>West</v>
      </c>
      <c r="D292" s="5" t="str">
        <f>cleaned_data!$D$292</f>
        <v>Residential</v>
      </c>
      <c r="E292" s="26">
        <f>cleaned_data!$M$292</f>
        <v>548103.69999999995</v>
      </c>
      <c r="F292" s="26">
        <f>multiple_regression!$O$18+multiple_regression!$O$19*cleaned_data!$F$292+multiple_regression!$O$20*cleaned_data!$E$292+multiple_regression!$O$21*cleaned_data!$I$292+multiple_regression!$O$22*cleaned_data!$H$292+multiple_regression!$O$23*dummy_variables!$D$292+multiple_regression!$O$24*dummy_variables!$E$292+multiple_regression!$O$25*dummy_variables!$F$292+multiple_regression!$O$26*dummy_variables!$G$292+multiple_regression!$O$27*dummy_variables!$H$292+multiple_regression!$O$28*dummy_variables!$I$292</f>
        <v>555140.58979321551</v>
      </c>
      <c r="G292" s="26">
        <f t="shared" si="4"/>
        <v>-7036.8897932155523</v>
      </c>
    </row>
    <row r="293" spans="1:7" ht="15" customHeight="1">
      <c r="A293" s="5" t="str">
        <f>cleaned_data!$A$293</f>
        <v>STR-1073</v>
      </c>
      <c r="B293" s="25" t="str">
        <f>cleaned_data!$B$293</f>
        <v>2025-01-01</v>
      </c>
      <c r="C293" s="5" t="str">
        <f>cleaned_data!$C$293</f>
        <v>East</v>
      </c>
      <c r="D293" s="5" t="str">
        <f>cleaned_data!$D$293</f>
        <v>Residential</v>
      </c>
      <c r="E293" s="26">
        <f>cleaned_data!$M$293</f>
        <v>729424.42</v>
      </c>
      <c r="F293" s="26">
        <f>multiple_regression!$O$18+multiple_regression!$O$19*cleaned_data!$F$293+multiple_regression!$O$20*cleaned_data!$E$293+multiple_regression!$O$21*cleaned_data!$I$293+multiple_regression!$O$22*cleaned_data!$H$293+multiple_regression!$O$23*dummy_variables!$D$293+multiple_regression!$O$24*dummy_variables!$E$293+multiple_regression!$O$25*dummy_variables!$F$293+multiple_regression!$O$26*dummy_variables!$G$293+multiple_regression!$O$27*dummy_variables!$H$293+multiple_regression!$O$28*dummy_variables!$I$293</f>
        <v>696313.80841882387</v>
      </c>
      <c r="G293" s="26">
        <f t="shared" si="4"/>
        <v>33110.61158117617</v>
      </c>
    </row>
    <row r="294" spans="1:7" ht="15" customHeight="1">
      <c r="A294" s="5" t="str">
        <f>cleaned_data!$A$294</f>
        <v>STR-1073</v>
      </c>
      <c r="B294" s="25" t="str">
        <f>cleaned_data!$B$294</f>
        <v>2025-02-01</v>
      </c>
      <c r="C294" s="5" t="str">
        <f>cleaned_data!$C$294</f>
        <v>East</v>
      </c>
      <c r="D294" s="5" t="str">
        <f>cleaned_data!$D$294</f>
        <v>Residential</v>
      </c>
      <c r="E294" s="26">
        <f>cleaned_data!$M$294</f>
        <v>696261.49</v>
      </c>
      <c r="F294" s="26">
        <f>multiple_regression!$O$18+multiple_regression!$O$19*cleaned_data!$F$294+multiple_regression!$O$20*cleaned_data!$E$294+multiple_regression!$O$21*cleaned_data!$I$294+multiple_regression!$O$22*cleaned_data!$H$294+multiple_regression!$O$23*dummy_variables!$D$294+multiple_regression!$O$24*dummy_variables!$E$294+multiple_regression!$O$25*dummy_variables!$F$294+multiple_regression!$O$26*dummy_variables!$G$294+multiple_regression!$O$27*dummy_variables!$H$294+multiple_regression!$O$28*dummy_variables!$I$294</f>
        <v>720690.19931064965</v>
      </c>
      <c r="G294" s="26">
        <f t="shared" si="4"/>
        <v>-24428.709310649661</v>
      </c>
    </row>
    <row r="295" spans="1:7" ht="15" customHeight="1">
      <c r="A295" s="5" t="str">
        <f>cleaned_data!$A$295</f>
        <v>STR-1073</v>
      </c>
      <c r="B295" s="25" t="str">
        <f>cleaned_data!$B$295</f>
        <v>2025-03-01</v>
      </c>
      <c r="C295" s="5" t="str">
        <f>cleaned_data!$C$295</f>
        <v>East</v>
      </c>
      <c r="D295" s="5" t="str">
        <f>cleaned_data!$D$295</f>
        <v>Residential</v>
      </c>
      <c r="E295" s="26">
        <f>cleaned_data!$M$295</f>
        <v>813316.71</v>
      </c>
      <c r="F295" s="26">
        <f>multiple_regression!$O$18+multiple_regression!$O$19*cleaned_data!$F$295+multiple_regression!$O$20*cleaned_data!$E$295+multiple_regression!$O$21*cleaned_data!$I$295+multiple_regression!$O$22*cleaned_data!$H$295+multiple_regression!$O$23*dummy_variables!$D$295+multiple_regression!$O$24*dummy_variables!$E$295+multiple_regression!$O$25*dummy_variables!$F$295+multiple_regression!$O$26*dummy_variables!$G$295+multiple_regression!$O$27*dummy_variables!$H$295+multiple_regression!$O$28*dummy_variables!$I$295</f>
        <v>700782.64825893799</v>
      </c>
      <c r="G295" s="26">
        <f t="shared" si="4"/>
        <v>112534.06174106197</v>
      </c>
    </row>
    <row r="296" spans="1:7" ht="15" customHeight="1">
      <c r="A296" s="5" t="str">
        <f>cleaned_data!$A$296</f>
        <v>STR-1073</v>
      </c>
      <c r="B296" s="25" t="str">
        <f>cleaned_data!$B$296</f>
        <v>2025-04-01</v>
      </c>
      <c r="C296" s="5" t="str">
        <f>cleaned_data!$C$296</f>
        <v>East</v>
      </c>
      <c r="D296" s="5" t="str">
        <f>cleaned_data!$D$296</f>
        <v>Residential</v>
      </c>
      <c r="E296" s="26">
        <f>cleaned_data!$M$296</f>
        <v>702068.92</v>
      </c>
      <c r="F296" s="26">
        <f>multiple_regression!$O$18+multiple_regression!$O$19*cleaned_data!$F$296+multiple_regression!$O$20*cleaned_data!$E$296+multiple_regression!$O$21*cleaned_data!$I$296+multiple_regression!$O$22*cleaned_data!$H$296+multiple_regression!$O$23*dummy_variables!$D$296+multiple_regression!$O$24*dummy_variables!$E$296+multiple_regression!$O$25*dummy_variables!$F$296+multiple_regression!$O$26*dummy_variables!$G$296+multiple_regression!$O$27*dummy_variables!$H$296+multiple_regression!$O$28*dummy_variables!$I$296</f>
        <v>687283.07880945888</v>
      </c>
      <c r="G296" s="26">
        <f t="shared" si="4"/>
        <v>14785.841190541163</v>
      </c>
    </row>
    <row r="297" spans="1:7" ht="15" customHeight="1">
      <c r="A297" s="5" t="str">
        <f>cleaned_data!$A$297</f>
        <v>STR-1074</v>
      </c>
      <c r="B297" s="25" t="str">
        <f>cleaned_data!$B$297</f>
        <v>2025-01-01</v>
      </c>
      <c r="C297" s="5" t="str">
        <f>cleaned_data!$C$297</f>
        <v>West</v>
      </c>
      <c r="D297" s="5" t="str">
        <f>cleaned_data!$D$297</f>
        <v>High Street</v>
      </c>
      <c r="E297" s="26">
        <f>cleaned_data!$M$297</f>
        <v>546223.69999999995</v>
      </c>
      <c r="F297" s="26">
        <f>multiple_regression!$O$18+multiple_regression!$O$19*cleaned_data!$F$297+multiple_regression!$O$20*cleaned_data!$E$297+multiple_regression!$O$21*cleaned_data!$I$297+multiple_regression!$O$22*cleaned_data!$H$297+multiple_regression!$O$23*dummy_variables!$D$297+multiple_regression!$O$24*dummy_variables!$E$297+multiple_regression!$O$25*dummy_variables!$F$297+multiple_regression!$O$26*dummy_variables!$G$297+multiple_regression!$O$27*dummy_variables!$H$297+multiple_regression!$O$28*dummy_variables!$I$297</f>
        <v>576998.43454018689</v>
      </c>
      <c r="G297" s="26">
        <f t="shared" si="4"/>
        <v>-30774.734540186939</v>
      </c>
    </row>
    <row r="298" spans="1:7" ht="15" customHeight="1">
      <c r="A298" s="5" t="str">
        <f>cleaned_data!$A$298</f>
        <v>STR-1074</v>
      </c>
      <c r="B298" s="25" t="str">
        <f>cleaned_data!$B$298</f>
        <v>2025-02-01</v>
      </c>
      <c r="C298" s="5" t="str">
        <f>cleaned_data!$C$298</f>
        <v>West</v>
      </c>
      <c r="D298" s="5" t="str">
        <f>cleaned_data!$D$298</f>
        <v>High Street</v>
      </c>
      <c r="E298" s="26">
        <f>cleaned_data!$M$298</f>
        <v>533121.26</v>
      </c>
      <c r="F298" s="26">
        <f>multiple_regression!$O$18+multiple_regression!$O$19*cleaned_data!$F$298+multiple_regression!$O$20*cleaned_data!$E$298+multiple_regression!$O$21*cleaned_data!$I$298+multiple_regression!$O$22*cleaned_data!$H$298+multiple_regression!$O$23*dummy_variables!$D$298+multiple_regression!$O$24*dummy_variables!$E$298+multiple_regression!$O$25*dummy_variables!$F$298+multiple_regression!$O$26*dummy_variables!$G$298+multiple_regression!$O$27*dummy_variables!$H$298+multiple_regression!$O$28*dummy_variables!$I$298</f>
        <v>529285.47850794846</v>
      </c>
      <c r="G298" s="26">
        <f t="shared" si="4"/>
        <v>3835.781492051552</v>
      </c>
    </row>
    <row r="299" spans="1:7" ht="15" customHeight="1">
      <c r="A299" s="5" t="str">
        <f>cleaned_data!$A$299</f>
        <v>STR-1074</v>
      </c>
      <c r="B299" s="25" t="str">
        <f>cleaned_data!$B$299</f>
        <v>2025-03-01</v>
      </c>
      <c r="C299" s="5" t="str">
        <f>cleaned_data!$C$299</f>
        <v>West</v>
      </c>
      <c r="D299" s="5" t="str">
        <f>cleaned_data!$D$299</f>
        <v>High Street</v>
      </c>
      <c r="E299" s="26">
        <f>cleaned_data!$M$299</f>
        <v>498970.32</v>
      </c>
      <c r="F299" s="26">
        <f>multiple_regression!$O$18+multiple_regression!$O$19*cleaned_data!$F$299+multiple_regression!$O$20*cleaned_data!$E$299+multiple_regression!$O$21*cleaned_data!$I$299+multiple_regression!$O$22*cleaned_data!$H$299+multiple_regression!$O$23*dummy_variables!$D$299+multiple_regression!$O$24*dummy_variables!$E$299+multiple_regression!$O$25*dummy_variables!$F$299+multiple_regression!$O$26*dummy_variables!$G$299+multiple_regression!$O$27*dummy_variables!$H$299+multiple_regression!$O$28*dummy_variables!$I$299</f>
        <v>511019.47416063101</v>
      </c>
      <c r="G299" s="26">
        <f t="shared" si="4"/>
        <v>-12049.154160631006</v>
      </c>
    </row>
    <row r="300" spans="1:7" ht="15" customHeight="1">
      <c r="A300" s="5" t="str">
        <f>cleaned_data!$A$300</f>
        <v>STR-1074</v>
      </c>
      <c r="B300" s="25" t="str">
        <f>cleaned_data!$B$300</f>
        <v>2025-04-01</v>
      </c>
      <c r="C300" s="5" t="str">
        <f>cleaned_data!$C$300</f>
        <v>West</v>
      </c>
      <c r="D300" s="5" t="str">
        <f>cleaned_data!$D$300</f>
        <v>High Street</v>
      </c>
      <c r="E300" s="26">
        <f>cleaned_data!$M$300</f>
        <v>487738.26</v>
      </c>
      <c r="F300" s="26">
        <f>multiple_regression!$O$18+multiple_regression!$O$19*cleaned_data!$F$300+multiple_regression!$O$20*cleaned_data!$E$300+multiple_regression!$O$21*cleaned_data!$I$300+multiple_regression!$O$22*cleaned_data!$H$300+multiple_regression!$O$23*dummy_variables!$D$300+multiple_regression!$O$24*dummy_variables!$E$300+multiple_regression!$O$25*dummy_variables!$F$300+multiple_regression!$O$26*dummy_variables!$G$300+multiple_regression!$O$27*dummy_variables!$H$300+multiple_regression!$O$28*dummy_variables!$I$300</f>
        <v>472942.98668795271</v>
      </c>
      <c r="G300" s="26">
        <f t="shared" si="4"/>
        <v>14795.273312047299</v>
      </c>
    </row>
    <row r="301" spans="1:7" ht="15" customHeight="1">
      <c r="A301" s="5" t="str">
        <f>cleaned_data!$A$301</f>
        <v>STR-1075</v>
      </c>
      <c r="B301" s="25" t="str">
        <f>cleaned_data!$B$301</f>
        <v>2025-01-01</v>
      </c>
      <c r="C301" s="5" t="str">
        <f>cleaned_data!$C$301</f>
        <v>West</v>
      </c>
      <c r="D301" s="5" t="str">
        <f>cleaned_data!$D$301</f>
        <v>High Street</v>
      </c>
      <c r="E301" s="26">
        <f>cleaned_data!$M$301</f>
        <v>668459.37</v>
      </c>
      <c r="F301" s="26">
        <f>multiple_regression!$O$18+multiple_regression!$O$19*cleaned_data!$F$301+multiple_regression!$O$20*cleaned_data!$E$301+multiple_regression!$O$21*cleaned_data!$I$301+multiple_regression!$O$22*cleaned_data!$H$301+multiple_regression!$O$23*dummy_variables!$D$301+multiple_regression!$O$24*dummy_variables!$E$301+multiple_regression!$O$25*dummy_variables!$F$301+multiple_regression!$O$26*dummy_variables!$G$301+multiple_regression!$O$27*dummy_variables!$H$301+multiple_regression!$O$28*dummy_variables!$I$301</f>
        <v>671056.12771018606</v>
      </c>
      <c r="G301" s="26">
        <f t="shared" si="4"/>
        <v>-2596.7577101860661</v>
      </c>
    </row>
    <row r="302" spans="1:7" ht="15" customHeight="1">
      <c r="A302" s="5" t="str">
        <f>cleaned_data!$A$302</f>
        <v>STR-1075</v>
      </c>
      <c r="B302" s="25" t="str">
        <f>cleaned_data!$B$302</f>
        <v>2025-02-01</v>
      </c>
      <c r="C302" s="5" t="str">
        <f>cleaned_data!$C$302</f>
        <v>West</v>
      </c>
      <c r="D302" s="5" t="str">
        <f>cleaned_data!$D$302</f>
        <v>High Street</v>
      </c>
      <c r="E302" s="26">
        <f>cleaned_data!$M$302</f>
        <v>763162.45</v>
      </c>
      <c r="F302" s="26">
        <f>multiple_regression!$O$18+multiple_regression!$O$19*cleaned_data!$F$302+multiple_regression!$O$20*cleaned_data!$E$302+multiple_regression!$O$21*cleaned_data!$I$302+multiple_regression!$O$22*cleaned_data!$H$302+multiple_regression!$O$23*dummy_variables!$D$302+multiple_regression!$O$24*dummy_variables!$E$302+multiple_regression!$O$25*dummy_variables!$F$302+multiple_regression!$O$26*dummy_variables!$G$302+multiple_regression!$O$27*dummy_variables!$H$302+multiple_regression!$O$28*dummy_variables!$I$302</f>
        <v>686006.11758007971</v>
      </c>
      <c r="G302" s="26">
        <f t="shared" si="4"/>
        <v>77156.332419920247</v>
      </c>
    </row>
    <row r="303" spans="1:7" ht="15" customHeight="1">
      <c r="A303" s="5" t="str">
        <f>cleaned_data!$A$303</f>
        <v>STR-1075</v>
      </c>
      <c r="B303" s="25" t="str">
        <f>cleaned_data!$B$303</f>
        <v>2025-03-01</v>
      </c>
      <c r="C303" s="5" t="str">
        <f>cleaned_data!$C$303</f>
        <v>West</v>
      </c>
      <c r="D303" s="5" t="str">
        <f>cleaned_data!$D$303</f>
        <v>High Street</v>
      </c>
      <c r="E303" s="26">
        <f>cleaned_data!$M$303</f>
        <v>599017.32999999996</v>
      </c>
      <c r="F303" s="26">
        <f>multiple_regression!$O$18+multiple_regression!$O$19*cleaned_data!$F$303+multiple_regression!$O$20*cleaned_data!$E$303+multiple_regression!$O$21*cleaned_data!$I$303+multiple_regression!$O$22*cleaned_data!$H$303+multiple_regression!$O$23*dummy_variables!$D$303+multiple_regression!$O$24*dummy_variables!$E$303+multiple_regression!$O$25*dummy_variables!$F$303+multiple_regression!$O$26*dummy_variables!$G$303+multiple_regression!$O$27*dummy_variables!$H$303+multiple_regression!$O$28*dummy_variables!$I$303</f>
        <v>624228.34087565192</v>
      </c>
      <c r="G303" s="26">
        <f t="shared" si="4"/>
        <v>-25211.010875651962</v>
      </c>
    </row>
    <row r="304" spans="1:7" ht="15" customHeight="1">
      <c r="A304" s="5" t="str">
        <f>cleaned_data!$A$304</f>
        <v>STR-1075</v>
      </c>
      <c r="B304" s="25" t="str">
        <f>cleaned_data!$B$304</f>
        <v>2025-04-01</v>
      </c>
      <c r="C304" s="5" t="str">
        <f>cleaned_data!$C$304</f>
        <v>West</v>
      </c>
      <c r="D304" s="5" t="str">
        <f>cleaned_data!$D$304</f>
        <v>High Street</v>
      </c>
      <c r="E304" s="26">
        <f>cleaned_data!$M$304</f>
        <v>401582.58</v>
      </c>
      <c r="F304" s="26">
        <f>multiple_regression!$O$18+multiple_regression!$O$19*cleaned_data!$F$304+multiple_regression!$O$20*cleaned_data!$E$304+multiple_regression!$O$21*cleaned_data!$I$304+multiple_regression!$O$22*cleaned_data!$H$304+multiple_regression!$O$23*dummy_variables!$D$304+multiple_regression!$O$24*dummy_variables!$E$304+multiple_regression!$O$25*dummy_variables!$F$304+multiple_regression!$O$26*dummy_variables!$G$304+multiple_regression!$O$27*dummy_variables!$H$304+multiple_regression!$O$28*dummy_variables!$I$304</f>
        <v>478412.4798771019</v>
      </c>
      <c r="G304" s="26">
        <f t="shared" si="4"/>
        <v>-76829.899877101881</v>
      </c>
    </row>
    <row r="305" spans="1:7" ht="15" customHeight="1">
      <c r="A305" s="5" t="str">
        <f>cleaned_data!$A$305</f>
        <v>STR-1076</v>
      </c>
      <c r="B305" s="25" t="str">
        <f>cleaned_data!$B$305</f>
        <v>2025-01-01</v>
      </c>
      <c r="C305" s="5" t="str">
        <f>cleaned_data!$C$305</f>
        <v>North</v>
      </c>
      <c r="D305" s="5" t="str">
        <f>cleaned_data!$D$305</f>
        <v>Mall</v>
      </c>
      <c r="E305" s="26">
        <f>cleaned_data!$M$305</f>
        <v>703812.99</v>
      </c>
      <c r="F305" s="26">
        <f>multiple_regression!$O$18+multiple_regression!$O$19*cleaned_data!$F$305+multiple_regression!$O$20*cleaned_data!$E$305+multiple_regression!$O$21*cleaned_data!$I$305+multiple_regression!$O$22*cleaned_data!$H$305+multiple_regression!$O$23*dummy_variables!$D$305+multiple_regression!$O$24*dummy_variables!$E$305+multiple_regression!$O$25*dummy_variables!$F$305+multiple_regression!$O$26*dummy_variables!$G$305+multiple_regression!$O$27*dummy_variables!$H$305+multiple_regression!$O$28*dummy_variables!$I$305</f>
        <v>735518.00606303709</v>
      </c>
      <c r="G305" s="26">
        <f t="shared" si="4"/>
        <v>-31705.016063037096</v>
      </c>
    </row>
    <row r="306" spans="1:7" ht="15" customHeight="1">
      <c r="A306" s="5" t="str">
        <f>cleaned_data!$A$306</f>
        <v>STR-1076</v>
      </c>
      <c r="B306" s="25" t="str">
        <f>cleaned_data!$B$306</f>
        <v>2025-02-01</v>
      </c>
      <c r="C306" s="5" t="str">
        <f>cleaned_data!$C$306</f>
        <v>North</v>
      </c>
      <c r="D306" s="5" t="str">
        <f>cleaned_data!$D$306</f>
        <v>Mall</v>
      </c>
      <c r="E306" s="26">
        <f>cleaned_data!$M$306</f>
        <v>724346.73</v>
      </c>
      <c r="F306" s="26">
        <f>multiple_regression!$O$18+multiple_regression!$O$19*cleaned_data!$F$306+multiple_regression!$O$20*cleaned_data!$E$306+multiple_regression!$O$21*cleaned_data!$I$306+multiple_regression!$O$22*cleaned_data!$H$306+multiple_regression!$O$23*dummy_variables!$D$306+multiple_regression!$O$24*dummy_variables!$E$306+multiple_regression!$O$25*dummy_variables!$F$306+multiple_regression!$O$26*dummy_variables!$G$306+multiple_regression!$O$27*dummy_variables!$H$306+multiple_regression!$O$28*dummy_variables!$I$306</f>
        <v>735030.13408795721</v>
      </c>
      <c r="G306" s="26">
        <f t="shared" si="4"/>
        <v>-10683.404087957228</v>
      </c>
    </row>
    <row r="307" spans="1:7" ht="15" customHeight="1">
      <c r="A307" s="5" t="str">
        <f>cleaned_data!$A$307</f>
        <v>STR-1076</v>
      </c>
      <c r="B307" s="25" t="str">
        <f>cleaned_data!$B$307</f>
        <v>2025-03-01</v>
      </c>
      <c r="C307" s="5" t="str">
        <f>cleaned_data!$C$307</f>
        <v>North</v>
      </c>
      <c r="D307" s="5" t="str">
        <f>cleaned_data!$D$307</f>
        <v>Mall</v>
      </c>
      <c r="E307" s="26">
        <f>cleaned_data!$M$307</f>
        <v>730890.01</v>
      </c>
      <c r="F307" s="26">
        <f>multiple_regression!$O$18+multiple_regression!$O$19*cleaned_data!$F$307+multiple_regression!$O$20*cleaned_data!$E$307+multiple_regression!$O$21*cleaned_data!$I$307+multiple_regression!$O$22*cleaned_data!$H$307+multiple_regression!$O$23*dummy_variables!$D$307+multiple_regression!$O$24*dummy_variables!$E$307+multiple_regression!$O$25*dummy_variables!$F$307+multiple_regression!$O$26*dummy_variables!$G$307+multiple_regression!$O$27*dummy_variables!$H$307+multiple_regression!$O$28*dummy_variables!$I$307</f>
        <v>739218.36329642357</v>
      </c>
      <c r="G307" s="26">
        <f t="shared" si="4"/>
        <v>-8328.3532964235637</v>
      </c>
    </row>
    <row r="308" spans="1:7" ht="15" customHeight="1">
      <c r="A308" s="5" t="str">
        <f>cleaned_data!$A$308</f>
        <v>STR-1076</v>
      </c>
      <c r="B308" s="25" t="str">
        <f>cleaned_data!$B$308</f>
        <v>2025-04-01</v>
      </c>
      <c r="C308" s="5" t="str">
        <f>cleaned_data!$C$308</f>
        <v>North</v>
      </c>
      <c r="D308" s="5" t="str">
        <f>cleaned_data!$D$308</f>
        <v>Mall</v>
      </c>
      <c r="E308" s="26">
        <f>cleaned_data!$M$308</f>
        <v>780580.95</v>
      </c>
      <c r="F308" s="26">
        <f>multiple_regression!$O$18+multiple_regression!$O$19*cleaned_data!$F$308+multiple_regression!$O$20*cleaned_data!$E$308+multiple_regression!$O$21*cleaned_data!$I$308+multiple_regression!$O$22*cleaned_data!$H$308+multiple_regression!$O$23*dummy_variables!$D$308+multiple_regression!$O$24*dummy_variables!$E$308+multiple_regression!$O$25*dummy_variables!$F$308+multiple_regression!$O$26*dummy_variables!$G$308+multiple_regression!$O$27*dummy_variables!$H$308+multiple_regression!$O$28*dummy_variables!$I$308</f>
        <v>726630.51589989383</v>
      </c>
      <c r="G308" s="26">
        <f t="shared" si="4"/>
        <v>53950.434100106126</v>
      </c>
    </row>
    <row r="309" spans="1:7" ht="15" customHeight="1">
      <c r="A309" s="5" t="str">
        <f>cleaned_data!$A$309</f>
        <v>STR-1077</v>
      </c>
      <c r="B309" s="25" t="str">
        <f>cleaned_data!$B$309</f>
        <v>2025-01-01</v>
      </c>
      <c r="C309" s="5" t="str">
        <f>cleaned_data!$C$309</f>
        <v>South</v>
      </c>
      <c r="D309" s="5" t="str">
        <f>cleaned_data!$D$309</f>
        <v>Residential</v>
      </c>
      <c r="E309" s="26">
        <f>cleaned_data!$M$309</f>
        <v>727957.48</v>
      </c>
      <c r="F309" s="26">
        <f>multiple_regression!$O$18+multiple_regression!$O$19*cleaned_data!$F$309+multiple_regression!$O$20*cleaned_data!$E$309+multiple_regression!$O$21*cleaned_data!$I$309+multiple_regression!$O$22*cleaned_data!$H$309+multiple_regression!$O$23*dummy_variables!$D$309+multiple_regression!$O$24*dummy_variables!$E$309+multiple_regression!$O$25*dummy_variables!$F$309+multiple_regression!$O$26*dummy_variables!$G$309+multiple_regression!$O$27*dummy_variables!$H$309+multiple_regression!$O$28*dummy_variables!$I$309</f>
        <v>683075.68550758867</v>
      </c>
      <c r="G309" s="26">
        <f t="shared" si="4"/>
        <v>44881.794492411311</v>
      </c>
    </row>
    <row r="310" spans="1:7" ht="15" customHeight="1">
      <c r="A310" s="5" t="str">
        <f>cleaned_data!$A$310</f>
        <v>STR-1077</v>
      </c>
      <c r="B310" s="25" t="str">
        <f>cleaned_data!$B$310</f>
        <v>2025-02-01</v>
      </c>
      <c r="C310" s="5" t="str">
        <f>cleaned_data!$C$310</f>
        <v>South</v>
      </c>
      <c r="D310" s="5" t="str">
        <f>cleaned_data!$D$310</f>
        <v>Residential</v>
      </c>
      <c r="E310" s="26">
        <f>cleaned_data!$M$310</f>
        <v>538376</v>
      </c>
      <c r="F310" s="26">
        <f>multiple_regression!$O$18+multiple_regression!$O$19*cleaned_data!$F$310+multiple_regression!$O$20*cleaned_data!$E$310+multiple_regression!$O$21*cleaned_data!$I$310+multiple_regression!$O$22*cleaned_data!$H$310+multiple_regression!$O$23*dummy_variables!$D$310+multiple_regression!$O$24*dummy_variables!$E$310+multiple_regression!$O$25*dummy_variables!$F$310+multiple_regression!$O$26*dummy_variables!$G$310+multiple_regression!$O$27*dummy_variables!$H$310+multiple_regression!$O$28*dummy_variables!$I$310</f>
        <v>634456.17451472569</v>
      </c>
      <c r="G310" s="26">
        <f t="shared" si="4"/>
        <v>-96080.174514725688</v>
      </c>
    </row>
    <row r="311" spans="1:7" ht="15" customHeight="1">
      <c r="A311" s="5" t="str">
        <f>cleaned_data!$A$311</f>
        <v>STR-1077</v>
      </c>
      <c r="B311" s="25" t="str">
        <f>cleaned_data!$B$311</f>
        <v>2025-03-01</v>
      </c>
      <c r="C311" s="5" t="str">
        <f>cleaned_data!$C$311</f>
        <v>South</v>
      </c>
      <c r="D311" s="5" t="str">
        <f>cleaned_data!$D$311</f>
        <v>Residential</v>
      </c>
      <c r="E311" s="26">
        <f>cleaned_data!$M$311</f>
        <v>665342.49</v>
      </c>
      <c r="F311" s="26">
        <f>multiple_regression!$O$18+multiple_regression!$O$19*cleaned_data!$F$311+multiple_regression!$O$20*cleaned_data!$E$311+multiple_regression!$O$21*cleaned_data!$I$311+multiple_regression!$O$22*cleaned_data!$H$311+multiple_regression!$O$23*dummy_variables!$D$311+multiple_regression!$O$24*dummy_variables!$E$311+multiple_regression!$O$25*dummy_variables!$F$311+multiple_regression!$O$26*dummy_variables!$G$311+multiple_regression!$O$27*dummy_variables!$H$311+multiple_regression!$O$28*dummy_variables!$I$311</f>
        <v>612315.90013262199</v>
      </c>
      <c r="G311" s="26">
        <f t="shared" si="4"/>
        <v>53026.589867378003</v>
      </c>
    </row>
    <row r="312" spans="1:7" ht="15" customHeight="1">
      <c r="A312" s="5" t="str">
        <f>cleaned_data!$A$312</f>
        <v>STR-1077</v>
      </c>
      <c r="B312" s="25" t="str">
        <f>cleaned_data!$B$312</f>
        <v>2025-04-01</v>
      </c>
      <c r="C312" s="5" t="str">
        <f>cleaned_data!$C$312</f>
        <v>South</v>
      </c>
      <c r="D312" s="5" t="str">
        <f>cleaned_data!$D$312</f>
        <v>Residential</v>
      </c>
      <c r="E312" s="26">
        <f>cleaned_data!$M$312</f>
        <v>651164.18000000005</v>
      </c>
      <c r="F312" s="26">
        <f>multiple_regression!$O$18+multiple_regression!$O$19*cleaned_data!$F$312+multiple_regression!$O$20*cleaned_data!$E$312+multiple_regression!$O$21*cleaned_data!$I$312+multiple_regression!$O$22*cleaned_data!$H$312+multiple_regression!$O$23*dummy_variables!$D$312+multiple_regression!$O$24*dummy_variables!$E$312+multiple_regression!$O$25*dummy_variables!$F$312+multiple_regression!$O$26*dummy_variables!$G$312+multiple_regression!$O$27*dummy_variables!$H$312+multiple_regression!$O$28*dummy_variables!$I$312</f>
        <v>705011.65165424976</v>
      </c>
      <c r="G312" s="26">
        <f t="shared" si="4"/>
        <v>-53847.471654249704</v>
      </c>
    </row>
    <row r="313" spans="1:7" ht="15" customHeight="1">
      <c r="A313" s="5" t="str">
        <f>cleaned_data!$A$313</f>
        <v>STR-1078</v>
      </c>
      <c r="B313" s="25" t="str">
        <f>cleaned_data!$B$313</f>
        <v>2025-01-01</v>
      </c>
      <c r="C313" s="5" t="str">
        <f>cleaned_data!$C$313</f>
        <v>South</v>
      </c>
      <c r="D313" s="5" t="str">
        <f>cleaned_data!$D$313</f>
        <v>High Street</v>
      </c>
      <c r="E313" s="26">
        <f>cleaned_data!$M$313</f>
        <v>628538.30000000005</v>
      </c>
      <c r="F313" s="26">
        <f>multiple_regression!$O$18+multiple_regression!$O$19*cleaned_data!$F$313+multiple_regression!$O$20*cleaned_data!$E$313+multiple_regression!$O$21*cleaned_data!$I$313+multiple_regression!$O$22*cleaned_data!$H$313+multiple_regression!$O$23*dummy_variables!$D$313+multiple_regression!$O$24*dummy_variables!$E$313+multiple_regression!$O$25*dummy_variables!$F$313+multiple_regression!$O$26*dummy_variables!$G$313+multiple_regression!$O$27*dummy_variables!$H$313+multiple_regression!$O$28*dummy_variables!$I$313</f>
        <v>646713.78535217152</v>
      </c>
      <c r="G313" s="26">
        <f t="shared" si="4"/>
        <v>-18175.485352171469</v>
      </c>
    </row>
    <row r="314" spans="1:7" ht="15" customHeight="1">
      <c r="A314" s="5" t="str">
        <f>cleaned_data!$A$314</f>
        <v>STR-1078</v>
      </c>
      <c r="B314" s="25" t="str">
        <f>cleaned_data!$B$314</f>
        <v>2025-02-01</v>
      </c>
      <c r="C314" s="5" t="str">
        <f>cleaned_data!$C$314</f>
        <v>South</v>
      </c>
      <c r="D314" s="5" t="str">
        <f>cleaned_data!$D$314</f>
        <v>High Street</v>
      </c>
      <c r="E314" s="26">
        <f>cleaned_data!$M$314</f>
        <v>536524.84</v>
      </c>
      <c r="F314" s="26">
        <f>multiple_regression!$O$18+multiple_regression!$O$19*cleaned_data!$F$314+multiple_regression!$O$20*cleaned_data!$E$314+multiple_regression!$O$21*cleaned_data!$I$314+multiple_regression!$O$22*cleaned_data!$H$314+multiple_regression!$O$23*dummy_variables!$D$314+multiple_regression!$O$24*dummy_variables!$E$314+multiple_regression!$O$25*dummy_variables!$F$314+multiple_regression!$O$26*dummy_variables!$G$314+multiple_regression!$O$27*dummy_variables!$H$314+multiple_regression!$O$28*dummy_variables!$I$314</f>
        <v>583350.69618966628</v>
      </c>
      <c r="G314" s="26">
        <f t="shared" si="4"/>
        <v>-46825.856189666316</v>
      </c>
    </row>
    <row r="315" spans="1:7" ht="15" customHeight="1">
      <c r="A315" s="5" t="str">
        <f>cleaned_data!$A$315</f>
        <v>STR-1078</v>
      </c>
      <c r="B315" s="25" t="str">
        <f>cleaned_data!$B$315</f>
        <v>2025-03-01</v>
      </c>
      <c r="C315" s="5" t="str">
        <f>cleaned_data!$C$315</f>
        <v>South</v>
      </c>
      <c r="D315" s="5" t="str">
        <f>cleaned_data!$D$315</f>
        <v>High Street</v>
      </c>
      <c r="E315" s="26">
        <f>cleaned_data!$M$315</f>
        <v>621677.30000000005</v>
      </c>
      <c r="F315" s="26">
        <f>multiple_regression!$O$18+multiple_regression!$O$19*cleaned_data!$F$315+multiple_regression!$O$20*cleaned_data!$E$315+multiple_regression!$O$21*cleaned_data!$I$315+multiple_regression!$O$22*cleaned_data!$H$315+multiple_regression!$O$23*dummy_variables!$D$315+multiple_regression!$O$24*dummy_variables!$E$315+multiple_regression!$O$25*dummy_variables!$F$315+multiple_regression!$O$26*dummy_variables!$G$315+multiple_regression!$O$27*dummy_variables!$H$315+multiple_regression!$O$28*dummy_variables!$I$315</f>
        <v>638812.62851307215</v>
      </c>
      <c r="G315" s="26">
        <f t="shared" si="4"/>
        <v>-17135.328513072105</v>
      </c>
    </row>
    <row r="316" spans="1:7" ht="15" customHeight="1">
      <c r="A316" s="5" t="str">
        <f>cleaned_data!$A$316</f>
        <v>STR-1078</v>
      </c>
      <c r="B316" s="25" t="str">
        <f>cleaned_data!$B$316</f>
        <v>2025-04-01</v>
      </c>
      <c r="C316" s="5" t="str">
        <f>cleaned_data!$C$316</f>
        <v>South</v>
      </c>
      <c r="D316" s="5" t="str">
        <f>cleaned_data!$D$316</f>
        <v>High Street</v>
      </c>
      <c r="E316" s="26">
        <f>cleaned_data!$M$316</f>
        <v>771129.07</v>
      </c>
      <c r="F316" s="26">
        <f>multiple_regression!$O$18+multiple_regression!$O$19*cleaned_data!$F$316+multiple_regression!$O$20*cleaned_data!$E$316+multiple_regression!$O$21*cleaned_data!$I$316+multiple_regression!$O$22*cleaned_data!$H$316+multiple_regression!$O$23*dummy_variables!$D$316+multiple_regression!$O$24*dummy_variables!$E$316+multiple_regression!$O$25*dummy_variables!$F$316+multiple_regression!$O$26*dummy_variables!$G$316+multiple_regression!$O$27*dummy_variables!$H$316+multiple_regression!$O$28*dummy_variables!$I$316</f>
        <v>764420.56870877324</v>
      </c>
      <c r="G316" s="26">
        <f t="shared" si="4"/>
        <v>6708.5012912267121</v>
      </c>
    </row>
    <row r="317" spans="1:7" ht="15" customHeight="1">
      <c r="A317" s="5" t="str">
        <f>cleaned_data!$A$317</f>
        <v>STR-1079</v>
      </c>
      <c r="B317" s="25" t="str">
        <f>cleaned_data!$B$317</f>
        <v>2025-01-01</v>
      </c>
      <c r="C317" s="5" t="str">
        <f>cleaned_data!$C$317</f>
        <v>North</v>
      </c>
      <c r="D317" s="5" t="str">
        <f>cleaned_data!$D$317</f>
        <v>Residential</v>
      </c>
      <c r="E317" s="26">
        <f>cleaned_data!$M$317</f>
        <v>702052.47</v>
      </c>
      <c r="F317" s="26">
        <f>multiple_regression!$O$18+multiple_regression!$O$19*cleaned_data!$F$317+multiple_regression!$O$20*cleaned_data!$E$317+multiple_regression!$O$21*cleaned_data!$I$317+multiple_regression!$O$22*cleaned_data!$H$317+multiple_regression!$O$23*dummy_variables!$D$317+multiple_regression!$O$24*dummy_variables!$E$317+multiple_regression!$O$25*dummy_variables!$F$317+multiple_regression!$O$26*dummy_variables!$G$317+multiple_regression!$O$27*dummy_variables!$H$317+multiple_regression!$O$28*dummy_variables!$I$317</f>
        <v>665849.98880577681</v>
      </c>
      <c r="G317" s="26">
        <f t="shared" si="4"/>
        <v>36202.481194223161</v>
      </c>
    </row>
    <row r="318" spans="1:7" ht="15" customHeight="1">
      <c r="A318" s="5" t="str">
        <f>cleaned_data!$A$318</f>
        <v>STR-1079</v>
      </c>
      <c r="B318" s="25" t="str">
        <f>cleaned_data!$B$318</f>
        <v>2025-02-01</v>
      </c>
      <c r="C318" s="5" t="str">
        <f>cleaned_data!$C$318</f>
        <v>North</v>
      </c>
      <c r="D318" s="5" t="str">
        <f>cleaned_data!$D$318</f>
        <v>Residential</v>
      </c>
      <c r="E318" s="26">
        <f>cleaned_data!$M$318</f>
        <v>688368.46</v>
      </c>
      <c r="F318" s="26">
        <f>multiple_regression!$O$18+multiple_regression!$O$19*cleaned_data!$F$318+multiple_regression!$O$20*cleaned_data!$E$318+multiple_regression!$O$21*cleaned_data!$I$318+multiple_regression!$O$22*cleaned_data!$H$318+multiple_regression!$O$23*dummy_variables!$D$318+multiple_regression!$O$24*dummy_variables!$E$318+multiple_regression!$O$25*dummy_variables!$F$318+multiple_regression!$O$26*dummy_variables!$G$318+multiple_regression!$O$27*dummy_variables!$H$318+multiple_regression!$O$28*dummy_variables!$I$318</f>
        <v>713723.75119756255</v>
      </c>
      <c r="G318" s="26">
        <f t="shared" si="4"/>
        <v>-25355.29119756259</v>
      </c>
    </row>
    <row r="319" spans="1:7" ht="15" customHeight="1">
      <c r="A319" s="5" t="str">
        <f>cleaned_data!$A$319</f>
        <v>STR-1079</v>
      </c>
      <c r="B319" s="25" t="str">
        <f>cleaned_data!$B$319</f>
        <v>2025-03-01</v>
      </c>
      <c r="C319" s="5" t="str">
        <f>cleaned_data!$C$319</f>
        <v>North</v>
      </c>
      <c r="D319" s="5" t="str">
        <f>cleaned_data!$D$319</f>
        <v>Residential</v>
      </c>
      <c r="E319" s="26">
        <f>cleaned_data!$M$319</f>
        <v>712375.77</v>
      </c>
      <c r="F319" s="26">
        <f>multiple_regression!$O$18+multiple_regression!$O$19*cleaned_data!$F$319+multiple_regression!$O$20*cleaned_data!$E$319+multiple_regression!$O$21*cleaned_data!$I$319+multiple_regression!$O$22*cleaned_data!$H$319+multiple_regression!$O$23*dummy_variables!$D$319+multiple_regression!$O$24*dummy_variables!$E$319+multiple_regression!$O$25*dummy_variables!$F$319+multiple_regression!$O$26*dummy_variables!$G$319+multiple_regression!$O$27*dummy_variables!$H$319+multiple_regression!$O$28*dummy_variables!$I$319</f>
        <v>674365.13158248179</v>
      </c>
      <c r="G319" s="26">
        <f t="shared" si="4"/>
        <v>38010.638417518232</v>
      </c>
    </row>
    <row r="320" spans="1:7" ht="15" customHeight="1">
      <c r="A320" s="5" t="str">
        <f>cleaned_data!$A$320</f>
        <v>STR-1079</v>
      </c>
      <c r="B320" s="25" t="str">
        <f>cleaned_data!$B$320</f>
        <v>2025-04-01</v>
      </c>
      <c r="C320" s="5" t="str">
        <f>cleaned_data!$C$320</f>
        <v>North</v>
      </c>
      <c r="D320" s="5" t="str">
        <f>cleaned_data!$D$320</f>
        <v>Residential</v>
      </c>
      <c r="E320" s="26">
        <f>cleaned_data!$M$320</f>
        <v>844710.67</v>
      </c>
      <c r="F320" s="26">
        <f>multiple_regression!$O$18+multiple_regression!$O$19*cleaned_data!$F$320+multiple_regression!$O$20*cleaned_data!$E$320+multiple_regression!$O$21*cleaned_data!$I$320+multiple_regression!$O$22*cleaned_data!$H$320+multiple_regression!$O$23*dummy_variables!$D$320+multiple_regression!$O$24*dummy_variables!$E$320+multiple_regression!$O$25*dummy_variables!$F$320+multiple_regression!$O$26*dummy_variables!$G$320+multiple_regression!$O$27*dummy_variables!$H$320+multiple_regression!$O$28*dummy_variables!$I$320</f>
        <v>799596.16919027292</v>
      </c>
      <c r="G320" s="26">
        <f t="shared" si="4"/>
        <v>45114.50080972712</v>
      </c>
    </row>
    <row r="321" spans="1:7" ht="15" customHeight="1">
      <c r="A321" s="5" t="str">
        <f>cleaned_data!$A$321</f>
        <v>STR-1080</v>
      </c>
      <c r="B321" s="25" t="str">
        <f>cleaned_data!$B$321</f>
        <v>2025-01-01</v>
      </c>
      <c r="C321" s="5" t="str">
        <f>cleaned_data!$C$321</f>
        <v>East</v>
      </c>
      <c r="D321" s="5" t="str">
        <f>cleaned_data!$D$321</f>
        <v>Residential</v>
      </c>
      <c r="E321" s="26">
        <f>cleaned_data!$M$321</f>
        <v>620264.19999999995</v>
      </c>
      <c r="F321" s="26">
        <f>multiple_regression!$O$18+multiple_regression!$O$19*cleaned_data!$F$321+multiple_regression!$O$20*cleaned_data!$E$321+multiple_regression!$O$21*cleaned_data!$I$321+multiple_regression!$O$22*cleaned_data!$H$321+multiple_regression!$O$23*dummy_variables!$D$321+multiple_regression!$O$24*dummy_variables!$E$321+multiple_regression!$O$25*dummy_variables!$F$321+multiple_regression!$O$26*dummy_variables!$G$321+multiple_regression!$O$27*dummy_variables!$H$321+multiple_regression!$O$28*dummy_variables!$I$321</f>
        <v>659785.8845822165</v>
      </c>
      <c r="G321" s="26">
        <f t="shared" si="4"/>
        <v>-39521.684582216549</v>
      </c>
    </row>
    <row r="322" spans="1:7" ht="15" customHeight="1">
      <c r="A322" s="5" t="str">
        <f>cleaned_data!$A$322</f>
        <v>STR-1080</v>
      </c>
      <c r="B322" s="25" t="str">
        <f>cleaned_data!$B$322</f>
        <v>2025-02-01</v>
      </c>
      <c r="C322" s="5" t="str">
        <f>cleaned_data!$C$322</f>
        <v>East</v>
      </c>
      <c r="D322" s="5" t="str">
        <f>cleaned_data!$D$322</f>
        <v>Residential</v>
      </c>
      <c r="E322" s="26">
        <f>cleaned_data!$M$322</f>
        <v>536845.42000000004</v>
      </c>
      <c r="F322" s="26">
        <f>multiple_regression!$O$18+multiple_regression!$O$19*cleaned_data!$F$322+multiple_regression!$O$20*cleaned_data!$E$322+multiple_regression!$O$21*cleaned_data!$I$322+multiple_regression!$O$22*cleaned_data!$H$322+multiple_regression!$O$23*dummy_variables!$D$322+multiple_regression!$O$24*dummy_variables!$E$322+multiple_regression!$O$25*dummy_variables!$F$322+multiple_regression!$O$26*dummy_variables!$G$322+multiple_regression!$O$27*dummy_variables!$H$322+multiple_regression!$O$28*dummy_variables!$I$322</f>
        <v>509616.12148677104</v>
      </c>
      <c r="G322" s="26">
        <f t="shared" si="4"/>
        <v>27229.298513229005</v>
      </c>
    </row>
    <row r="323" spans="1:7" ht="15" customHeight="1">
      <c r="A323" s="5" t="str">
        <f>cleaned_data!$A$323</f>
        <v>STR-1080</v>
      </c>
      <c r="B323" s="25" t="str">
        <f>cleaned_data!$B$323</f>
        <v>2025-03-01</v>
      </c>
      <c r="C323" s="5" t="str">
        <f>cleaned_data!$C$323</f>
        <v>East</v>
      </c>
      <c r="D323" s="5" t="str">
        <f>cleaned_data!$D$323</f>
        <v>Residential</v>
      </c>
      <c r="E323" s="26">
        <f>cleaned_data!$M$323</f>
        <v>726776.22</v>
      </c>
      <c r="F323" s="26">
        <f>multiple_regression!$O$18+multiple_regression!$O$19*cleaned_data!$F$323+multiple_regression!$O$20*cleaned_data!$E$323+multiple_regression!$O$21*cleaned_data!$I$323+multiple_regression!$O$22*cleaned_data!$H$323+multiple_regression!$O$23*dummy_variables!$D$323+multiple_regression!$O$24*dummy_variables!$E$323+multiple_regression!$O$25*dummy_variables!$F$323+multiple_regression!$O$26*dummy_variables!$G$323+multiple_regression!$O$27*dummy_variables!$H$323+multiple_regression!$O$28*dummy_variables!$I$323</f>
        <v>718398.0268090755</v>
      </c>
      <c r="G323" s="26">
        <f t="shared" si="4"/>
        <v>8378.193190924474</v>
      </c>
    </row>
    <row r="324" spans="1:7" ht="15" customHeight="1">
      <c r="A324" s="5" t="str">
        <f>cleaned_data!$A$324</f>
        <v>STR-1080</v>
      </c>
      <c r="B324" s="25" t="str">
        <f>cleaned_data!$B$324</f>
        <v>2025-04-01</v>
      </c>
      <c r="C324" s="5" t="str">
        <f>cleaned_data!$C$324</f>
        <v>East</v>
      </c>
      <c r="D324" s="5" t="str">
        <f>cleaned_data!$D$324</f>
        <v>Residential</v>
      </c>
      <c r="E324" s="26">
        <f>cleaned_data!$M$324</f>
        <v>559660.84</v>
      </c>
      <c r="F324" s="26">
        <f>multiple_regression!$O$18+multiple_regression!$O$19*cleaned_data!$F$324+multiple_regression!$O$20*cleaned_data!$E$324+multiple_regression!$O$21*cleaned_data!$I$324+multiple_regression!$O$22*cleaned_data!$H$324+multiple_regression!$O$23*dummy_variables!$D$324+multiple_regression!$O$24*dummy_variables!$E$324+multiple_regression!$O$25*dummy_variables!$F$324+multiple_regression!$O$26*dummy_variables!$G$324+multiple_regression!$O$27*dummy_variables!$H$324+multiple_regression!$O$28*dummy_variables!$I$324</f>
        <v>587933.09519770823</v>
      </c>
      <c r="G324" s="26">
        <f t="shared" si="4"/>
        <v>-28272.255197708262</v>
      </c>
    </row>
    <row r="327" spans="1:7" ht="15" customHeight="1">
      <c r="A327" s="38" t="s">
        <v>146</v>
      </c>
      <c r="B327" s="38"/>
      <c r="C327" s="38"/>
      <c r="D327" s="38"/>
      <c r="E327" s="38"/>
      <c r="F327" s="38"/>
      <c r="G327" s="38"/>
    </row>
    <row r="328" spans="1:7" ht="23.25" customHeight="1">
      <c r="A328" s="4" t="s">
        <v>0</v>
      </c>
      <c r="B328" s="4" t="s">
        <v>1</v>
      </c>
      <c r="C328" s="4" t="s">
        <v>2</v>
      </c>
      <c r="D328" s="4" t="s">
        <v>3</v>
      </c>
      <c r="E328" s="4" t="s">
        <v>143</v>
      </c>
      <c r="F328" s="4" t="s">
        <v>144</v>
      </c>
      <c r="G328" s="4" t="s">
        <v>145</v>
      </c>
    </row>
    <row r="329" spans="1:7" ht="15" customHeight="1">
      <c r="A329" s="17" t="str">
        <f>INDEX($A$5:$A$324,MATCH(G329,$G$5:$G$324,0))</f>
        <v>STR-1073</v>
      </c>
      <c r="B329" s="27" t="str">
        <f>INDEX($B$5:$B$324,MATCH(G329,$G$5:$G$324,0))</f>
        <v>2025-03-01</v>
      </c>
      <c r="C329" s="17" t="str">
        <f>INDEX($C$5:$C$324,MATCH(G329,$G$5:$G$324,0))</f>
        <v>East</v>
      </c>
      <c r="D329" s="17" t="str">
        <f>INDEX($D$5:$D$324,MATCH(G329,$G$5:$G$324,0))</f>
        <v>Residential</v>
      </c>
      <c r="E329" s="28">
        <f>INDEX($E$5:$E$324,MATCH(G329,$G$5:$G$324,0))</f>
        <v>813316.71</v>
      </c>
      <c r="F329" s="28">
        <f>INDEX($F$5:$F$324,MATCH(G329,$G$5:$G$324,0))</f>
        <v>700782.64825893799</v>
      </c>
      <c r="G329" s="28">
        <f>LARGE($G$5:$G$324,1)</f>
        <v>112534.06174106197</v>
      </c>
    </row>
    <row r="330" spans="1:7" ht="15" customHeight="1">
      <c r="A330" s="17" t="str">
        <f>INDEX($A$5:$A$324,MATCH(G330,$G$5:$G$324,0))</f>
        <v>STR-1028</v>
      </c>
      <c r="B330" s="27" t="str">
        <f>INDEX($B$5:$B$324,MATCH(G330,$G$5:$G$324,0))</f>
        <v>2025-04-01</v>
      </c>
      <c r="C330" s="17" t="str">
        <f>INDEX($C$5:$C$324,MATCH(G330,$G$5:$G$324,0))</f>
        <v>East</v>
      </c>
      <c r="D330" s="17" t="str">
        <f>INDEX($D$5:$D$324,MATCH(G330,$G$5:$G$324,0))</f>
        <v>Mall</v>
      </c>
      <c r="E330" s="28">
        <f>INDEX($E$5:$E$324,MATCH(G330,$G$5:$G$324,0))</f>
        <v>713611.16</v>
      </c>
      <c r="F330" s="28">
        <f>INDEX($F$5:$F$324,MATCH(G330,$G$5:$G$324,0))</f>
        <v>603971.42004515056</v>
      </c>
      <c r="G330" s="28">
        <f>LARGE($G$5:$G$324,2)</f>
        <v>109639.73995484947</v>
      </c>
    </row>
    <row r="331" spans="1:7" ht="15" customHeight="1">
      <c r="A331" s="17" t="str">
        <f>INDEX($A$5:$A$324,MATCH(G331,$G$5:$G$324,0))</f>
        <v>STR-1026</v>
      </c>
      <c r="B331" s="27" t="str">
        <f>INDEX($B$5:$B$324,MATCH(G331,$G$5:$G$324,0))</f>
        <v>2025-04-01</v>
      </c>
      <c r="C331" s="17" t="str">
        <f>INDEX($C$5:$C$324,MATCH(G331,$G$5:$G$324,0))</f>
        <v>East</v>
      </c>
      <c r="D331" s="17" t="str">
        <f>INDEX($D$5:$D$324,MATCH(G331,$G$5:$G$324,0))</f>
        <v>Mall</v>
      </c>
      <c r="E331" s="28">
        <f>INDEX($E$5:$E$324,MATCH(G331,$G$5:$G$324,0))</f>
        <v>625514.04</v>
      </c>
      <c r="F331" s="28">
        <f>INDEX($F$5:$F$324,MATCH(G331,$G$5:$G$324,0))</f>
        <v>519632.05055249087</v>
      </c>
      <c r="G331" s="28">
        <f>LARGE($G$5:$G$324,3)</f>
        <v>105881.98944750917</v>
      </c>
    </row>
    <row r="332" spans="1:7" ht="15" customHeight="1">
      <c r="A332" s="17" t="str">
        <f>INDEX($A$5:$A$324,MATCH(G332,$G$5:$G$324,0))</f>
        <v>STR-1030</v>
      </c>
      <c r="B332" s="27" t="str">
        <f>INDEX($B$5:$B$324,MATCH(G332,$G$5:$G$324,0))</f>
        <v>2025-02-01</v>
      </c>
      <c r="C332" s="17" t="str">
        <f>INDEX($C$5:$C$324,MATCH(G332,$G$5:$G$324,0))</f>
        <v>West</v>
      </c>
      <c r="D332" s="17" t="str">
        <f>INDEX($D$5:$D$324,MATCH(G332,$G$5:$G$324,0))</f>
        <v>Residential</v>
      </c>
      <c r="E332" s="28">
        <f>INDEX($E$5:$E$324,MATCH(G332,$G$5:$G$324,0))</f>
        <v>820519.04</v>
      </c>
      <c r="F332" s="28">
        <f>INDEX($F$5:$F$324,MATCH(G332,$G$5:$G$324,0))</f>
        <v>721391.55813230504</v>
      </c>
      <c r="G332" s="28">
        <f>LARGE($G$5:$G$324,4)</f>
        <v>99127.481867694994</v>
      </c>
    </row>
    <row r="333" spans="1:7" ht="15" customHeight="1">
      <c r="A333" s="17" t="str">
        <f>INDEX($A$5:$A$324,MATCH(G333,$G$5:$G$324,0))</f>
        <v>STR-1051</v>
      </c>
      <c r="B333" s="27" t="str">
        <f>INDEX($B$5:$B$324,MATCH(G333,$G$5:$G$324,0))</f>
        <v>2025-02-01</v>
      </c>
      <c r="C333" s="17" t="str">
        <f>INDEX($C$5:$C$324,MATCH(G333,$G$5:$G$324,0))</f>
        <v>East</v>
      </c>
      <c r="D333" s="17" t="str">
        <f>INDEX($D$5:$D$324,MATCH(G333,$G$5:$G$324,0))</f>
        <v>Airport</v>
      </c>
      <c r="E333" s="28">
        <f>INDEX($E$5:$E$324,MATCH(G333,$G$5:$G$324,0))</f>
        <v>787715.51</v>
      </c>
      <c r="F333" s="28">
        <f>INDEX($F$5:$F$324,MATCH(G333,$G$5:$G$324,0))</f>
        <v>690488.43488574272</v>
      </c>
      <c r="G333" s="28">
        <f>LARGE($G$5:$G$324,5)</f>
        <v>97227.075114257284</v>
      </c>
    </row>
    <row r="335" spans="1:7" ht="15" customHeight="1">
      <c r="A335" s="38" t="s">
        <v>147</v>
      </c>
      <c r="B335" s="38"/>
      <c r="C335" s="38"/>
      <c r="D335" s="38"/>
      <c r="E335" s="38"/>
      <c r="F335" s="38"/>
      <c r="G335" s="38"/>
    </row>
    <row r="336" spans="1:7" ht="23.25" customHeight="1">
      <c r="A336" s="4" t="s">
        <v>0</v>
      </c>
      <c r="B336" s="4" t="s">
        <v>1</v>
      </c>
      <c r="C336" s="4" t="s">
        <v>2</v>
      </c>
      <c r="D336" s="4" t="s">
        <v>3</v>
      </c>
      <c r="E336" s="4" t="s">
        <v>143</v>
      </c>
      <c r="F336" s="4" t="s">
        <v>144</v>
      </c>
      <c r="G336" s="4" t="s">
        <v>145</v>
      </c>
    </row>
    <row r="337" spans="1:7" ht="15" customHeight="1">
      <c r="A337" s="29" t="str">
        <f>INDEX($A$5:$A$324,MATCH(G337,$G$5:$G$324,0))</f>
        <v>STR-1017</v>
      </c>
      <c r="B337" s="30" t="str">
        <f>INDEX($B$5:$B$324,MATCH(G337,$G$5:$G$324,0))</f>
        <v>2025-03-01</v>
      </c>
      <c r="C337" s="29" t="str">
        <f>INDEX($C$5:$C$324,MATCH(G337,$G$5:$G$324,0))</f>
        <v>West</v>
      </c>
      <c r="D337" s="29" t="str">
        <f>INDEX($D$5:$D$324,MATCH(G337,$G$5:$G$324,0))</f>
        <v>High Street</v>
      </c>
      <c r="E337" s="31">
        <f>INDEX($E$5:$E$324,MATCH(G337,$G$5:$G$324,0))</f>
        <v>685379.08</v>
      </c>
      <c r="F337" s="31">
        <f>INDEX($F$5:$F$324,MATCH(G337,$G$5:$G$324,0))</f>
        <v>846559.27464799257</v>
      </c>
      <c r="G337" s="31">
        <f>SMALL($G$5:$G$324,1)</f>
        <v>-161180.19464799261</v>
      </c>
    </row>
    <row r="338" spans="1:7" ht="15" customHeight="1">
      <c r="A338" s="29" t="str">
        <f>INDEX($A$5:$A$324,MATCH(G338,$G$5:$G$324,0))</f>
        <v>STR-1012</v>
      </c>
      <c r="B338" s="30" t="str">
        <f>INDEX($B$5:$B$324,MATCH(G338,$G$5:$G$324,0))</f>
        <v>2025-01-01</v>
      </c>
      <c r="C338" s="29" t="str">
        <f>INDEX($C$5:$C$324,MATCH(G338,$G$5:$G$324,0))</f>
        <v>West</v>
      </c>
      <c r="D338" s="29" t="str">
        <f>INDEX($D$5:$D$324,MATCH(G338,$G$5:$G$324,0))</f>
        <v>Residential</v>
      </c>
      <c r="E338" s="31">
        <f>INDEX($E$5:$E$324,MATCH(G338,$G$5:$G$324,0))</f>
        <v>595467.6</v>
      </c>
      <c r="F338" s="31">
        <f>INDEX($F$5:$F$324,MATCH(G338,$G$5:$G$324,0))</f>
        <v>728950.12556031474</v>
      </c>
      <c r="G338" s="31">
        <f>SMALL($G$5:$G$324,2)</f>
        <v>-133482.52556031477</v>
      </c>
    </row>
    <row r="339" spans="1:7" ht="15" customHeight="1">
      <c r="A339" s="29" t="str">
        <f>INDEX($A$5:$A$324,MATCH(G339,$G$5:$G$324,0))</f>
        <v>STR-1023</v>
      </c>
      <c r="B339" s="30" t="str">
        <f>INDEX($B$5:$B$324,MATCH(G339,$G$5:$G$324,0))</f>
        <v>2025-02-01</v>
      </c>
      <c r="C339" s="29" t="str">
        <f>INDEX($C$5:$C$324,MATCH(G339,$G$5:$G$324,0))</f>
        <v>South</v>
      </c>
      <c r="D339" s="29" t="str">
        <f>INDEX($D$5:$D$324,MATCH(G339,$G$5:$G$324,0))</f>
        <v>Mall</v>
      </c>
      <c r="E339" s="31">
        <f>INDEX($E$5:$E$324,MATCH(G339,$G$5:$G$324,0))</f>
        <v>627171.9</v>
      </c>
      <c r="F339" s="31">
        <f>INDEX($F$5:$F$324,MATCH(G339,$G$5:$G$324,0))</f>
        <v>753497.85237894638</v>
      </c>
      <c r="G339" s="31">
        <f>SMALL($G$5:$G$324,3)</f>
        <v>-126325.95237894636</v>
      </c>
    </row>
    <row r="340" spans="1:7" ht="15" customHeight="1">
      <c r="A340" s="29" t="str">
        <f>INDEX($A$5:$A$324,MATCH(G340,$G$5:$G$324,0))</f>
        <v>STR-1007</v>
      </c>
      <c r="B340" s="30" t="str">
        <f>INDEX($B$5:$B$324,MATCH(G340,$G$5:$G$324,0))</f>
        <v>2025-02-01</v>
      </c>
      <c r="C340" s="29" t="str">
        <f>INDEX($C$5:$C$324,MATCH(G340,$G$5:$G$324,0))</f>
        <v>West</v>
      </c>
      <c r="D340" s="29" t="str">
        <f>INDEX($D$5:$D$324,MATCH(G340,$G$5:$G$324,0))</f>
        <v>Mall</v>
      </c>
      <c r="E340" s="31">
        <f>INDEX($E$5:$E$324,MATCH(G340,$G$5:$G$324,0))</f>
        <v>800451.94</v>
      </c>
      <c r="F340" s="31">
        <f>INDEX($F$5:$F$324,MATCH(G340,$G$5:$G$324,0))</f>
        <v>914908.11187683023</v>
      </c>
      <c r="G340" s="31">
        <f>SMALL($G$5:$G$324,4)</f>
        <v>-114456.17187683028</v>
      </c>
    </row>
    <row r="341" spans="1:7" ht="15" customHeight="1">
      <c r="A341" s="29" t="str">
        <f>INDEX($A$5:$A$324,MATCH(G341,$G$5:$G$324,0))</f>
        <v>STR-1009</v>
      </c>
      <c r="B341" s="30" t="str">
        <f>INDEX($B$5:$B$324,MATCH(G341,$G$5:$G$324,0))</f>
        <v>2025-01-01</v>
      </c>
      <c r="C341" s="29" t="str">
        <f>INDEX($C$5:$C$324,MATCH(G341,$G$5:$G$324,0))</f>
        <v>North</v>
      </c>
      <c r="D341" s="29" t="str">
        <f>INDEX($D$5:$D$324,MATCH(G341,$G$5:$G$324,0))</f>
        <v>Residential</v>
      </c>
      <c r="E341" s="31">
        <f>INDEX($E$5:$E$324,MATCH(G341,$G$5:$G$324,0))</f>
        <v>641865.03</v>
      </c>
      <c r="F341" s="31">
        <f>INDEX($F$5:$F$324,MATCH(G341,$G$5:$G$324,0))</f>
        <v>738721.32378903974</v>
      </c>
      <c r="G341" s="31">
        <f>SMALL($G$5:$G$324,5)</f>
        <v>-96856.293789039715</v>
      </c>
    </row>
  </sheetData>
  <mergeCells count="3">
    <mergeCell ref="A2:F2"/>
    <mergeCell ref="A327:G327"/>
    <mergeCell ref="A335:G33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ColWidth="8.6640625" defaultRowHeight="14.4"/>
  <cols>
    <col min="1" max="1" width="22" style="1" customWidth="1"/>
    <col min="2" max="2" width="45" style="1" customWidth="1"/>
    <col min="3" max="3" width="11" style="1" customWidth="1"/>
    <col min="4" max="5" width="12" style="1" customWidth="1"/>
    <col min="6" max="6" width="38" style="1" customWidth="1"/>
  </cols>
  <sheetData>
    <row r="1" spans="1:6" ht="15.75" customHeight="1">
      <c r="A1" s="2" t="s">
        <v>148</v>
      </c>
    </row>
    <row r="2" spans="1:6" ht="15" customHeight="1">
      <c r="A2" s="37" t="s">
        <v>149</v>
      </c>
      <c r="B2" s="37"/>
      <c r="C2" s="37"/>
      <c r="D2" s="37"/>
      <c r="E2" s="37"/>
      <c r="F2" s="37"/>
    </row>
    <row r="4" spans="1:6" ht="15" customHeight="1">
      <c r="A4" s="4" t="s">
        <v>150</v>
      </c>
      <c r="B4" s="4" t="s">
        <v>151</v>
      </c>
      <c r="C4" s="4" t="s">
        <v>117</v>
      </c>
      <c r="D4" s="4" t="s">
        <v>152</v>
      </c>
      <c r="E4" s="4" t="s">
        <v>153</v>
      </c>
      <c r="F4" s="4" t="s">
        <v>154</v>
      </c>
    </row>
    <row r="5" spans="1:6" ht="21.75" customHeight="1">
      <c r="A5" s="32" t="s">
        <v>155</v>
      </c>
      <c r="B5" s="32" t="s">
        <v>156</v>
      </c>
      <c r="C5" s="33">
        <f>simple_regression!$B$8</f>
        <v>0.73628534000331169</v>
      </c>
      <c r="D5" s="34">
        <f>simple_regression!$B$12</f>
        <v>4.750361508698423E-94</v>
      </c>
      <c r="E5" s="32" t="str">
        <f>IF(simple_regression!$B$12&lt;0.05,"Yes","No")</f>
        <v>Yes</v>
      </c>
      <c r="F5" s="32" t="s">
        <v>157</v>
      </c>
    </row>
    <row r="6" spans="1:6" ht="15" customHeight="1">
      <c r="A6" s="32" t="s">
        <v>158</v>
      </c>
      <c r="B6" s="32" t="s">
        <v>159</v>
      </c>
      <c r="C6" s="33">
        <f>simple_regression!$B$19</f>
        <v>0.16724469112486992</v>
      </c>
      <c r="D6" s="34">
        <f>simple_regression!$B$23</f>
        <v>2.4800615098735745E-14</v>
      </c>
      <c r="E6" s="32" t="str">
        <f>IF(simple_regression!$B$23&lt;0.05,"Yes","No")</f>
        <v>Yes</v>
      </c>
      <c r="F6" s="32" t="s">
        <v>160</v>
      </c>
    </row>
    <row r="7" spans="1:6" ht="15" customHeight="1">
      <c r="A7" s="32" t="s">
        <v>161</v>
      </c>
      <c r="B7" s="32" t="s">
        <v>162</v>
      </c>
      <c r="C7" s="33">
        <f>simple_regression!$B$30</f>
        <v>0.65229044698823802</v>
      </c>
      <c r="D7" s="34">
        <f>simple_regression!$B$34</f>
        <v>6.2501017890004913E-75</v>
      </c>
      <c r="E7" s="32" t="str">
        <f>IF(simple_regression!$B$34&lt;0.05,"Yes","No")</f>
        <v>Yes</v>
      </c>
      <c r="F7" s="32" t="s">
        <v>163</v>
      </c>
    </row>
    <row r="8" spans="1:6" ht="15" customHeight="1">
      <c r="A8" s="32" t="s">
        <v>164</v>
      </c>
      <c r="B8" s="32" t="s">
        <v>165</v>
      </c>
      <c r="C8" s="33">
        <f>simple_regression!$B$41</f>
        <v>8.2905030244003544E-3</v>
      </c>
      <c r="D8" s="34">
        <f>simple_regression!$B$45</f>
        <v>0.10399304650839758</v>
      </c>
      <c r="E8" s="32" t="str">
        <f>IF(simple_regression!$B$45&lt;0.05,"Yes","No")</f>
        <v>No</v>
      </c>
      <c r="F8" s="32" t="s">
        <v>166</v>
      </c>
    </row>
    <row r="9" spans="1:6" ht="45" customHeight="1">
      <c r="A9" s="35" t="s">
        <v>167</v>
      </c>
      <c r="B9" s="35" t="s">
        <v>168</v>
      </c>
      <c r="C9" s="36">
        <f>multiple_regression!$O$30</f>
        <v>0.82955522891971933</v>
      </c>
      <c r="D9" s="35" t="s">
        <v>169</v>
      </c>
      <c r="E9" s="35" t="s">
        <v>170</v>
      </c>
      <c r="F9" s="35" t="s">
        <v>171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original_dataset</vt:lpstr>
      <vt:lpstr>cleaned_data</vt:lpstr>
      <vt:lpstr>dummy_variables</vt:lpstr>
      <vt:lpstr>simple_regression</vt:lpstr>
      <vt:lpstr>multiple_regression</vt:lpstr>
      <vt:lpstr>prediction_residuals</vt:lpstr>
      <vt:lpstr>model_comparison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</cp:lastModifiedBy>
  <cp:revision>0</cp:revision>
  <dcterms:created xsi:type="dcterms:W3CDTF">2026-06-21T18:08:24Z</dcterms:created>
  <dcterms:modified xsi:type="dcterms:W3CDTF">2026-06-21T18:51:17Z</dcterms:modified>
  <dc:language>en-US</dc:language>
</cp:coreProperties>
</file>