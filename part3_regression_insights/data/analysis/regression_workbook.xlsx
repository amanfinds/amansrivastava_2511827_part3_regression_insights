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riginal_dataset" sheetId="1" state="visible" r:id="rId3"/>
    <sheet name="cleaned_data" sheetId="2" state="visible" r:id="rId4"/>
    <sheet name="dummy_variables" sheetId="3" state="visible" r:id="rId5"/>
    <sheet name="simple_regression" sheetId="4" state="visible" r:id="rId6"/>
    <sheet name="multiple_regression" sheetId="5" state="visible" r:id="rId7"/>
    <sheet name="prediction_residuals" sheetId="6" state="visible" r:id="rId8"/>
    <sheet name="model_comparison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<sst xmlns="http://schemas.openxmlformats.org/spreadsheetml/2006/main" count="3390" uniqueCount="179">
  <si>
    <t xml:space="preserve">ORIGINAL DATASET (As Downloaded - Unmodified)</t>
  </si>
  <si>
    <t xml:space="preserve">Source: business_regression_data.xlsx | store_performance sheet | 320 rows x 14 columns | DO NOT EDIT THIS SHEET</t>
  </si>
  <si>
    <t xml:space="preserve">store_id</t>
  </si>
  <si>
    <t xml:space="preserve">month</t>
  </si>
  <si>
    <t xml:space="preserve">region</t>
  </si>
  <si>
    <t xml:space="preserve">store_type</t>
  </si>
  <si>
    <t xml:space="preserve">marketing_spend</t>
  </si>
  <si>
    <t xml:space="preserve">footfall</t>
  </si>
  <si>
    <t xml:space="preserve">avg_discount_pct</t>
  </si>
  <si>
    <t xml:space="preserve">staff_count</t>
  </si>
  <si>
    <t xml:space="preserve">inventory_availability_pct</t>
  </si>
  <si>
    <t xml:space="preserve">competitor_distance_km</t>
  </si>
  <si>
    <t xml:space="preserve">holiday_flag</t>
  </si>
  <si>
    <t xml:space="preserve">customer_rating</t>
  </si>
  <si>
    <t xml:space="preserve">monthly_sales</t>
  </si>
  <si>
    <t xml:space="preserve">monthly_profit</t>
  </si>
  <si>
    <t xml:space="preserve">STR-1001</t>
  </si>
  <si>
    <t xml:space="preserve">East</t>
  </si>
  <si>
    <t xml:space="preserve">Residential</t>
  </si>
  <si>
    <t xml:space="preserve">STR-1002</t>
  </si>
  <si>
    <t xml:space="preserve">High Street</t>
  </si>
  <si>
    <t xml:space="preserve">STR-1003</t>
  </si>
  <si>
    <t xml:space="preserve">North</t>
  </si>
  <si>
    <t xml:space="preserve">Airport</t>
  </si>
  <si>
    <t xml:space="preserve">STR-1004</t>
  </si>
  <si>
    <t xml:space="preserve">STR-1005</t>
  </si>
  <si>
    <t xml:space="preserve">South</t>
  </si>
  <si>
    <t xml:space="preserve">STR-1006</t>
  </si>
  <si>
    <t xml:space="preserve">STR-1007</t>
  </si>
  <si>
    <t xml:space="preserve">West</t>
  </si>
  <si>
    <t xml:space="preserve">Mall</t>
  </si>
  <si>
    <t xml:space="preserve">STR-1008</t>
  </si>
  <si>
    <t xml:space="preserve">STR-1009</t>
  </si>
  <si>
    <t xml:space="preserve">STR-1010</t>
  </si>
  <si>
    <t xml:space="preserve">STR-1011</t>
  </si>
  <si>
    <t xml:space="preserve">STR-1012</t>
  </si>
  <si>
    <t xml:space="preserve">STR-1013</t>
  </si>
  <si>
    <t xml:space="preserve">STR-1014</t>
  </si>
  <si>
    <t xml:space="preserve">STR-1015</t>
  </si>
  <si>
    <t xml:space="preserve">STR-1016</t>
  </si>
  <si>
    <t xml:space="preserve">STR-1017</t>
  </si>
  <si>
    <t xml:space="preserve">STR-1018</t>
  </si>
  <si>
    <t xml:space="preserve">STR-1019</t>
  </si>
  <si>
    <t xml:space="preserve">STR-1020</t>
  </si>
  <si>
    <t xml:space="preserve">STR-1021</t>
  </si>
  <si>
    <t xml:space="preserve">STR-1022</t>
  </si>
  <si>
    <t xml:space="preserve">STR-1023</t>
  </si>
  <si>
    <t xml:space="preserve">STR-1024</t>
  </si>
  <si>
    <t xml:space="preserve">STR-1025</t>
  </si>
  <si>
    <t xml:space="preserve">STR-1026</t>
  </si>
  <si>
    <t xml:space="preserve">STR-1027</t>
  </si>
  <si>
    <t xml:space="preserve">STR-1028</t>
  </si>
  <si>
    <t xml:space="preserve">STR-1029</t>
  </si>
  <si>
    <t xml:space="preserve">STR-1030</t>
  </si>
  <si>
    <t xml:space="preserve">STR-1031</t>
  </si>
  <si>
    <t xml:space="preserve">STR-1032</t>
  </si>
  <si>
    <t xml:space="preserve">STR-1033</t>
  </si>
  <si>
    <t xml:space="preserve">STR-1034</t>
  </si>
  <si>
    <t xml:space="preserve">STR-1035</t>
  </si>
  <si>
    <t xml:space="preserve">STR-1036</t>
  </si>
  <si>
    <t xml:space="preserve">STR-1037</t>
  </si>
  <si>
    <t xml:space="preserve">STR-1038</t>
  </si>
  <si>
    <t xml:space="preserve">STR-1039</t>
  </si>
  <si>
    <t xml:space="preserve">STR-1040</t>
  </si>
  <si>
    <t xml:space="preserve">STR-1041</t>
  </si>
  <si>
    <t xml:space="preserve">STR-1042</t>
  </si>
  <si>
    <t xml:space="preserve">STR-1043</t>
  </si>
  <si>
    <t xml:space="preserve">STR-1044</t>
  </si>
  <si>
    <t xml:space="preserve">STR-1045</t>
  </si>
  <si>
    <t xml:space="preserve">STR-1046</t>
  </si>
  <si>
    <t xml:space="preserve">STR-1047</t>
  </si>
  <si>
    <t xml:space="preserve">STR-1048</t>
  </si>
  <si>
    <t xml:space="preserve">STR-1049</t>
  </si>
  <si>
    <t xml:space="preserve">STR-1050</t>
  </si>
  <si>
    <t xml:space="preserve">STR-1051</t>
  </si>
  <si>
    <t xml:space="preserve">STR-1052</t>
  </si>
  <si>
    <t xml:space="preserve">STR-1053</t>
  </si>
  <si>
    <t xml:space="preserve">STR-1054</t>
  </si>
  <si>
    <t xml:space="preserve">STR-1055</t>
  </si>
  <si>
    <t xml:space="preserve">STR-1056</t>
  </si>
  <si>
    <t xml:space="preserve">STR-1057</t>
  </si>
  <si>
    <t xml:space="preserve">STR-1058</t>
  </si>
  <si>
    <t xml:space="preserve">STR-1059</t>
  </si>
  <si>
    <t xml:space="preserve">STR-1060</t>
  </si>
  <si>
    <t xml:space="preserve">STR-1061</t>
  </si>
  <si>
    <t xml:space="preserve">STR-1062</t>
  </si>
  <si>
    <t xml:space="preserve">STR-1063</t>
  </si>
  <si>
    <t xml:space="preserve">STR-1064</t>
  </si>
  <si>
    <t xml:space="preserve">STR-1065</t>
  </si>
  <si>
    <t xml:space="preserve">STR-1066</t>
  </si>
  <si>
    <t xml:space="preserve">STR-1067</t>
  </si>
  <si>
    <t xml:space="preserve">STR-1068</t>
  </si>
  <si>
    <t xml:space="preserve">STR-1069</t>
  </si>
  <si>
    <t xml:space="preserve">STR-1070</t>
  </si>
  <si>
    <t xml:space="preserve">STR-1071</t>
  </si>
  <si>
    <t xml:space="preserve">STR-1072</t>
  </si>
  <si>
    <t xml:space="preserve">STR-1073</t>
  </si>
  <si>
    <t xml:space="preserve">STR-1074</t>
  </si>
  <si>
    <t xml:space="preserve">STR-1075</t>
  </si>
  <si>
    <t xml:space="preserve">STR-1076</t>
  </si>
  <si>
    <t xml:space="preserve">STR-1077</t>
  </si>
  <si>
    <t xml:space="preserve">STR-1078</t>
  </si>
  <si>
    <t xml:space="preserve">STR-1079</t>
  </si>
  <si>
    <t xml:space="preserve">STR-1080</t>
  </si>
  <si>
    <t xml:space="preserve">CLEANED / PREPARED DATA</t>
  </si>
  <si>
    <t xml:space="preserve">Missing values filled: competitor_distance_km (6 missing) and customer_rating (8 missing) imputed with column median. All other fields unchanged.</t>
  </si>
  <si>
    <t xml:space="preserve">2025-01-01</t>
  </si>
  <si>
    <t xml:space="preserve">2025-02-01</t>
  </si>
  <si>
    <t xml:space="preserve">2025-03-01</t>
  </si>
  <si>
    <t xml:space="preserve">2025-04-01</t>
  </si>
  <si>
    <t xml:space="preserve">DUMMY VARIABLE CREATION</t>
  </si>
  <si>
    <t xml:space="preserve">store_type reference category = 'High Street' (most frequent, 116 of 320 rows). region reference category = 'East' (most frequent, 104 of 320 rows). Reference category dummies are dropped to avoid the dummy variable trap (perfect multicollinearity).</t>
  </si>
  <si>
    <t xml:space="preserve">is_Airport</t>
  </si>
  <si>
    <t xml:space="preserve">is_Mall</t>
  </si>
  <si>
    <t xml:space="preserve">is_Residential</t>
  </si>
  <si>
    <t xml:space="preserve">is_North</t>
  </si>
  <si>
    <t xml:space="preserve">is_South</t>
  </si>
  <si>
    <t xml:space="preserve">is_West</t>
  </si>
  <si>
    <t xml:space="preserve">SIMPLE LINEAR REGRESSION MODELS</t>
  </si>
  <si>
    <t xml:space="preserve">Dependent variable (Y) for all models: monthly_sales. All statistics below are computed live with Excel formulas referencing 'cleaned_data'.</t>
  </si>
  <si>
    <t xml:space="preserve">MODEL 1: monthly_sales ~ footfall</t>
  </si>
  <si>
    <t xml:space="preserve">Independent variable (X)</t>
  </si>
  <si>
    <t xml:space="preserve">Slope (coefficient)</t>
  </si>
  <si>
    <t xml:space="preserve">Intercept</t>
  </si>
  <si>
    <t xml:space="preserve">R-squared</t>
  </si>
  <si>
    <t xml:space="preserve">Correlation (r)</t>
  </si>
  <si>
    <t xml:space="preserve">Std error of slope</t>
  </si>
  <si>
    <t xml:space="preserve">t-stat</t>
  </si>
  <si>
    <t xml:space="preserve">p-value</t>
  </si>
  <si>
    <t xml:space="preserve">n (observations)</t>
  </si>
  <si>
    <t xml:space="preserve">MODEL 2: monthly_sales ~ marketing_spend</t>
  </si>
  <si>
    <t xml:space="preserve">MODEL 3 (supplementary): monthly_sales ~ staff_count</t>
  </si>
  <si>
    <t xml:space="preserve">MODEL 4 (supplementary, weak): monthly_sales ~ avg_discount_pct</t>
  </si>
  <si>
    <t xml:space="preserve">MULTIPLE LINEAR REGRESSION MODEL</t>
  </si>
  <si>
    <t xml:space="preserve">Y = monthly_sales. Predictors: footfall, marketing_spend, inventory_availability_pct, staff_count, is_Airport, is_Mall, is_Residential, is_North, is_South, is_West (dummy reference categories: store_type=High Street, region=East)</t>
  </si>
  <si>
    <t xml:space="preserve">Consolidated predictor matrix (referenced from cleaned_data and dummy_variables)</t>
  </si>
  <si>
    <t xml:space="preserve">MULTIPLE REGRESSION OUTPUT (LINEST)</t>
  </si>
  <si>
    <t xml:space="preserve">Coefficients (last-&gt;first: const last, is_West first var):</t>
  </si>
  <si>
    <t xml:space="preserve">inventory_pct</t>
  </si>
  <si>
    <t xml:space="preserve">intercept</t>
  </si>
  <si>
    <t xml:space="preserve">Note: cells with #N/A in rows 10-12 beyond column O are unused LINEST padding slots (normal behavior, not errors).</t>
  </si>
  <si>
    <t xml:space="preserve">Row1=coefficients, Row2=std errors, Row3=R2 &amp; SE(y), Row4=F-stat &amp; df, Row5=SSreg &amp; SSresid</t>
  </si>
  <si>
    <t xml:space="preserve">Readable Coefficient Summary</t>
  </si>
  <si>
    <t xml:space="preserve">Variable</t>
  </si>
  <si>
    <t xml:space="preserve">Coefficient</t>
  </si>
  <si>
    <t xml:space="preserve">Std Error</t>
  </si>
  <si>
    <t xml:space="preserve">F-statistic</t>
  </si>
  <si>
    <t xml:space="preserve">k (predictors)</t>
  </si>
  <si>
    <t xml:space="preserve">PREDICTED SALES &amp; RESIDUAL CALCULATION (Final Model: Multiple Regression)</t>
  </si>
  <si>
    <t xml:space="preserve">predicted_sales = Intercept + sum(coefficient_i * X_i). residual = monthly_sales (actual) - predicted_sales. Coefficients pulled live from 'multiple_regression' sheet.</t>
  </si>
  <si>
    <t xml:space="preserve">monthly_sales (actual)</t>
  </si>
  <si>
    <t xml:space="preserve">predicted_sales</t>
  </si>
  <si>
    <t xml:space="preserve">residual</t>
  </si>
  <si>
    <t xml:space="preserve">TOP 5 LARGEST POSITIVE RESIDUALS (model under-predicts these)</t>
  </si>
  <si>
    <t xml:space="preserve">TOP 5 LARGEST NEGATIVE RESIDUALS (model over-predicts these)</t>
  </si>
  <si>
    <t xml:space="preserve">MODEL COMPARISON SUMMARY</t>
  </si>
  <si>
    <t xml:space="preserve">All R-squared and significance values pulled live from simple_regression and multiple_regression sheets.</t>
  </si>
  <si>
    <t xml:space="preserve">Model</t>
  </si>
  <si>
    <t xml:space="preserve">Variables Used</t>
  </si>
  <si>
    <t xml:space="preserve">Key p-value</t>
  </si>
  <si>
    <t xml:space="preserve">Significant?</t>
  </si>
  <si>
    <t xml:space="preserve">Notes</t>
  </si>
  <si>
    <t xml:space="preserve">Simple Regression 1</t>
  </si>
  <si>
    <t xml:space="preserve">monthly_sales ~ footfall</t>
  </si>
  <si>
    <t xml:space="preserve">Strongest single predictor; high explanatory power alone</t>
  </si>
  <si>
    <t xml:space="preserve">Simple Regression 2</t>
  </si>
  <si>
    <t xml:space="preserve">monthly_sales ~ marketing_spend</t>
  </si>
  <si>
    <t xml:space="preserve">Significant but explains far less variance alone</t>
  </si>
  <si>
    <t xml:space="preserve">Simple Regression 3</t>
  </si>
  <si>
    <t xml:space="preserve">monthly_sales ~ staff_count</t>
  </si>
  <si>
    <t xml:space="preserve">Strong alone, but correlated with footfall (overlap)</t>
  </si>
  <si>
    <t xml:space="preserve">Simple Regression 4</t>
  </si>
  <si>
    <t xml:space="preserve">monthly_sales ~ avg_discount_pct</t>
  </si>
  <si>
    <t xml:space="preserve">Not statistically significant on its own</t>
  </si>
  <si>
    <t xml:space="preserve">Multiple Regression (FINAL)</t>
  </si>
  <si>
    <t xml:space="preserve">footfall + marketing_spend + inventory_availability_pct + staff_count + store_type dummies + region dummies</t>
  </si>
  <si>
    <t xml:space="preserve">see notes</t>
  </si>
  <si>
    <t xml:space="preserve">Mostly Yes</t>
  </si>
  <si>
    <t xml:space="preserve">Best overall fit; selected as final model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</si>
</sst>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yyyy\-mm\-dd\ h:mm:ss"/>
    <numFmt numFmtId="166" formatCode="0.0000"/>
    <numFmt numFmtId="167" formatCode="#,##0.00"/>
    <numFmt numFmtId="168" formatCode="0.00"/>
    <numFmt numFmtId="169" formatCode="0.000000"/>
    <numFmt numFmtId="170" formatCode="General"/>
    <numFmt numFmtId="171" formatCode="#,##0.0000"/>
    <numFmt numFmtId="172" formatCode="yyyy\-mm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4E78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sz val="10"/>
      <name val="Arial"/>
      <family val="0"/>
      <charset val="1"/>
    </font>
    <font>
      <sz val="11"/>
      <color rgb="FF000000"/>
      <name val="Arial"/>
      <family val="0"/>
      <charset val="1"/>
    </font>
    <font>
      <sz val="8"/>
      <color rgb="FF008000"/>
      <name val="Arial"/>
      <family val="0"/>
      <charset val="1"/>
    </font>
    <font>
      <sz val="8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2EFDA"/>
        <bgColor rgb="FFFCE4E4"/>
      </patternFill>
    </fill>
    <fill>
      <patternFill patternType="solid">
        <fgColor rgb="FFFCE4E4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7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E4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9"/>
    <col collapsed="false" customWidth="true" hidden="false" outlineLevel="0" max="7" min="7" style="1" width="13"/>
    <col collapsed="false" customWidth="true" hidden="false" outlineLevel="0" max="8" min="8" style="1" width="10"/>
    <col collapsed="false" customWidth="true" hidden="false" outlineLevel="0" max="9" min="9" style="1" width="17"/>
    <col collapsed="false" customWidth="true" hidden="false" outlineLevel="0" max="10" min="10" style="1" width="18"/>
    <col collapsed="false" customWidth="true" hidden="false" outlineLevel="0" max="11" min="11" style="1" width="11"/>
    <col collapsed="false" customWidth="true" hidden="false" outlineLevel="0" max="13" min="12" style="1" width="13"/>
    <col collapsed="false" customWidth="true" hidden="false" outlineLevel="0" max="14" min="14" style="1" width="14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23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</row>
    <row r="5" customFormat="false" ht="15" hidden="false" customHeight="true" outlineLevel="0" collapsed="false">
      <c r="A5" s="5" t="s">
        <v>16</v>
      </c>
      <c r="B5" s="6" t="n">
        <v>45658</v>
      </c>
      <c r="C5" s="5" t="s">
        <v>17</v>
      </c>
      <c r="D5" s="5" t="s">
        <v>18</v>
      </c>
      <c r="E5" s="5" t="n">
        <v>70389.11</v>
      </c>
      <c r="F5" s="5" t="n">
        <v>8302</v>
      </c>
      <c r="G5" s="5" t="n">
        <v>0.042</v>
      </c>
      <c r="H5" s="5" t="n">
        <v>17</v>
      </c>
      <c r="I5" s="5" t="n">
        <v>75</v>
      </c>
      <c r="J5" s="5" t="n">
        <v>5.28</v>
      </c>
      <c r="K5" s="5" t="n">
        <v>1</v>
      </c>
      <c r="L5" s="5" t="n">
        <v>3.1</v>
      </c>
      <c r="M5" s="5" t="n">
        <v>658832.62</v>
      </c>
      <c r="N5" s="5" t="n">
        <v>84349.93</v>
      </c>
    </row>
    <row r="6" customFormat="false" ht="15" hidden="false" customHeight="true" outlineLevel="0" collapsed="false">
      <c r="A6" s="5" t="s">
        <v>16</v>
      </c>
      <c r="B6" s="6" t="n">
        <v>45689</v>
      </c>
      <c r="C6" s="5" t="s">
        <v>17</v>
      </c>
      <c r="D6" s="5" t="s">
        <v>18</v>
      </c>
      <c r="E6" s="5" t="n">
        <v>43827.89</v>
      </c>
      <c r="F6" s="5" t="n">
        <v>8487</v>
      </c>
      <c r="G6" s="5" t="n">
        <v>0.168</v>
      </c>
      <c r="H6" s="5" t="n">
        <v>23</v>
      </c>
      <c r="I6" s="5" t="n">
        <v>84.4</v>
      </c>
      <c r="J6" s="5" t="n">
        <v>4.31</v>
      </c>
      <c r="K6" s="5" t="n">
        <v>0</v>
      </c>
      <c r="L6" s="5" t="n">
        <v>2.8</v>
      </c>
      <c r="M6" s="5" t="n">
        <v>634436</v>
      </c>
      <c r="N6" s="5" t="n">
        <v>106130.54</v>
      </c>
    </row>
    <row r="7" customFormat="false" ht="15" hidden="false" customHeight="true" outlineLevel="0" collapsed="false">
      <c r="A7" s="5" t="s">
        <v>16</v>
      </c>
      <c r="B7" s="6" t="n">
        <v>45717</v>
      </c>
      <c r="C7" s="5" t="s">
        <v>17</v>
      </c>
      <c r="D7" s="5" t="s">
        <v>18</v>
      </c>
      <c r="E7" s="5" t="n">
        <v>59921.75</v>
      </c>
      <c r="F7" s="5" t="n">
        <v>9113</v>
      </c>
      <c r="G7" s="5" t="n">
        <v>0.133</v>
      </c>
      <c r="H7" s="5" t="n">
        <v>20</v>
      </c>
      <c r="I7" s="5" t="n">
        <v>88</v>
      </c>
      <c r="J7" s="5" t="n">
        <v>12</v>
      </c>
      <c r="K7" s="5" t="n">
        <v>0</v>
      </c>
      <c r="L7" s="5" t="n">
        <v>3.2</v>
      </c>
      <c r="M7" s="5" t="n">
        <v>678722.06</v>
      </c>
      <c r="N7" s="5" t="n">
        <v>101883.86</v>
      </c>
    </row>
    <row r="8" customFormat="false" ht="15" hidden="false" customHeight="true" outlineLevel="0" collapsed="false">
      <c r="A8" s="5" t="s">
        <v>16</v>
      </c>
      <c r="B8" s="6" t="n">
        <v>45748</v>
      </c>
      <c r="C8" s="5" t="s">
        <v>17</v>
      </c>
      <c r="D8" s="5" t="s">
        <v>18</v>
      </c>
      <c r="E8" s="5" t="n">
        <v>56856.63</v>
      </c>
      <c r="F8" s="5" t="n">
        <v>9431</v>
      </c>
      <c r="G8" s="5" t="n">
        <v>0.142</v>
      </c>
      <c r="H8" s="5" t="n">
        <v>23</v>
      </c>
      <c r="I8" s="5" t="n">
        <v>86.9</v>
      </c>
      <c r="J8" s="5" t="n">
        <v>4.97</v>
      </c>
      <c r="K8" s="5" t="n">
        <v>0</v>
      </c>
      <c r="L8" s="5" t="n">
        <v>3.4</v>
      </c>
      <c r="M8" s="5" t="n">
        <v>658920.3</v>
      </c>
      <c r="N8" s="5" t="n">
        <v>97910.37</v>
      </c>
    </row>
    <row r="9" customFormat="false" ht="15" hidden="false" customHeight="true" outlineLevel="0" collapsed="false">
      <c r="A9" s="5" t="s">
        <v>19</v>
      </c>
      <c r="B9" s="6" t="n">
        <v>45658</v>
      </c>
      <c r="C9" s="5" t="s">
        <v>17</v>
      </c>
      <c r="D9" s="5" t="s">
        <v>20</v>
      </c>
      <c r="E9" s="5" t="n">
        <v>48412.64</v>
      </c>
      <c r="F9" s="5" t="n">
        <v>9545</v>
      </c>
      <c r="G9" s="5" t="n">
        <v>0.231</v>
      </c>
      <c r="H9" s="5" t="n">
        <v>21</v>
      </c>
      <c r="I9" s="5" t="n">
        <v>97.6</v>
      </c>
      <c r="J9" s="5" t="n">
        <v>6.94</v>
      </c>
      <c r="K9" s="5" t="n">
        <v>1</v>
      </c>
      <c r="L9" s="5" t="n">
        <v>4.2</v>
      </c>
      <c r="M9" s="5" t="n">
        <v>741341.44</v>
      </c>
      <c r="N9" s="5" t="n">
        <v>119208.17</v>
      </c>
    </row>
    <row r="10" customFormat="false" ht="15" hidden="false" customHeight="true" outlineLevel="0" collapsed="false">
      <c r="A10" s="5" t="s">
        <v>19</v>
      </c>
      <c r="B10" s="6" t="n">
        <v>45689</v>
      </c>
      <c r="C10" s="5" t="s">
        <v>17</v>
      </c>
      <c r="D10" s="5" t="s">
        <v>20</v>
      </c>
      <c r="E10" s="5" t="n">
        <v>64811.21</v>
      </c>
      <c r="F10" s="5" t="n">
        <v>9792</v>
      </c>
      <c r="G10" s="5" t="n">
        <v>0.112</v>
      </c>
      <c r="H10" s="5" t="n">
        <v>20</v>
      </c>
      <c r="I10" s="5" t="n">
        <v>84.2</v>
      </c>
      <c r="J10" s="5" t="n">
        <v>2.88</v>
      </c>
      <c r="K10" s="5" t="n">
        <v>0</v>
      </c>
      <c r="L10" s="5" t="n">
        <v>4.2</v>
      </c>
      <c r="M10" s="5" t="n">
        <v>761835.34</v>
      </c>
      <c r="N10" s="5" t="n">
        <v>149602.23</v>
      </c>
    </row>
    <row r="11" customFormat="false" ht="15" hidden="false" customHeight="true" outlineLevel="0" collapsed="false">
      <c r="A11" s="5" t="s">
        <v>19</v>
      </c>
      <c r="B11" s="6" t="n">
        <v>45717</v>
      </c>
      <c r="C11" s="5" t="s">
        <v>17</v>
      </c>
      <c r="D11" s="5" t="s">
        <v>20</v>
      </c>
      <c r="E11" s="5" t="n">
        <v>46213.45</v>
      </c>
      <c r="F11" s="5" t="n">
        <v>10616</v>
      </c>
      <c r="G11" s="5" t="n">
        <v>0.122</v>
      </c>
      <c r="H11" s="5" t="n">
        <v>22</v>
      </c>
      <c r="I11" s="5" t="n">
        <v>85.2</v>
      </c>
      <c r="J11" s="5" t="n">
        <v>0.2</v>
      </c>
      <c r="K11" s="5" t="n">
        <v>1</v>
      </c>
      <c r="L11" s="5" t="n">
        <v>4.1</v>
      </c>
      <c r="M11" s="5" t="n">
        <v>806615.54</v>
      </c>
      <c r="N11" s="5" t="n">
        <v>131364.62</v>
      </c>
    </row>
    <row r="12" customFormat="false" ht="15" hidden="false" customHeight="true" outlineLevel="0" collapsed="false">
      <c r="A12" s="5" t="s">
        <v>19</v>
      </c>
      <c r="B12" s="6" t="n">
        <v>45748</v>
      </c>
      <c r="C12" s="5" t="s">
        <v>17</v>
      </c>
      <c r="D12" s="5" t="s">
        <v>20</v>
      </c>
      <c r="E12" s="5" t="n">
        <v>68148.52</v>
      </c>
      <c r="F12" s="5" t="n">
        <v>8567</v>
      </c>
      <c r="G12" s="5" t="n">
        <v>0.127</v>
      </c>
      <c r="H12" s="5" t="n">
        <v>23</v>
      </c>
      <c r="I12" s="5" t="n">
        <v>95.6</v>
      </c>
      <c r="J12" s="5" t="n">
        <v>0.8</v>
      </c>
      <c r="K12" s="5" t="n">
        <v>0</v>
      </c>
      <c r="L12" s="5" t="n">
        <v>3.9</v>
      </c>
      <c r="M12" s="5" t="n">
        <v>850164.26</v>
      </c>
      <c r="N12" s="5" t="n">
        <v>149262.75</v>
      </c>
    </row>
    <row r="13" customFormat="false" ht="15" hidden="false" customHeight="true" outlineLevel="0" collapsed="false">
      <c r="A13" s="5" t="s">
        <v>21</v>
      </c>
      <c r="B13" s="6" t="n">
        <v>45658</v>
      </c>
      <c r="C13" s="5" t="s">
        <v>22</v>
      </c>
      <c r="D13" s="5" t="s">
        <v>23</v>
      </c>
      <c r="E13" s="5" t="n">
        <v>71838.86</v>
      </c>
      <c r="F13" s="5" t="n">
        <v>10979</v>
      </c>
      <c r="G13" s="5" t="n">
        <v>0.215</v>
      </c>
      <c r="H13" s="5" t="n">
        <v>26</v>
      </c>
      <c r="I13" s="5" t="n">
        <v>88.6</v>
      </c>
      <c r="J13" s="5" t="n">
        <v>7.7</v>
      </c>
      <c r="K13" s="5" t="n">
        <v>1</v>
      </c>
      <c r="L13" s="5" t="n">
        <v>3.8</v>
      </c>
      <c r="M13" s="5" t="n">
        <v>930581.7</v>
      </c>
      <c r="N13" s="5" t="n">
        <v>136207.98</v>
      </c>
    </row>
    <row r="14" customFormat="false" ht="15" hidden="false" customHeight="true" outlineLevel="0" collapsed="false">
      <c r="A14" s="5" t="s">
        <v>21</v>
      </c>
      <c r="B14" s="6" t="n">
        <v>45689</v>
      </c>
      <c r="C14" s="5" t="s">
        <v>22</v>
      </c>
      <c r="D14" s="5" t="s">
        <v>23</v>
      </c>
      <c r="E14" s="5" t="n">
        <v>68133.44</v>
      </c>
      <c r="F14" s="5" t="n">
        <v>9459</v>
      </c>
      <c r="G14" s="5" t="n">
        <v>0.22</v>
      </c>
      <c r="H14" s="5" t="n">
        <v>21</v>
      </c>
      <c r="I14" s="5" t="n">
        <v>85</v>
      </c>
      <c r="J14" s="5" t="n">
        <v>1.91</v>
      </c>
      <c r="K14" s="5" t="n">
        <v>0</v>
      </c>
      <c r="L14" s="5" t="n">
        <v>4.2</v>
      </c>
      <c r="M14" s="5" t="n">
        <v>779010.94</v>
      </c>
      <c r="N14" s="5" t="n">
        <v>106328.09</v>
      </c>
    </row>
    <row r="15" customFormat="false" ht="15" hidden="false" customHeight="true" outlineLevel="0" collapsed="false">
      <c r="A15" s="5" t="s">
        <v>21</v>
      </c>
      <c r="B15" s="6" t="n">
        <v>45717</v>
      </c>
      <c r="C15" s="5" t="s">
        <v>22</v>
      </c>
      <c r="D15" s="5" t="s">
        <v>23</v>
      </c>
      <c r="E15" s="5" t="n">
        <v>34285.21</v>
      </c>
      <c r="F15" s="5" t="n">
        <v>9172</v>
      </c>
      <c r="G15" s="5" t="n">
        <v>0.213</v>
      </c>
      <c r="H15" s="5" t="n">
        <v>22</v>
      </c>
      <c r="I15" s="5" t="n">
        <v>88.3</v>
      </c>
      <c r="J15" s="5" t="n">
        <v>10.46</v>
      </c>
      <c r="K15" s="5" t="n">
        <v>1</v>
      </c>
      <c r="L15" s="5" t="n">
        <v>3.8</v>
      </c>
      <c r="M15" s="5" t="n">
        <v>723060.76</v>
      </c>
      <c r="N15" s="5" t="n">
        <v>123131.24</v>
      </c>
    </row>
    <row r="16" customFormat="false" ht="15" hidden="false" customHeight="true" outlineLevel="0" collapsed="false">
      <c r="A16" s="5" t="s">
        <v>21</v>
      </c>
      <c r="B16" s="6" t="n">
        <v>45748</v>
      </c>
      <c r="C16" s="5" t="s">
        <v>22</v>
      </c>
      <c r="D16" s="5" t="s">
        <v>23</v>
      </c>
      <c r="E16" s="5" t="n">
        <v>67979.88</v>
      </c>
      <c r="F16" s="5" t="n">
        <v>11230</v>
      </c>
      <c r="G16" s="5" t="n">
        <v>0.002</v>
      </c>
      <c r="H16" s="5" t="n">
        <v>28</v>
      </c>
      <c r="I16" s="5" t="n">
        <v>85.3</v>
      </c>
      <c r="J16" s="5" t="n">
        <v>7.16</v>
      </c>
      <c r="K16" s="5" t="n">
        <v>0</v>
      </c>
      <c r="L16" s="5" t="n">
        <v>3.8</v>
      </c>
      <c r="M16" s="5" t="n">
        <v>910791.94</v>
      </c>
      <c r="N16" s="5" t="n">
        <v>158891.28</v>
      </c>
    </row>
    <row r="17" customFormat="false" ht="15" hidden="false" customHeight="true" outlineLevel="0" collapsed="false">
      <c r="A17" s="5" t="s">
        <v>24</v>
      </c>
      <c r="B17" s="6" t="n">
        <v>45658</v>
      </c>
      <c r="C17" s="5" t="s">
        <v>17</v>
      </c>
      <c r="D17" s="5" t="s">
        <v>18</v>
      </c>
      <c r="E17" s="5" t="n">
        <v>71828.26</v>
      </c>
      <c r="F17" s="5" t="n">
        <v>12775</v>
      </c>
      <c r="G17" s="5" t="n">
        <v>0.116</v>
      </c>
      <c r="H17" s="5" t="n">
        <v>30</v>
      </c>
      <c r="I17" s="5" t="n">
        <v>81.7</v>
      </c>
      <c r="J17" s="5" t="n">
        <v>4.24</v>
      </c>
      <c r="K17" s="5" t="n">
        <v>1</v>
      </c>
      <c r="L17" s="5" t="n">
        <v>4.2</v>
      </c>
      <c r="M17" s="5" t="n">
        <v>922168.6</v>
      </c>
      <c r="N17" s="5" t="n">
        <v>107494.53</v>
      </c>
    </row>
    <row r="18" customFormat="false" ht="15" hidden="false" customHeight="true" outlineLevel="0" collapsed="false">
      <c r="A18" s="5" t="s">
        <v>24</v>
      </c>
      <c r="B18" s="6" t="n">
        <v>45689</v>
      </c>
      <c r="C18" s="5" t="s">
        <v>17</v>
      </c>
      <c r="D18" s="5" t="s">
        <v>18</v>
      </c>
      <c r="E18" s="5" t="n">
        <v>55716.82</v>
      </c>
      <c r="F18" s="5" t="n">
        <v>10054</v>
      </c>
      <c r="G18" s="5" t="n">
        <v>0.146</v>
      </c>
      <c r="H18" s="5" t="n">
        <v>24</v>
      </c>
      <c r="I18" s="5" t="n">
        <v>84.9</v>
      </c>
      <c r="J18" s="5" t="n">
        <v>1.06</v>
      </c>
      <c r="K18" s="5" t="n">
        <v>0</v>
      </c>
      <c r="L18" s="5" t="n">
        <v>4.3</v>
      </c>
      <c r="M18" s="5" t="n">
        <v>726606.28</v>
      </c>
      <c r="N18" s="5" t="n">
        <v>122729.29</v>
      </c>
    </row>
    <row r="19" customFormat="false" ht="15" hidden="false" customHeight="true" outlineLevel="0" collapsed="false">
      <c r="A19" s="5" t="s">
        <v>24</v>
      </c>
      <c r="B19" s="6" t="n">
        <v>45717</v>
      </c>
      <c r="C19" s="5" t="s">
        <v>17</v>
      </c>
      <c r="D19" s="5" t="s">
        <v>18</v>
      </c>
      <c r="E19" s="5" t="n">
        <v>59909.51</v>
      </c>
      <c r="F19" s="5" t="n">
        <v>8895</v>
      </c>
      <c r="G19" s="5" t="n">
        <v>0.228</v>
      </c>
      <c r="H19" s="5" t="n">
        <v>23</v>
      </c>
      <c r="I19" s="5" t="n">
        <v>88.8</v>
      </c>
      <c r="J19" s="5" t="n">
        <v>0.27</v>
      </c>
      <c r="K19" s="5" t="n">
        <v>0</v>
      </c>
      <c r="L19" s="5" t="n">
        <v>4.3</v>
      </c>
      <c r="M19" s="5" t="n">
        <v>746501.09</v>
      </c>
      <c r="N19" s="5" t="n">
        <v>136816.72</v>
      </c>
    </row>
    <row r="20" customFormat="false" ht="15" hidden="false" customHeight="true" outlineLevel="0" collapsed="false">
      <c r="A20" s="5" t="s">
        <v>24</v>
      </c>
      <c r="B20" s="6" t="n">
        <v>45748</v>
      </c>
      <c r="C20" s="5" t="s">
        <v>17</v>
      </c>
      <c r="D20" s="5" t="s">
        <v>18</v>
      </c>
      <c r="E20" s="5" t="n">
        <v>75305.71</v>
      </c>
      <c r="F20" s="5" t="n">
        <v>10940</v>
      </c>
      <c r="G20" s="5" t="n">
        <v>0.006</v>
      </c>
      <c r="H20" s="5" t="n">
        <v>26</v>
      </c>
      <c r="I20" s="5" t="n">
        <v>76.5</v>
      </c>
      <c r="J20" s="5" t="n">
        <v>1.32</v>
      </c>
      <c r="K20" s="5" t="n">
        <v>0</v>
      </c>
      <c r="L20" s="5" t="n">
        <v>4.5</v>
      </c>
      <c r="M20" s="5" t="n">
        <v>834017.02</v>
      </c>
      <c r="N20" s="5" t="n">
        <v>114745.03</v>
      </c>
    </row>
    <row r="21" customFormat="false" ht="15" hidden="false" customHeight="true" outlineLevel="0" collapsed="false">
      <c r="A21" s="5" t="s">
        <v>25</v>
      </c>
      <c r="B21" s="6" t="n">
        <v>45658</v>
      </c>
      <c r="C21" s="5" t="s">
        <v>26</v>
      </c>
      <c r="D21" s="5" t="s">
        <v>18</v>
      </c>
      <c r="E21" s="5" t="n">
        <v>48804.22</v>
      </c>
      <c r="F21" s="5" t="n">
        <v>7057</v>
      </c>
      <c r="G21" s="5" t="n">
        <v>0.005</v>
      </c>
      <c r="H21" s="5" t="n">
        <v>15</v>
      </c>
      <c r="I21" s="5" t="n">
        <v>87.7</v>
      </c>
      <c r="J21" s="5" t="n">
        <v>1.22</v>
      </c>
      <c r="K21" s="5" t="n">
        <v>0</v>
      </c>
      <c r="L21" s="5" t="n">
        <v>3.7</v>
      </c>
      <c r="M21" s="5" t="n">
        <v>666152.52</v>
      </c>
      <c r="N21" s="5" t="n">
        <v>107490.58</v>
      </c>
    </row>
    <row r="22" customFormat="false" ht="15" hidden="false" customHeight="true" outlineLevel="0" collapsed="false">
      <c r="A22" s="5" t="s">
        <v>25</v>
      </c>
      <c r="B22" s="6" t="n">
        <v>45689</v>
      </c>
      <c r="C22" s="5" t="s">
        <v>26</v>
      </c>
      <c r="D22" s="5" t="s">
        <v>18</v>
      </c>
      <c r="E22" s="5" t="n">
        <v>59117.9</v>
      </c>
      <c r="F22" s="5" t="n">
        <v>4263</v>
      </c>
      <c r="G22" s="5" t="n">
        <v>0.119</v>
      </c>
      <c r="H22" s="5" t="n">
        <v>9</v>
      </c>
      <c r="I22" s="5" t="n">
        <v>87.6</v>
      </c>
      <c r="J22" s="5" t="n">
        <v>4.01</v>
      </c>
      <c r="K22" s="5" t="n">
        <v>0</v>
      </c>
      <c r="L22" s="5" t="n">
        <v>3.6</v>
      </c>
      <c r="M22" s="5" t="n">
        <v>573155.19</v>
      </c>
      <c r="N22" s="5" t="n">
        <v>83680.75</v>
      </c>
    </row>
    <row r="23" customFormat="false" ht="15" hidden="false" customHeight="true" outlineLevel="0" collapsed="false">
      <c r="A23" s="5" t="s">
        <v>25</v>
      </c>
      <c r="B23" s="6" t="n">
        <v>45717</v>
      </c>
      <c r="C23" s="5" t="s">
        <v>26</v>
      </c>
      <c r="D23" s="5" t="s">
        <v>18</v>
      </c>
      <c r="E23" s="5" t="n">
        <v>78831.12</v>
      </c>
      <c r="F23" s="5" t="n">
        <v>5538</v>
      </c>
      <c r="G23" s="5" t="n">
        <v>0</v>
      </c>
      <c r="H23" s="5" t="n">
        <v>15</v>
      </c>
      <c r="I23" s="5" t="n">
        <v>94.1</v>
      </c>
      <c r="J23" s="5" t="n">
        <v>0.2</v>
      </c>
      <c r="K23" s="5" t="n">
        <v>0</v>
      </c>
      <c r="L23" s="5" t="n">
        <v>3.9</v>
      </c>
      <c r="M23" s="5" t="n">
        <v>666573.2</v>
      </c>
      <c r="N23" s="5" t="n">
        <v>140641.02</v>
      </c>
    </row>
    <row r="24" customFormat="false" ht="15" hidden="false" customHeight="true" outlineLevel="0" collapsed="false">
      <c r="A24" s="5" t="s">
        <v>25</v>
      </c>
      <c r="B24" s="6" t="n">
        <v>45748</v>
      </c>
      <c r="C24" s="5" t="s">
        <v>26</v>
      </c>
      <c r="D24" s="5" t="s">
        <v>18</v>
      </c>
      <c r="E24" s="5" t="n">
        <v>41441.93</v>
      </c>
      <c r="F24" s="5" t="n">
        <v>4865</v>
      </c>
      <c r="G24" s="5" t="n">
        <v>0.158</v>
      </c>
      <c r="H24" s="5" t="n">
        <v>16</v>
      </c>
      <c r="I24" s="5" t="n">
        <v>88.3</v>
      </c>
      <c r="J24" s="5" t="n">
        <v>0.5</v>
      </c>
      <c r="K24" s="5" t="n">
        <v>0</v>
      </c>
      <c r="L24" s="5" t="n">
        <v>4</v>
      </c>
      <c r="M24" s="5" t="n">
        <v>591619.95</v>
      </c>
      <c r="N24" s="5" t="n">
        <v>99521.35</v>
      </c>
    </row>
    <row r="25" customFormat="false" ht="15" hidden="false" customHeight="true" outlineLevel="0" collapsed="false">
      <c r="A25" s="5" t="s">
        <v>27</v>
      </c>
      <c r="B25" s="6" t="n">
        <v>45658</v>
      </c>
      <c r="C25" s="5" t="s">
        <v>22</v>
      </c>
      <c r="D25" s="5" t="s">
        <v>18</v>
      </c>
      <c r="E25" s="5" t="n">
        <v>30356.28</v>
      </c>
      <c r="F25" s="5" t="n">
        <v>2822</v>
      </c>
      <c r="G25" s="5" t="n">
        <v>0.231</v>
      </c>
      <c r="H25" s="5" t="n">
        <v>9</v>
      </c>
      <c r="I25" s="5" t="n">
        <v>84.8</v>
      </c>
      <c r="J25" s="5" t="n">
        <v>6.95</v>
      </c>
      <c r="K25" s="5" t="n">
        <v>0</v>
      </c>
      <c r="L25" s="5" t="n">
        <v>5</v>
      </c>
      <c r="M25" s="5" t="n">
        <v>415721.82</v>
      </c>
      <c r="N25" s="5" t="n">
        <v>61179.15</v>
      </c>
    </row>
    <row r="26" customFormat="false" ht="15" hidden="false" customHeight="true" outlineLevel="0" collapsed="false">
      <c r="A26" s="5" t="s">
        <v>27</v>
      </c>
      <c r="B26" s="6" t="n">
        <v>45689</v>
      </c>
      <c r="C26" s="5" t="s">
        <v>22</v>
      </c>
      <c r="D26" s="5" t="s">
        <v>18</v>
      </c>
      <c r="E26" s="5" t="n">
        <v>33518.88</v>
      </c>
      <c r="F26" s="5" t="n">
        <v>2121</v>
      </c>
      <c r="G26" s="5" t="n">
        <v>0.176</v>
      </c>
      <c r="H26" s="5" t="n">
        <v>8</v>
      </c>
      <c r="I26" s="5" t="n">
        <v>88.5</v>
      </c>
      <c r="J26" s="5" t="n">
        <v>0.2</v>
      </c>
      <c r="K26" s="5" t="n">
        <v>0</v>
      </c>
      <c r="L26" s="5" t="n">
        <v>5</v>
      </c>
      <c r="M26" s="5" t="n">
        <v>491905.13</v>
      </c>
      <c r="N26" s="5" t="n">
        <v>79212.26</v>
      </c>
    </row>
    <row r="27" customFormat="false" ht="15" hidden="false" customHeight="true" outlineLevel="0" collapsed="false">
      <c r="A27" s="5" t="s">
        <v>27</v>
      </c>
      <c r="B27" s="6" t="n">
        <v>45717</v>
      </c>
      <c r="C27" s="5" t="s">
        <v>22</v>
      </c>
      <c r="D27" s="5" t="s">
        <v>18</v>
      </c>
      <c r="E27" s="5" t="n">
        <v>42267.37</v>
      </c>
      <c r="F27" s="5" t="n">
        <v>3364</v>
      </c>
      <c r="G27" s="5" t="n">
        <v>0.16</v>
      </c>
      <c r="H27" s="5" t="n">
        <v>13</v>
      </c>
      <c r="I27" s="5" t="n">
        <v>82</v>
      </c>
      <c r="J27" s="5" t="n">
        <v>1.61</v>
      </c>
      <c r="K27" s="5" t="n">
        <v>1</v>
      </c>
      <c r="L27" s="5" t="n">
        <v>4.6</v>
      </c>
      <c r="M27" s="5" t="n">
        <v>555929.4</v>
      </c>
      <c r="N27" s="5" t="n">
        <v>115201.76</v>
      </c>
    </row>
    <row r="28" customFormat="false" ht="15" hidden="false" customHeight="true" outlineLevel="0" collapsed="false">
      <c r="A28" s="5" t="s">
        <v>27</v>
      </c>
      <c r="B28" s="6" t="n">
        <v>45748</v>
      </c>
      <c r="C28" s="5" t="s">
        <v>22</v>
      </c>
      <c r="D28" s="5" t="s">
        <v>18</v>
      </c>
      <c r="E28" s="5" t="n">
        <v>62060.43</v>
      </c>
      <c r="F28" s="5" t="n">
        <v>2613</v>
      </c>
      <c r="G28" s="5" t="n">
        <v>0.216</v>
      </c>
      <c r="H28" s="5" t="n">
        <v>12</v>
      </c>
      <c r="I28" s="5" t="n">
        <v>92.1</v>
      </c>
      <c r="J28" s="5" t="n">
        <v>1.55</v>
      </c>
      <c r="K28" s="5" t="n">
        <v>0</v>
      </c>
      <c r="L28" s="5" t="n">
        <v>4.7</v>
      </c>
      <c r="M28" s="5" t="n">
        <v>565810.99</v>
      </c>
      <c r="N28" s="5" t="n">
        <v>77825.46</v>
      </c>
    </row>
    <row r="29" customFormat="false" ht="15" hidden="false" customHeight="true" outlineLevel="0" collapsed="false">
      <c r="A29" s="5" t="s">
        <v>28</v>
      </c>
      <c r="B29" s="6" t="n">
        <v>45658</v>
      </c>
      <c r="C29" s="5" t="s">
        <v>29</v>
      </c>
      <c r="D29" s="5" t="s">
        <v>30</v>
      </c>
      <c r="E29" s="5" t="n">
        <v>57696.69</v>
      </c>
      <c r="F29" s="5" t="n">
        <v>10218</v>
      </c>
      <c r="G29" s="5" t="n">
        <v>0.121</v>
      </c>
      <c r="H29" s="5" t="n">
        <v>25</v>
      </c>
      <c r="I29" s="5" t="n">
        <v>94.8</v>
      </c>
      <c r="J29" s="5" t="n">
        <v>2.99</v>
      </c>
      <c r="K29" s="5" t="n">
        <v>0</v>
      </c>
      <c r="L29" s="5" t="n">
        <v>3.5</v>
      </c>
      <c r="M29" s="5" t="n">
        <v>811771.14</v>
      </c>
      <c r="N29" s="5" t="n">
        <v>148756.24</v>
      </c>
    </row>
    <row r="30" customFormat="false" ht="15" hidden="false" customHeight="true" outlineLevel="0" collapsed="false">
      <c r="A30" s="5" t="s">
        <v>28</v>
      </c>
      <c r="B30" s="6" t="n">
        <v>45689</v>
      </c>
      <c r="C30" s="5" t="s">
        <v>29</v>
      </c>
      <c r="D30" s="5" t="s">
        <v>30</v>
      </c>
      <c r="E30" s="5" t="n">
        <v>172415.52</v>
      </c>
      <c r="F30" s="5" t="n">
        <v>8927</v>
      </c>
      <c r="G30" s="5" t="n">
        <v>0.14</v>
      </c>
      <c r="H30" s="5" t="n">
        <v>22</v>
      </c>
      <c r="I30" s="5" t="n">
        <v>86.2</v>
      </c>
      <c r="J30" s="5" t="n">
        <v>7.04</v>
      </c>
      <c r="K30" s="5" t="n">
        <v>0</v>
      </c>
      <c r="L30" s="5" t="n">
        <v>3.9</v>
      </c>
      <c r="M30" s="5" t="n">
        <v>800451.94</v>
      </c>
      <c r="N30" s="5" t="n">
        <v>111572.29</v>
      </c>
    </row>
    <row r="31" customFormat="false" ht="15" hidden="false" customHeight="true" outlineLevel="0" collapsed="false">
      <c r="A31" s="5" t="s">
        <v>28</v>
      </c>
      <c r="B31" s="6" t="n">
        <v>45717</v>
      </c>
      <c r="C31" s="5" t="s">
        <v>29</v>
      </c>
      <c r="D31" s="5" t="s">
        <v>30</v>
      </c>
      <c r="E31" s="5" t="n">
        <v>55270.52</v>
      </c>
      <c r="F31" s="5" t="n">
        <v>9315</v>
      </c>
      <c r="G31" s="5" t="n">
        <v>0.169</v>
      </c>
      <c r="H31" s="5" t="n">
        <v>23</v>
      </c>
      <c r="I31" s="5" t="n">
        <v>91.9</v>
      </c>
      <c r="J31" s="5" t="n">
        <v>4.94</v>
      </c>
      <c r="K31" s="5" t="n">
        <v>0</v>
      </c>
      <c r="L31" s="5" t="n">
        <v>4</v>
      </c>
      <c r="M31" s="5" t="n">
        <v>783672.82</v>
      </c>
      <c r="N31" s="5" t="n">
        <v>112577.14</v>
      </c>
    </row>
    <row r="32" customFormat="false" ht="15" hidden="false" customHeight="true" outlineLevel="0" collapsed="false">
      <c r="A32" s="5" t="s">
        <v>28</v>
      </c>
      <c r="B32" s="6" t="n">
        <v>45748</v>
      </c>
      <c r="C32" s="5" t="s">
        <v>29</v>
      </c>
      <c r="D32" s="5" t="s">
        <v>30</v>
      </c>
      <c r="E32" s="5" t="n">
        <v>52715.1</v>
      </c>
      <c r="F32" s="5" t="n">
        <v>7223</v>
      </c>
      <c r="G32" s="5" t="n">
        <v>0.122</v>
      </c>
      <c r="H32" s="5" t="n">
        <v>16</v>
      </c>
      <c r="I32" s="5" t="n">
        <v>84.2</v>
      </c>
      <c r="J32" s="5" t="n">
        <v>16.15</v>
      </c>
      <c r="K32" s="5" t="n">
        <v>0</v>
      </c>
      <c r="L32" s="5" t="n">
        <v>3.7</v>
      </c>
      <c r="M32" s="5" t="n">
        <v>701641.97</v>
      </c>
      <c r="N32" s="5" t="n">
        <v>106111.86</v>
      </c>
    </row>
    <row r="33" customFormat="false" ht="15" hidden="false" customHeight="true" outlineLevel="0" collapsed="false">
      <c r="A33" s="5" t="s">
        <v>31</v>
      </c>
      <c r="B33" s="6" t="n">
        <v>45658</v>
      </c>
      <c r="C33" s="5" t="s">
        <v>17</v>
      </c>
      <c r="D33" s="5" t="s">
        <v>18</v>
      </c>
      <c r="E33" s="5" t="n">
        <v>68600.62</v>
      </c>
      <c r="F33" s="5" t="n">
        <v>3988</v>
      </c>
      <c r="G33" s="5" t="n">
        <v>0.124</v>
      </c>
      <c r="H33" s="5" t="n">
        <v>11</v>
      </c>
      <c r="I33" s="5" t="n">
        <v>85</v>
      </c>
      <c r="J33" s="5" t="n">
        <v>0.48</v>
      </c>
      <c r="K33" s="5" t="n">
        <v>0</v>
      </c>
      <c r="L33" s="5" t="n">
        <v>3.6</v>
      </c>
      <c r="M33" s="5" t="n">
        <v>511844.41</v>
      </c>
      <c r="N33" s="5" t="n">
        <v>72774.44</v>
      </c>
    </row>
    <row r="34" customFormat="false" ht="15" hidden="false" customHeight="true" outlineLevel="0" collapsed="false">
      <c r="A34" s="5" t="s">
        <v>31</v>
      </c>
      <c r="B34" s="6" t="n">
        <v>45689</v>
      </c>
      <c r="C34" s="5" t="s">
        <v>17</v>
      </c>
      <c r="D34" s="5" t="s">
        <v>18</v>
      </c>
      <c r="E34" s="5" t="n">
        <v>63176.73</v>
      </c>
      <c r="F34" s="5" t="n">
        <v>2390</v>
      </c>
      <c r="G34" s="5" t="n">
        <v>0.216</v>
      </c>
      <c r="H34" s="5" t="n">
        <v>9</v>
      </c>
      <c r="I34" s="5" t="n">
        <v>87.5</v>
      </c>
      <c r="J34" s="5" t="n">
        <v>0.31</v>
      </c>
      <c r="K34" s="5" t="n">
        <v>0</v>
      </c>
      <c r="L34" s="5" t="n">
        <v>3.1</v>
      </c>
      <c r="M34" s="5" t="n">
        <v>537383.79</v>
      </c>
      <c r="N34" s="5" t="n">
        <v>63773.27</v>
      </c>
    </row>
    <row r="35" customFormat="false" ht="15" hidden="false" customHeight="true" outlineLevel="0" collapsed="false">
      <c r="A35" s="5" t="s">
        <v>31</v>
      </c>
      <c r="B35" s="6" t="n">
        <v>45717</v>
      </c>
      <c r="C35" s="5" t="s">
        <v>17</v>
      </c>
      <c r="D35" s="5" t="s">
        <v>18</v>
      </c>
      <c r="E35" s="5" t="n">
        <v>44970.08</v>
      </c>
      <c r="F35" s="5" t="n">
        <v>2471</v>
      </c>
      <c r="G35" s="5" t="n">
        <v>0.136</v>
      </c>
      <c r="H35" s="5" t="n">
        <v>11</v>
      </c>
      <c r="I35" s="5" t="n">
        <v>87.6</v>
      </c>
      <c r="J35" s="5" t="n">
        <v>3.01</v>
      </c>
      <c r="K35" s="5" t="n">
        <v>1</v>
      </c>
      <c r="L35" s="5" t="n">
        <v>3.7</v>
      </c>
      <c r="M35" s="5" t="n">
        <v>500173.02</v>
      </c>
      <c r="N35" s="5" t="n">
        <v>70982.05</v>
      </c>
    </row>
    <row r="36" customFormat="false" ht="15" hidden="false" customHeight="true" outlineLevel="0" collapsed="false">
      <c r="A36" s="5" t="s">
        <v>31</v>
      </c>
      <c r="B36" s="6" t="n">
        <v>45748</v>
      </c>
      <c r="C36" s="5" t="s">
        <v>17</v>
      </c>
      <c r="D36" s="5" t="s">
        <v>18</v>
      </c>
      <c r="E36" s="5" t="n">
        <v>69816.35</v>
      </c>
      <c r="F36" s="5" t="n">
        <v>971</v>
      </c>
      <c r="G36" s="5" t="n">
        <v>0.168</v>
      </c>
      <c r="H36" s="5" t="n">
        <v>5</v>
      </c>
      <c r="I36" s="5" t="n">
        <v>89.9</v>
      </c>
      <c r="J36" s="5" t="n">
        <v>12.15</v>
      </c>
      <c r="K36" s="5" t="n">
        <v>0</v>
      </c>
      <c r="L36" s="5" t="n">
        <v>3.6</v>
      </c>
      <c r="M36" s="5" t="n">
        <v>427917.38</v>
      </c>
      <c r="N36" s="5" t="n">
        <v>81824.31</v>
      </c>
    </row>
    <row r="37" customFormat="false" ht="15" hidden="false" customHeight="true" outlineLevel="0" collapsed="false">
      <c r="A37" s="5" t="s">
        <v>32</v>
      </c>
      <c r="B37" s="6" t="n">
        <v>45658</v>
      </c>
      <c r="C37" s="5" t="s">
        <v>22</v>
      </c>
      <c r="D37" s="5" t="s">
        <v>18</v>
      </c>
      <c r="E37" s="5" t="n">
        <v>54597.83</v>
      </c>
      <c r="F37" s="5" t="n">
        <v>9429</v>
      </c>
      <c r="G37" s="5" t="n">
        <v>0.188</v>
      </c>
      <c r="H37" s="5" t="n">
        <v>21</v>
      </c>
      <c r="I37" s="5" t="n">
        <v>83.3</v>
      </c>
      <c r="J37" s="5" t="n">
        <v>11.71</v>
      </c>
      <c r="K37" s="5" t="n">
        <v>0</v>
      </c>
      <c r="L37" s="5" t="n">
        <v>4.2</v>
      </c>
      <c r="M37" s="5" t="n">
        <v>641865.03</v>
      </c>
      <c r="N37" s="5" t="n">
        <v>81342.58</v>
      </c>
    </row>
    <row r="38" customFormat="false" ht="15" hidden="false" customHeight="true" outlineLevel="0" collapsed="false">
      <c r="A38" s="5" t="s">
        <v>32</v>
      </c>
      <c r="B38" s="6" t="n">
        <v>45689</v>
      </c>
      <c r="C38" s="5" t="s">
        <v>22</v>
      </c>
      <c r="D38" s="5" t="s">
        <v>18</v>
      </c>
      <c r="E38" s="5" t="n">
        <v>73771.91</v>
      </c>
      <c r="F38" s="5" t="n">
        <v>11695</v>
      </c>
      <c r="G38" s="5" t="n">
        <v>0.07</v>
      </c>
      <c r="H38" s="5" t="n">
        <v>25</v>
      </c>
      <c r="I38" s="5" t="n">
        <v>84.7</v>
      </c>
      <c r="J38" s="5" t="n">
        <v>0.62</v>
      </c>
      <c r="K38" s="5" t="n">
        <v>0</v>
      </c>
      <c r="L38" s="5"/>
      <c r="M38" s="5" t="n">
        <v>799477.76</v>
      </c>
      <c r="N38" s="5" t="n">
        <v>164974.41</v>
      </c>
    </row>
    <row r="39" customFormat="false" ht="15" hidden="false" customHeight="true" outlineLevel="0" collapsed="false">
      <c r="A39" s="5" t="s">
        <v>32</v>
      </c>
      <c r="B39" s="6" t="n">
        <v>45717</v>
      </c>
      <c r="C39" s="5" t="s">
        <v>22</v>
      </c>
      <c r="D39" s="5" t="s">
        <v>18</v>
      </c>
      <c r="E39" s="5" t="n">
        <v>74413.88</v>
      </c>
      <c r="F39" s="5" t="n">
        <v>9449</v>
      </c>
      <c r="G39" s="5" t="n">
        <v>0.039</v>
      </c>
      <c r="H39" s="5" t="n">
        <v>23</v>
      </c>
      <c r="I39" s="5" t="n">
        <v>92.1</v>
      </c>
      <c r="J39" s="5" t="n">
        <v>2.12</v>
      </c>
      <c r="K39" s="5" t="n">
        <v>0</v>
      </c>
      <c r="L39" s="5" t="n">
        <v>3.5</v>
      </c>
      <c r="M39" s="5" t="n">
        <v>798952.17</v>
      </c>
      <c r="N39" s="5" t="n">
        <v>161499.04</v>
      </c>
    </row>
    <row r="40" customFormat="false" ht="15" hidden="false" customHeight="true" outlineLevel="0" collapsed="false">
      <c r="A40" s="5" t="s">
        <v>32</v>
      </c>
      <c r="B40" s="6" t="n">
        <v>45748</v>
      </c>
      <c r="C40" s="5" t="s">
        <v>22</v>
      </c>
      <c r="D40" s="5" t="s">
        <v>18</v>
      </c>
      <c r="E40" s="5" t="n">
        <v>52483.77</v>
      </c>
      <c r="F40" s="5" t="n">
        <v>10453</v>
      </c>
      <c r="G40" s="5" t="n">
        <v>0.247</v>
      </c>
      <c r="H40" s="5" t="n">
        <v>25</v>
      </c>
      <c r="I40" s="5" t="n">
        <v>99</v>
      </c>
      <c r="J40" s="5" t="n">
        <v>6.31</v>
      </c>
      <c r="K40" s="5" t="n">
        <v>0</v>
      </c>
      <c r="L40" s="5" t="n">
        <v>3.6</v>
      </c>
      <c r="M40" s="5" t="n">
        <v>800979.78</v>
      </c>
      <c r="N40" s="5" t="n">
        <v>149242.27</v>
      </c>
    </row>
    <row r="41" customFormat="false" ht="15" hidden="false" customHeight="true" outlineLevel="0" collapsed="false">
      <c r="A41" s="5" t="s">
        <v>33</v>
      </c>
      <c r="B41" s="6" t="n">
        <v>45658</v>
      </c>
      <c r="C41" s="5" t="s">
        <v>22</v>
      </c>
      <c r="D41" s="5" t="s">
        <v>30</v>
      </c>
      <c r="E41" s="5" t="n">
        <v>75269.87</v>
      </c>
      <c r="F41" s="5" t="n">
        <v>8838</v>
      </c>
      <c r="G41" s="5" t="n">
        <v>0.092</v>
      </c>
      <c r="H41" s="5" t="n">
        <v>21</v>
      </c>
      <c r="I41" s="5" t="n">
        <v>83.1</v>
      </c>
      <c r="J41" s="5" t="n">
        <v>9.56</v>
      </c>
      <c r="K41" s="5" t="n">
        <v>1</v>
      </c>
      <c r="L41" s="5" t="n">
        <v>4.2</v>
      </c>
      <c r="M41" s="5" t="n">
        <v>820593.93</v>
      </c>
      <c r="N41" s="5" t="n">
        <v>115860.06</v>
      </c>
    </row>
    <row r="42" customFormat="false" ht="15" hidden="false" customHeight="true" outlineLevel="0" collapsed="false">
      <c r="A42" s="5" t="s">
        <v>33</v>
      </c>
      <c r="B42" s="6" t="n">
        <v>45689</v>
      </c>
      <c r="C42" s="5" t="s">
        <v>22</v>
      </c>
      <c r="D42" s="5" t="s">
        <v>30</v>
      </c>
      <c r="E42" s="5" t="n">
        <v>61245.41</v>
      </c>
      <c r="F42" s="5" t="n">
        <v>8156</v>
      </c>
      <c r="G42" s="5" t="n">
        <v>0.156</v>
      </c>
      <c r="H42" s="5" t="n">
        <v>19</v>
      </c>
      <c r="I42" s="5" t="n">
        <v>92.9</v>
      </c>
      <c r="J42" s="5" t="n">
        <v>9.05</v>
      </c>
      <c r="K42" s="5" t="n">
        <v>0</v>
      </c>
      <c r="L42" s="5" t="n">
        <v>3.8</v>
      </c>
      <c r="M42" s="5" t="n">
        <v>718330.53</v>
      </c>
      <c r="N42" s="5" t="n">
        <v>93247.9</v>
      </c>
    </row>
    <row r="43" customFormat="false" ht="15" hidden="false" customHeight="true" outlineLevel="0" collapsed="false">
      <c r="A43" s="5" t="s">
        <v>33</v>
      </c>
      <c r="B43" s="6" t="n">
        <v>45717</v>
      </c>
      <c r="C43" s="5" t="s">
        <v>22</v>
      </c>
      <c r="D43" s="5" t="s">
        <v>30</v>
      </c>
      <c r="E43" s="5" t="n">
        <v>93381.26</v>
      </c>
      <c r="F43" s="5" t="n">
        <v>7562</v>
      </c>
      <c r="G43" s="5" t="n">
        <v>0.198</v>
      </c>
      <c r="H43" s="5" t="n">
        <v>19</v>
      </c>
      <c r="I43" s="5" t="n">
        <v>82.9</v>
      </c>
      <c r="J43" s="5" t="n">
        <v>5.05</v>
      </c>
      <c r="K43" s="5" t="n">
        <v>0</v>
      </c>
      <c r="L43" s="5" t="n">
        <v>4</v>
      </c>
      <c r="M43" s="5" t="n">
        <v>736633.4</v>
      </c>
      <c r="N43" s="5" t="n">
        <v>115654.66</v>
      </c>
    </row>
    <row r="44" customFormat="false" ht="15" hidden="false" customHeight="true" outlineLevel="0" collapsed="false">
      <c r="A44" s="5" t="s">
        <v>33</v>
      </c>
      <c r="B44" s="6" t="n">
        <v>45748</v>
      </c>
      <c r="C44" s="5" t="s">
        <v>22</v>
      </c>
      <c r="D44" s="5" t="s">
        <v>30</v>
      </c>
      <c r="E44" s="5" t="n">
        <v>65012.19</v>
      </c>
      <c r="F44" s="5" t="n">
        <v>9598</v>
      </c>
      <c r="G44" s="5" t="n">
        <v>0.085</v>
      </c>
      <c r="H44" s="5" t="n">
        <v>24</v>
      </c>
      <c r="I44" s="5" t="n">
        <v>98.3</v>
      </c>
      <c r="J44" s="5" t="n">
        <v>0.89</v>
      </c>
      <c r="K44" s="5" t="n">
        <v>0</v>
      </c>
      <c r="L44" s="5" t="n">
        <v>3.8</v>
      </c>
      <c r="M44" s="5" t="n">
        <v>828623.85</v>
      </c>
      <c r="N44" s="5" t="n">
        <v>167320.52</v>
      </c>
    </row>
    <row r="45" customFormat="false" ht="15" hidden="false" customHeight="true" outlineLevel="0" collapsed="false">
      <c r="A45" s="5" t="s">
        <v>34</v>
      </c>
      <c r="B45" s="6" t="n">
        <v>45658</v>
      </c>
      <c r="C45" s="5" t="s">
        <v>17</v>
      </c>
      <c r="D45" s="5" t="s">
        <v>30</v>
      </c>
      <c r="E45" s="5" t="n">
        <v>40462.94</v>
      </c>
      <c r="F45" s="5" t="n">
        <v>3660</v>
      </c>
      <c r="G45" s="5" t="n">
        <v>0.218</v>
      </c>
      <c r="H45" s="5" t="n">
        <v>11</v>
      </c>
      <c r="I45" s="5" t="n">
        <v>95.2</v>
      </c>
      <c r="J45" s="5" t="n">
        <v>5.57</v>
      </c>
      <c r="K45" s="5" t="n">
        <v>0</v>
      </c>
      <c r="L45" s="5" t="n">
        <v>4.4</v>
      </c>
      <c r="M45" s="5" t="n">
        <v>592195.85</v>
      </c>
      <c r="N45" s="5" t="n">
        <v>92291.56</v>
      </c>
    </row>
    <row r="46" customFormat="false" ht="15" hidden="false" customHeight="true" outlineLevel="0" collapsed="false">
      <c r="A46" s="5" t="s">
        <v>34</v>
      </c>
      <c r="B46" s="6" t="n">
        <v>45689</v>
      </c>
      <c r="C46" s="5" t="s">
        <v>17</v>
      </c>
      <c r="D46" s="5" t="s">
        <v>30</v>
      </c>
      <c r="E46" s="5" t="n">
        <v>46123.88</v>
      </c>
      <c r="F46" s="5" t="n">
        <v>3227</v>
      </c>
      <c r="G46" s="5" t="n">
        <v>0.143</v>
      </c>
      <c r="H46" s="5" t="n">
        <v>10</v>
      </c>
      <c r="I46" s="5" t="n">
        <v>75.4</v>
      </c>
      <c r="J46" s="5" t="n">
        <v>1.06</v>
      </c>
      <c r="K46" s="5" t="n">
        <v>0</v>
      </c>
      <c r="L46" s="5" t="n">
        <v>4.4</v>
      </c>
      <c r="M46" s="5" t="n">
        <v>532644.46</v>
      </c>
      <c r="N46" s="5" t="n">
        <v>60681.32</v>
      </c>
    </row>
    <row r="47" customFormat="false" ht="15" hidden="false" customHeight="true" outlineLevel="0" collapsed="false">
      <c r="A47" s="5" t="s">
        <v>34</v>
      </c>
      <c r="B47" s="6" t="n">
        <v>45717</v>
      </c>
      <c r="C47" s="5" t="s">
        <v>17</v>
      </c>
      <c r="D47" s="5" t="s">
        <v>30</v>
      </c>
      <c r="E47" s="5" t="n">
        <v>68077.54</v>
      </c>
      <c r="F47" s="5" t="n">
        <v>3360</v>
      </c>
      <c r="G47" s="5" t="n">
        <v>0.128</v>
      </c>
      <c r="H47" s="5" t="n">
        <v>14</v>
      </c>
      <c r="I47" s="5" t="n">
        <v>88.2</v>
      </c>
      <c r="J47" s="5" t="n">
        <v>1.24</v>
      </c>
      <c r="K47" s="5" t="n">
        <v>1</v>
      </c>
      <c r="L47" s="5" t="n">
        <v>4</v>
      </c>
      <c r="M47" s="5" t="n">
        <v>657429.18</v>
      </c>
      <c r="N47" s="5" t="n">
        <v>88919.74</v>
      </c>
    </row>
    <row r="48" customFormat="false" ht="15" hidden="false" customHeight="true" outlineLevel="0" collapsed="false">
      <c r="A48" s="5" t="s">
        <v>34</v>
      </c>
      <c r="B48" s="6" t="n">
        <v>45748</v>
      </c>
      <c r="C48" s="5" t="s">
        <v>17</v>
      </c>
      <c r="D48" s="5" t="s">
        <v>30</v>
      </c>
      <c r="E48" s="5" t="n">
        <v>64882.14</v>
      </c>
      <c r="F48" s="5" t="n">
        <v>3642</v>
      </c>
      <c r="G48" s="5" t="n">
        <v>0.019</v>
      </c>
      <c r="H48" s="5" t="n">
        <v>13</v>
      </c>
      <c r="I48" s="5" t="n">
        <v>87.8</v>
      </c>
      <c r="J48" s="5" t="n">
        <v>4.52</v>
      </c>
      <c r="K48" s="5" t="n">
        <v>0</v>
      </c>
      <c r="L48" s="5" t="n">
        <v>4.2</v>
      </c>
      <c r="M48" s="5" t="n">
        <v>605178</v>
      </c>
      <c r="N48" s="5" t="n">
        <v>106958.74</v>
      </c>
    </row>
    <row r="49" customFormat="false" ht="15" hidden="false" customHeight="true" outlineLevel="0" collapsed="false">
      <c r="A49" s="5" t="s">
        <v>35</v>
      </c>
      <c r="B49" s="6" t="n">
        <v>45658</v>
      </c>
      <c r="C49" s="5" t="s">
        <v>29</v>
      </c>
      <c r="D49" s="5" t="s">
        <v>18</v>
      </c>
      <c r="E49" s="5" t="n">
        <v>138855.51</v>
      </c>
      <c r="F49" s="5" t="n">
        <v>5145</v>
      </c>
      <c r="G49" s="5" t="n">
        <v>0.06</v>
      </c>
      <c r="H49" s="5" t="n">
        <v>17</v>
      </c>
      <c r="I49" s="5" t="n">
        <v>88.2</v>
      </c>
      <c r="J49" s="5" t="n">
        <v>9.58</v>
      </c>
      <c r="K49" s="5" t="n">
        <v>0</v>
      </c>
      <c r="L49" s="5" t="n">
        <v>3.2</v>
      </c>
      <c r="M49" s="5" t="n">
        <v>595467.6</v>
      </c>
      <c r="N49" s="5" t="n">
        <v>104276.46</v>
      </c>
    </row>
    <row r="50" customFormat="false" ht="15" hidden="false" customHeight="true" outlineLevel="0" collapsed="false">
      <c r="A50" s="5" t="s">
        <v>35</v>
      </c>
      <c r="B50" s="6" t="n">
        <v>45689</v>
      </c>
      <c r="C50" s="5" t="s">
        <v>29</v>
      </c>
      <c r="D50" s="5" t="s">
        <v>18</v>
      </c>
      <c r="E50" s="5" t="n">
        <v>63630.21</v>
      </c>
      <c r="F50" s="5" t="n">
        <v>4460</v>
      </c>
      <c r="G50" s="5" t="n">
        <v>0.235</v>
      </c>
      <c r="H50" s="5" t="n">
        <v>14</v>
      </c>
      <c r="I50" s="5" t="n">
        <v>98.6</v>
      </c>
      <c r="J50" s="5" t="n">
        <v>5.52</v>
      </c>
      <c r="K50" s="5" t="n">
        <v>0</v>
      </c>
      <c r="L50" s="5" t="n">
        <v>3.5</v>
      </c>
      <c r="M50" s="5" t="n">
        <v>599603.4</v>
      </c>
      <c r="N50" s="5" t="n">
        <v>112685.12</v>
      </c>
    </row>
    <row r="51" customFormat="false" ht="15" hidden="false" customHeight="true" outlineLevel="0" collapsed="false">
      <c r="A51" s="5" t="s">
        <v>35</v>
      </c>
      <c r="B51" s="6" t="n">
        <v>45717</v>
      </c>
      <c r="C51" s="5" t="s">
        <v>29</v>
      </c>
      <c r="D51" s="5" t="s">
        <v>18</v>
      </c>
      <c r="E51" s="5" t="n">
        <v>50043.65</v>
      </c>
      <c r="F51" s="5" t="n">
        <v>3804</v>
      </c>
      <c r="G51" s="5" t="n">
        <v>0.113</v>
      </c>
      <c r="H51" s="5" t="n">
        <v>11</v>
      </c>
      <c r="I51" s="5" t="n">
        <v>90.9</v>
      </c>
      <c r="J51" s="5" t="n">
        <v>2.7</v>
      </c>
      <c r="K51" s="5" t="n">
        <v>1</v>
      </c>
      <c r="L51" s="5" t="n">
        <v>3.2</v>
      </c>
      <c r="M51" s="5" t="n">
        <v>614800.09</v>
      </c>
      <c r="N51" s="5" t="n">
        <v>100044.2</v>
      </c>
    </row>
    <row r="52" customFormat="false" ht="15" hidden="false" customHeight="true" outlineLevel="0" collapsed="false">
      <c r="A52" s="5" t="s">
        <v>35</v>
      </c>
      <c r="B52" s="6" t="n">
        <v>45748</v>
      </c>
      <c r="C52" s="5" t="s">
        <v>29</v>
      </c>
      <c r="D52" s="5" t="s">
        <v>18</v>
      </c>
      <c r="E52" s="5" t="n">
        <v>42093.84</v>
      </c>
      <c r="F52" s="5" t="n">
        <v>4074</v>
      </c>
      <c r="G52" s="5" t="n">
        <v>0.155</v>
      </c>
      <c r="H52" s="5" t="n">
        <v>15</v>
      </c>
      <c r="I52" s="5" t="n">
        <v>88</v>
      </c>
      <c r="J52" s="5" t="n">
        <v>9.64</v>
      </c>
      <c r="K52" s="5" t="n">
        <v>0</v>
      </c>
      <c r="L52" s="5" t="n">
        <v>3.3</v>
      </c>
      <c r="M52" s="5" t="n">
        <v>585365.73</v>
      </c>
      <c r="N52" s="5" t="n">
        <v>81011.52</v>
      </c>
    </row>
    <row r="53" customFormat="false" ht="15" hidden="false" customHeight="true" outlineLevel="0" collapsed="false">
      <c r="A53" s="5" t="s">
        <v>36</v>
      </c>
      <c r="B53" s="6" t="n">
        <v>45658</v>
      </c>
      <c r="C53" s="5" t="s">
        <v>22</v>
      </c>
      <c r="D53" s="5" t="s">
        <v>30</v>
      </c>
      <c r="E53" s="5" t="n">
        <v>46624.05</v>
      </c>
      <c r="F53" s="5" t="n">
        <v>5104</v>
      </c>
      <c r="G53" s="5" t="n">
        <v>0.109</v>
      </c>
      <c r="H53" s="5" t="n">
        <v>11</v>
      </c>
      <c r="I53" s="5" t="n">
        <v>97.3</v>
      </c>
      <c r="J53" s="5" t="n">
        <v>3.49</v>
      </c>
      <c r="K53" s="5" t="n">
        <v>1</v>
      </c>
      <c r="L53" s="5" t="n">
        <v>4.7</v>
      </c>
      <c r="M53" s="5" t="n">
        <v>622811.74</v>
      </c>
      <c r="N53" s="5" t="n">
        <v>109978.35</v>
      </c>
    </row>
    <row r="54" customFormat="false" ht="15" hidden="false" customHeight="true" outlineLevel="0" collapsed="false">
      <c r="A54" s="5" t="s">
        <v>36</v>
      </c>
      <c r="B54" s="6" t="n">
        <v>45689</v>
      </c>
      <c r="C54" s="5" t="s">
        <v>22</v>
      </c>
      <c r="D54" s="5" t="s">
        <v>30</v>
      </c>
      <c r="E54" s="5" t="n">
        <v>49710.29</v>
      </c>
      <c r="F54" s="5" t="n">
        <v>5559</v>
      </c>
      <c r="G54" s="5" t="n">
        <v>0.218</v>
      </c>
      <c r="H54" s="5" t="n">
        <v>14</v>
      </c>
      <c r="I54" s="5" t="n">
        <v>71</v>
      </c>
      <c r="J54" s="5" t="n">
        <v>9.11</v>
      </c>
      <c r="K54" s="5" t="n">
        <v>0</v>
      </c>
      <c r="L54" s="5" t="n">
        <v>4.6</v>
      </c>
      <c r="M54" s="5" t="n">
        <v>603297.57</v>
      </c>
      <c r="N54" s="5" t="n">
        <v>60592.26</v>
      </c>
    </row>
    <row r="55" customFormat="false" ht="15" hidden="false" customHeight="true" outlineLevel="0" collapsed="false">
      <c r="A55" s="5" t="s">
        <v>36</v>
      </c>
      <c r="B55" s="6" t="n">
        <v>45717</v>
      </c>
      <c r="C55" s="5" t="s">
        <v>22</v>
      </c>
      <c r="D55" s="5" t="s">
        <v>30</v>
      </c>
      <c r="E55" s="5" t="n">
        <v>48287.85</v>
      </c>
      <c r="F55" s="5" t="n">
        <v>5150</v>
      </c>
      <c r="G55" s="5" t="n">
        <v>0.008</v>
      </c>
      <c r="H55" s="5" t="n">
        <v>12</v>
      </c>
      <c r="I55" s="5" t="n">
        <v>80.4</v>
      </c>
      <c r="J55" s="5" t="n">
        <v>7.4</v>
      </c>
      <c r="K55" s="5" t="n">
        <v>0</v>
      </c>
      <c r="L55" s="5" t="n">
        <v>4.5</v>
      </c>
      <c r="M55" s="5" t="n">
        <v>625672.86</v>
      </c>
      <c r="N55" s="5" t="n">
        <v>118020.12</v>
      </c>
    </row>
    <row r="56" customFormat="false" ht="15" hidden="false" customHeight="true" outlineLevel="0" collapsed="false">
      <c r="A56" s="5" t="s">
        <v>36</v>
      </c>
      <c r="B56" s="6" t="n">
        <v>45748</v>
      </c>
      <c r="C56" s="5" t="s">
        <v>22</v>
      </c>
      <c r="D56" s="5" t="s">
        <v>30</v>
      </c>
      <c r="E56" s="5" t="n">
        <v>65312.49</v>
      </c>
      <c r="F56" s="5" t="n">
        <v>7189</v>
      </c>
      <c r="G56" s="5" t="n">
        <v>0.05</v>
      </c>
      <c r="H56" s="5" t="n">
        <v>19</v>
      </c>
      <c r="I56" s="5" t="n">
        <v>93.7</v>
      </c>
      <c r="J56" s="5" t="n">
        <v>7.16</v>
      </c>
      <c r="K56" s="5" t="n">
        <v>0</v>
      </c>
      <c r="L56" s="5" t="n">
        <v>4.6</v>
      </c>
      <c r="M56" s="5" t="n">
        <v>773815.14</v>
      </c>
      <c r="N56" s="5" t="n">
        <v>133948.39</v>
      </c>
    </row>
    <row r="57" customFormat="false" ht="15" hidden="false" customHeight="true" outlineLevel="0" collapsed="false">
      <c r="A57" s="5" t="s">
        <v>37</v>
      </c>
      <c r="B57" s="6" t="n">
        <v>45658</v>
      </c>
      <c r="C57" s="5" t="s">
        <v>29</v>
      </c>
      <c r="D57" s="5" t="s">
        <v>20</v>
      </c>
      <c r="E57" s="5" t="n">
        <v>53015.46</v>
      </c>
      <c r="F57" s="5" t="n">
        <v>3279</v>
      </c>
      <c r="G57" s="5" t="n">
        <v>0.087</v>
      </c>
      <c r="H57" s="5" t="n">
        <v>9</v>
      </c>
      <c r="I57" s="5" t="n">
        <v>84.3</v>
      </c>
      <c r="J57" s="5" t="n">
        <v>22.02</v>
      </c>
      <c r="K57" s="5" t="n">
        <v>0</v>
      </c>
      <c r="L57" s="5" t="n">
        <v>3.9</v>
      </c>
      <c r="M57" s="5" t="n">
        <v>463534.25</v>
      </c>
      <c r="N57" s="5" t="n">
        <v>81834.54</v>
      </c>
    </row>
    <row r="58" customFormat="false" ht="15" hidden="false" customHeight="true" outlineLevel="0" collapsed="false">
      <c r="A58" s="5" t="s">
        <v>37</v>
      </c>
      <c r="B58" s="6" t="n">
        <v>45689</v>
      </c>
      <c r="C58" s="5" t="s">
        <v>29</v>
      </c>
      <c r="D58" s="5" t="s">
        <v>20</v>
      </c>
      <c r="E58" s="5" t="n">
        <v>99874.01</v>
      </c>
      <c r="F58" s="5" t="n">
        <v>5887</v>
      </c>
      <c r="G58" s="5" t="n">
        <v>0.262</v>
      </c>
      <c r="H58" s="5" t="n">
        <v>14</v>
      </c>
      <c r="I58" s="5" t="n">
        <v>88.7</v>
      </c>
      <c r="J58" s="5" t="n">
        <v>6.18</v>
      </c>
      <c r="K58" s="5" t="n">
        <v>0</v>
      </c>
      <c r="L58" s="5" t="n">
        <v>4.7</v>
      </c>
      <c r="M58" s="5" t="n">
        <v>746677.75</v>
      </c>
      <c r="N58" s="5" t="n">
        <v>122437.84</v>
      </c>
    </row>
    <row r="59" customFormat="false" ht="15" hidden="false" customHeight="true" outlineLevel="0" collapsed="false">
      <c r="A59" s="5" t="s">
        <v>37</v>
      </c>
      <c r="B59" s="6" t="n">
        <v>45717</v>
      </c>
      <c r="C59" s="5" t="s">
        <v>29</v>
      </c>
      <c r="D59" s="5" t="s">
        <v>20</v>
      </c>
      <c r="E59" s="5" t="n">
        <v>81195.5</v>
      </c>
      <c r="F59" s="5" t="n">
        <v>5516</v>
      </c>
      <c r="G59" s="5" t="n">
        <v>0.106</v>
      </c>
      <c r="H59" s="5" t="n">
        <v>14</v>
      </c>
      <c r="I59" s="5" t="n">
        <v>88</v>
      </c>
      <c r="J59" s="5" t="n">
        <v>1.76</v>
      </c>
      <c r="K59" s="5" t="n">
        <v>0</v>
      </c>
      <c r="L59" s="5" t="n">
        <v>4.3</v>
      </c>
      <c r="M59" s="5" t="n">
        <v>720852.5</v>
      </c>
      <c r="N59" s="5" t="n">
        <v>98565.62</v>
      </c>
    </row>
    <row r="60" customFormat="false" ht="15" hidden="false" customHeight="true" outlineLevel="0" collapsed="false">
      <c r="A60" s="5" t="s">
        <v>37</v>
      </c>
      <c r="B60" s="6" t="n">
        <v>45748</v>
      </c>
      <c r="C60" s="5" t="s">
        <v>29</v>
      </c>
      <c r="D60" s="5" t="s">
        <v>20</v>
      </c>
      <c r="E60" s="5" t="n">
        <v>27808.6</v>
      </c>
      <c r="F60" s="5" t="n">
        <v>2863</v>
      </c>
      <c r="G60" s="5" t="n">
        <v>0.08</v>
      </c>
      <c r="H60" s="5" t="n">
        <v>13</v>
      </c>
      <c r="I60" s="5" t="n">
        <v>89.3</v>
      </c>
      <c r="J60" s="5" t="n">
        <v>0.47</v>
      </c>
      <c r="K60" s="5" t="n">
        <v>0</v>
      </c>
      <c r="L60" s="5" t="n">
        <v>4.1</v>
      </c>
      <c r="M60" s="5" t="n">
        <v>487464.91</v>
      </c>
      <c r="N60" s="5" t="n">
        <v>64562.26</v>
      </c>
    </row>
    <row r="61" customFormat="false" ht="15" hidden="false" customHeight="true" outlineLevel="0" collapsed="false">
      <c r="A61" s="5" t="s">
        <v>38</v>
      </c>
      <c r="B61" s="6" t="n">
        <v>45658</v>
      </c>
      <c r="C61" s="5" t="s">
        <v>17</v>
      </c>
      <c r="D61" s="5" t="s">
        <v>23</v>
      </c>
      <c r="E61" s="5" t="n">
        <v>19365.06</v>
      </c>
      <c r="F61" s="5" t="n">
        <v>2378</v>
      </c>
      <c r="G61" s="5" t="n">
        <v>0</v>
      </c>
      <c r="H61" s="5" t="n">
        <v>12</v>
      </c>
      <c r="I61" s="5" t="n">
        <v>94.8</v>
      </c>
      <c r="J61" s="5" t="n">
        <v>0.2</v>
      </c>
      <c r="K61" s="5" t="n">
        <v>0</v>
      </c>
      <c r="L61" s="5" t="n">
        <v>3.5</v>
      </c>
      <c r="M61" s="5" t="n">
        <v>518049.26</v>
      </c>
      <c r="N61" s="5" t="n">
        <v>108592.49</v>
      </c>
    </row>
    <row r="62" customFormat="false" ht="15" hidden="false" customHeight="true" outlineLevel="0" collapsed="false">
      <c r="A62" s="5" t="s">
        <v>38</v>
      </c>
      <c r="B62" s="6" t="n">
        <v>45689</v>
      </c>
      <c r="C62" s="5" t="s">
        <v>17</v>
      </c>
      <c r="D62" s="5" t="s">
        <v>23</v>
      </c>
      <c r="E62" s="5" t="n">
        <v>59405.68</v>
      </c>
      <c r="F62" s="5" t="n">
        <v>2515</v>
      </c>
      <c r="G62" s="5" t="n">
        <v>0.039</v>
      </c>
      <c r="H62" s="5" t="n">
        <v>12</v>
      </c>
      <c r="I62" s="5" t="n">
        <v>76</v>
      </c>
      <c r="J62" s="5" t="n">
        <v>5.11</v>
      </c>
      <c r="K62" s="5" t="n">
        <v>0</v>
      </c>
      <c r="L62" s="5" t="n">
        <v>3.7</v>
      </c>
      <c r="M62" s="5" t="n">
        <v>500298.48</v>
      </c>
      <c r="N62" s="5" t="n">
        <v>73461.32</v>
      </c>
    </row>
    <row r="63" customFormat="false" ht="15" hidden="false" customHeight="true" outlineLevel="0" collapsed="false">
      <c r="A63" s="5" t="s">
        <v>38</v>
      </c>
      <c r="B63" s="6" t="n">
        <v>45717</v>
      </c>
      <c r="C63" s="5" t="s">
        <v>17</v>
      </c>
      <c r="D63" s="5" t="s">
        <v>23</v>
      </c>
      <c r="E63" s="5" t="n">
        <v>118910.48</v>
      </c>
      <c r="F63" s="5" t="n">
        <v>4022</v>
      </c>
      <c r="G63" s="5" t="n">
        <v>0.137</v>
      </c>
      <c r="H63" s="5" t="n">
        <v>11</v>
      </c>
      <c r="I63" s="5" t="n">
        <v>87.1</v>
      </c>
      <c r="J63" s="5" t="n">
        <v>0.2</v>
      </c>
      <c r="K63" s="5" t="n">
        <v>0</v>
      </c>
      <c r="L63" s="5" t="n">
        <v>3.1</v>
      </c>
      <c r="M63" s="5" t="n">
        <v>617291.15</v>
      </c>
      <c r="N63" s="5" t="n">
        <v>117782</v>
      </c>
    </row>
    <row r="64" customFormat="false" ht="15" hidden="false" customHeight="true" outlineLevel="0" collapsed="false">
      <c r="A64" s="5" t="s">
        <v>38</v>
      </c>
      <c r="B64" s="6" t="n">
        <v>45748</v>
      </c>
      <c r="C64" s="5" t="s">
        <v>17</v>
      </c>
      <c r="D64" s="5" t="s">
        <v>23</v>
      </c>
      <c r="E64" s="5" t="n">
        <v>52952.12</v>
      </c>
      <c r="F64" s="5" t="n">
        <v>4377</v>
      </c>
      <c r="G64" s="5" t="n">
        <v>0.092</v>
      </c>
      <c r="H64" s="5" t="n">
        <v>14</v>
      </c>
      <c r="I64" s="5" t="n">
        <v>88.6</v>
      </c>
      <c r="J64" s="5" t="n">
        <v>13.59</v>
      </c>
      <c r="K64" s="5" t="n">
        <v>0</v>
      </c>
      <c r="L64" s="5" t="n">
        <v>3.1</v>
      </c>
      <c r="M64" s="5" t="n">
        <v>553756.43</v>
      </c>
      <c r="N64" s="5" t="n">
        <v>86166.77</v>
      </c>
    </row>
    <row r="65" customFormat="false" ht="15" hidden="false" customHeight="true" outlineLevel="0" collapsed="false">
      <c r="A65" s="5" t="s">
        <v>39</v>
      </c>
      <c r="B65" s="6" t="n">
        <v>45658</v>
      </c>
      <c r="C65" s="5" t="s">
        <v>26</v>
      </c>
      <c r="D65" s="5" t="s">
        <v>20</v>
      </c>
      <c r="E65" s="5" t="n">
        <v>74907.98</v>
      </c>
      <c r="F65" s="5" t="n">
        <v>5306</v>
      </c>
      <c r="G65" s="5" t="n">
        <v>0.062</v>
      </c>
      <c r="H65" s="5" t="n">
        <v>16</v>
      </c>
      <c r="I65" s="5" t="n">
        <v>95.6</v>
      </c>
      <c r="J65" s="5" t="n">
        <v>1.02</v>
      </c>
      <c r="K65" s="5" t="n">
        <v>0</v>
      </c>
      <c r="L65" s="5" t="n">
        <v>3.7</v>
      </c>
      <c r="M65" s="5" t="n">
        <v>749559.71</v>
      </c>
      <c r="N65" s="5" t="n">
        <v>144522.53</v>
      </c>
    </row>
    <row r="66" customFormat="false" ht="15" hidden="false" customHeight="true" outlineLevel="0" collapsed="false">
      <c r="A66" s="5" t="s">
        <v>39</v>
      </c>
      <c r="B66" s="6" t="n">
        <v>45689</v>
      </c>
      <c r="C66" s="5" t="s">
        <v>26</v>
      </c>
      <c r="D66" s="5" t="s">
        <v>20</v>
      </c>
      <c r="E66" s="5" t="n">
        <v>37284.66</v>
      </c>
      <c r="F66" s="5" t="n">
        <v>3928</v>
      </c>
      <c r="G66" s="5" t="n">
        <v>0.074</v>
      </c>
      <c r="H66" s="5" t="n">
        <v>12</v>
      </c>
      <c r="I66" s="5" t="n">
        <v>86.5</v>
      </c>
      <c r="J66" s="5" t="n">
        <v>1.64</v>
      </c>
      <c r="K66" s="5" t="n">
        <v>0</v>
      </c>
      <c r="L66" s="5" t="n">
        <v>3.8</v>
      </c>
      <c r="M66" s="5" t="n">
        <v>615966.48</v>
      </c>
      <c r="N66" s="5" t="n">
        <v>91509.38</v>
      </c>
    </row>
    <row r="67" customFormat="false" ht="15" hidden="false" customHeight="true" outlineLevel="0" collapsed="false">
      <c r="A67" s="5" t="s">
        <v>39</v>
      </c>
      <c r="B67" s="6" t="n">
        <v>45717</v>
      </c>
      <c r="C67" s="5" t="s">
        <v>26</v>
      </c>
      <c r="D67" s="5" t="s">
        <v>20</v>
      </c>
      <c r="E67" s="5" t="n">
        <v>50343.19</v>
      </c>
      <c r="F67" s="5" t="n">
        <v>3845</v>
      </c>
      <c r="G67" s="5" t="n">
        <v>0.113</v>
      </c>
      <c r="H67" s="5" t="n">
        <v>9</v>
      </c>
      <c r="I67" s="5" t="n">
        <v>88.7</v>
      </c>
      <c r="J67" s="5" t="n">
        <v>5.15</v>
      </c>
      <c r="K67" s="5" t="n">
        <v>0</v>
      </c>
      <c r="L67" s="5" t="n">
        <v>3.3</v>
      </c>
      <c r="M67" s="5" t="n">
        <v>572011.2</v>
      </c>
      <c r="N67" s="5" t="n">
        <v>101409.68</v>
      </c>
    </row>
    <row r="68" customFormat="false" ht="15" hidden="false" customHeight="true" outlineLevel="0" collapsed="false">
      <c r="A68" s="5" t="s">
        <v>39</v>
      </c>
      <c r="B68" s="6" t="n">
        <v>45748</v>
      </c>
      <c r="C68" s="5" t="s">
        <v>26</v>
      </c>
      <c r="D68" s="5" t="s">
        <v>20</v>
      </c>
      <c r="E68" s="5" t="n">
        <v>74954.47</v>
      </c>
      <c r="F68" s="5" t="n">
        <v>6620</v>
      </c>
      <c r="G68" s="5" t="n">
        <v>0.054</v>
      </c>
      <c r="H68" s="5" t="n">
        <v>17</v>
      </c>
      <c r="I68" s="5" t="n">
        <v>91.1</v>
      </c>
      <c r="J68" s="5" t="n">
        <v>1.11</v>
      </c>
      <c r="K68" s="5" t="n">
        <v>0</v>
      </c>
      <c r="L68" s="5" t="n">
        <v>3.5</v>
      </c>
      <c r="M68" s="5" t="n">
        <v>761860.19</v>
      </c>
      <c r="N68" s="5" t="n">
        <v>133279.38</v>
      </c>
    </row>
    <row r="69" customFormat="false" ht="15" hidden="false" customHeight="true" outlineLevel="0" collapsed="false">
      <c r="A69" s="5" t="s">
        <v>40</v>
      </c>
      <c r="B69" s="6" t="n">
        <v>45658</v>
      </c>
      <c r="C69" s="5" t="s">
        <v>29</v>
      </c>
      <c r="D69" s="5" t="s">
        <v>20</v>
      </c>
      <c r="E69" s="5" t="n">
        <v>70040.31</v>
      </c>
      <c r="F69" s="5" t="n">
        <v>9175</v>
      </c>
      <c r="G69" s="5" t="n">
        <v>0.107</v>
      </c>
      <c r="H69" s="5" t="n">
        <v>23</v>
      </c>
      <c r="I69" s="5" t="n">
        <v>95.1</v>
      </c>
      <c r="J69" s="5" t="n">
        <v>6.08</v>
      </c>
      <c r="K69" s="5" t="n">
        <v>1</v>
      </c>
      <c r="L69" s="5" t="n">
        <v>3.4</v>
      </c>
      <c r="M69" s="5" t="n">
        <v>784502.68</v>
      </c>
      <c r="N69" s="5" t="n">
        <v>129519.72</v>
      </c>
    </row>
    <row r="70" customFormat="false" ht="15" hidden="false" customHeight="true" outlineLevel="0" collapsed="false">
      <c r="A70" s="5" t="s">
        <v>40</v>
      </c>
      <c r="B70" s="6" t="n">
        <v>45689</v>
      </c>
      <c r="C70" s="5" t="s">
        <v>29</v>
      </c>
      <c r="D70" s="5" t="s">
        <v>20</v>
      </c>
      <c r="E70" s="5" t="n">
        <v>51148.69</v>
      </c>
      <c r="F70" s="5" t="n">
        <v>7940</v>
      </c>
      <c r="G70" s="5" t="n">
        <v>0.156</v>
      </c>
      <c r="H70" s="5" t="n">
        <v>18</v>
      </c>
      <c r="I70" s="5" t="n">
        <v>93.3</v>
      </c>
      <c r="J70" s="5" t="n">
        <v>10.91</v>
      </c>
      <c r="K70" s="5" t="n">
        <v>0</v>
      </c>
      <c r="L70" s="5" t="n">
        <v>3.6</v>
      </c>
      <c r="M70" s="5" t="n">
        <v>717141.55</v>
      </c>
      <c r="N70" s="5" t="n">
        <v>134013.61</v>
      </c>
    </row>
    <row r="71" customFormat="false" ht="15" hidden="false" customHeight="true" outlineLevel="0" collapsed="false">
      <c r="A71" s="5" t="s">
        <v>40</v>
      </c>
      <c r="B71" s="6" t="n">
        <v>45717</v>
      </c>
      <c r="C71" s="5" t="s">
        <v>29</v>
      </c>
      <c r="D71" s="5" t="s">
        <v>20</v>
      </c>
      <c r="E71" s="5" t="n">
        <v>79346.1</v>
      </c>
      <c r="F71" s="5" t="n">
        <v>9628</v>
      </c>
      <c r="G71" s="5" t="n">
        <v>0.102</v>
      </c>
      <c r="H71" s="5" t="n">
        <v>20</v>
      </c>
      <c r="I71" s="5" t="n">
        <v>99</v>
      </c>
      <c r="J71" s="5" t="n">
        <v>19.01</v>
      </c>
      <c r="K71" s="5" t="n">
        <v>1</v>
      </c>
      <c r="L71" s="5" t="n">
        <v>3.2</v>
      </c>
      <c r="M71" s="5" t="n">
        <v>685379.08</v>
      </c>
      <c r="N71" s="5" t="n">
        <v>106898.82</v>
      </c>
    </row>
    <row r="72" customFormat="false" ht="15" hidden="false" customHeight="true" outlineLevel="0" collapsed="false">
      <c r="A72" s="5" t="s">
        <v>40</v>
      </c>
      <c r="B72" s="6" t="n">
        <v>45748</v>
      </c>
      <c r="C72" s="5" t="s">
        <v>29</v>
      </c>
      <c r="D72" s="5" t="s">
        <v>20</v>
      </c>
      <c r="E72" s="5" t="n">
        <v>42018.4</v>
      </c>
      <c r="F72" s="5" t="n">
        <v>8296</v>
      </c>
      <c r="G72" s="5" t="n">
        <v>0.115</v>
      </c>
      <c r="H72" s="5" t="n">
        <v>17</v>
      </c>
      <c r="I72" s="5" t="n">
        <v>91.8</v>
      </c>
      <c r="J72" s="5" t="n">
        <v>0.77</v>
      </c>
      <c r="K72" s="5" t="n">
        <v>0</v>
      </c>
      <c r="L72" s="5" t="n">
        <v>3.4</v>
      </c>
      <c r="M72" s="5" t="n">
        <v>740496.65</v>
      </c>
      <c r="N72" s="5" t="n">
        <v>128020.9</v>
      </c>
    </row>
    <row r="73" customFormat="false" ht="15" hidden="false" customHeight="true" outlineLevel="0" collapsed="false">
      <c r="A73" s="5" t="s">
        <v>41</v>
      </c>
      <c r="B73" s="6" t="n">
        <v>45658</v>
      </c>
      <c r="C73" s="5" t="s">
        <v>17</v>
      </c>
      <c r="D73" s="5" t="s">
        <v>20</v>
      </c>
      <c r="E73" s="5" t="n">
        <v>70937.24</v>
      </c>
      <c r="F73" s="5" t="n">
        <v>3595</v>
      </c>
      <c r="G73" s="5" t="n">
        <v>0.141</v>
      </c>
      <c r="H73" s="5" t="n">
        <v>11</v>
      </c>
      <c r="I73" s="5" t="n">
        <v>88.9</v>
      </c>
      <c r="J73" s="5" t="n">
        <v>2.83</v>
      </c>
      <c r="K73" s="5" t="n">
        <v>1</v>
      </c>
      <c r="L73" s="5" t="n">
        <v>3.3</v>
      </c>
      <c r="M73" s="5" t="n">
        <v>661927.14</v>
      </c>
      <c r="N73" s="5" t="n">
        <v>79218.57</v>
      </c>
    </row>
    <row r="74" customFormat="false" ht="15" hidden="false" customHeight="true" outlineLevel="0" collapsed="false">
      <c r="A74" s="5" t="s">
        <v>41</v>
      </c>
      <c r="B74" s="6" t="n">
        <v>45689</v>
      </c>
      <c r="C74" s="5" t="s">
        <v>17</v>
      </c>
      <c r="D74" s="5" t="s">
        <v>20</v>
      </c>
      <c r="E74" s="5" t="n">
        <v>36813.45</v>
      </c>
      <c r="F74" s="5" t="n">
        <v>2834</v>
      </c>
      <c r="G74" s="5" t="n">
        <v>0.191</v>
      </c>
      <c r="H74" s="5" t="n">
        <v>11</v>
      </c>
      <c r="I74" s="5" t="n">
        <v>81.8</v>
      </c>
      <c r="J74" s="5" t="n">
        <v>2.33</v>
      </c>
      <c r="K74" s="5" t="n">
        <v>0</v>
      </c>
      <c r="L74" s="5" t="n">
        <v>3.3</v>
      </c>
      <c r="M74" s="5" t="n">
        <v>479050.5</v>
      </c>
      <c r="N74" s="5" t="n">
        <v>53651.11</v>
      </c>
    </row>
    <row r="75" customFormat="false" ht="15" hidden="false" customHeight="true" outlineLevel="0" collapsed="false">
      <c r="A75" s="5" t="s">
        <v>41</v>
      </c>
      <c r="B75" s="6" t="n">
        <v>45717</v>
      </c>
      <c r="C75" s="5" t="s">
        <v>17</v>
      </c>
      <c r="D75" s="5" t="s">
        <v>20</v>
      </c>
      <c r="E75" s="5" t="n">
        <v>60571.82</v>
      </c>
      <c r="F75" s="5" t="n">
        <v>3193</v>
      </c>
      <c r="G75" s="5" t="n">
        <v>0.197</v>
      </c>
      <c r="H75" s="5" t="n">
        <v>7</v>
      </c>
      <c r="I75" s="5" t="n">
        <v>99</v>
      </c>
      <c r="J75" s="5" t="n">
        <v>1.43</v>
      </c>
      <c r="K75" s="5" t="n">
        <v>0</v>
      </c>
      <c r="L75" s="5" t="n">
        <v>3.2</v>
      </c>
      <c r="M75" s="5" t="n">
        <v>605023.87</v>
      </c>
      <c r="N75" s="5" t="n">
        <v>98545.81</v>
      </c>
    </row>
    <row r="76" customFormat="false" ht="15" hidden="false" customHeight="true" outlineLevel="0" collapsed="false">
      <c r="A76" s="5" t="s">
        <v>41</v>
      </c>
      <c r="B76" s="6" t="n">
        <v>45748</v>
      </c>
      <c r="C76" s="5" t="s">
        <v>17</v>
      </c>
      <c r="D76" s="5" t="s">
        <v>20</v>
      </c>
      <c r="E76" s="5" t="n">
        <v>55081.16</v>
      </c>
      <c r="F76" s="5" t="n">
        <v>5485</v>
      </c>
      <c r="G76" s="5" t="n">
        <v>0.036</v>
      </c>
      <c r="H76" s="5" t="n">
        <v>12</v>
      </c>
      <c r="I76" s="5" t="n">
        <v>88</v>
      </c>
      <c r="J76" s="5"/>
      <c r="K76" s="5" t="n">
        <v>0</v>
      </c>
      <c r="L76" s="5" t="n">
        <v>3.5</v>
      </c>
      <c r="M76" s="5" t="n">
        <v>674774.09</v>
      </c>
      <c r="N76" s="5" t="n">
        <v>141917.59</v>
      </c>
    </row>
    <row r="77" customFormat="false" ht="15" hidden="false" customHeight="true" outlineLevel="0" collapsed="false">
      <c r="A77" s="5" t="s">
        <v>42</v>
      </c>
      <c r="B77" s="6" t="n">
        <v>45658</v>
      </c>
      <c r="C77" s="5" t="s">
        <v>17</v>
      </c>
      <c r="D77" s="5" t="s">
        <v>18</v>
      </c>
      <c r="E77" s="5" t="n">
        <v>46201.46</v>
      </c>
      <c r="F77" s="5" t="n">
        <v>5918</v>
      </c>
      <c r="G77" s="5" t="n">
        <v>0.277</v>
      </c>
      <c r="H77" s="5" t="n">
        <v>13</v>
      </c>
      <c r="I77" s="5" t="n">
        <v>78.8</v>
      </c>
      <c r="J77" s="5" t="n">
        <v>4.91</v>
      </c>
      <c r="K77" s="5" t="n">
        <v>0</v>
      </c>
      <c r="L77" s="5" t="n">
        <v>4.5</v>
      </c>
      <c r="M77" s="5" t="n">
        <v>616069.41</v>
      </c>
      <c r="N77" s="5" t="n">
        <v>54453.99</v>
      </c>
    </row>
    <row r="78" customFormat="false" ht="15" hidden="false" customHeight="true" outlineLevel="0" collapsed="false">
      <c r="A78" s="5" t="s">
        <v>42</v>
      </c>
      <c r="B78" s="6" t="n">
        <v>45689</v>
      </c>
      <c r="C78" s="5" t="s">
        <v>17</v>
      </c>
      <c r="D78" s="5" t="s">
        <v>18</v>
      </c>
      <c r="E78" s="5" t="n">
        <v>53762.92</v>
      </c>
      <c r="F78" s="5" t="n">
        <v>6821</v>
      </c>
      <c r="G78" s="5" t="n">
        <v>0.066</v>
      </c>
      <c r="H78" s="5" t="n">
        <v>19</v>
      </c>
      <c r="I78" s="5" t="n">
        <v>94.6</v>
      </c>
      <c r="J78" s="5" t="n">
        <v>7.03</v>
      </c>
      <c r="K78" s="5" t="n">
        <v>0</v>
      </c>
      <c r="L78" s="5" t="n">
        <v>4.4</v>
      </c>
      <c r="M78" s="5" t="n">
        <v>630829.94</v>
      </c>
      <c r="N78" s="5" t="n">
        <v>117090.02</v>
      </c>
    </row>
    <row r="79" customFormat="false" ht="15" hidden="false" customHeight="true" outlineLevel="0" collapsed="false">
      <c r="A79" s="5" t="s">
        <v>42</v>
      </c>
      <c r="B79" s="6" t="n">
        <v>45717</v>
      </c>
      <c r="C79" s="5" t="s">
        <v>17</v>
      </c>
      <c r="D79" s="5" t="s">
        <v>18</v>
      </c>
      <c r="E79" s="5" t="n">
        <v>70144.78</v>
      </c>
      <c r="F79" s="5" t="n">
        <v>6806</v>
      </c>
      <c r="G79" s="5" t="n">
        <v>0.178</v>
      </c>
      <c r="H79" s="5" t="n">
        <v>20</v>
      </c>
      <c r="I79" s="5" t="n">
        <v>93.1</v>
      </c>
      <c r="J79" s="5" t="n">
        <v>0.28</v>
      </c>
      <c r="K79" s="5" t="n">
        <v>1</v>
      </c>
      <c r="L79" s="5" t="n">
        <v>4.3</v>
      </c>
      <c r="M79" s="5" t="n">
        <v>788087.68</v>
      </c>
      <c r="N79" s="5" t="n">
        <v>116803.42</v>
      </c>
    </row>
    <row r="80" customFormat="false" ht="15" hidden="false" customHeight="true" outlineLevel="0" collapsed="false">
      <c r="A80" s="5" t="s">
        <v>42</v>
      </c>
      <c r="B80" s="6" t="n">
        <v>45748</v>
      </c>
      <c r="C80" s="5" t="s">
        <v>17</v>
      </c>
      <c r="D80" s="5" t="s">
        <v>18</v>
      </c>
      <c r="E80" s="5" t="n">
        <v>58749.63</v>
      </c>
      <c r="F80" s="5" t="n">
        <v>8252</v>
      </c>
      <c r="G80" s="5" t="n">
        <v>0.203</v>
      </c>
      <c r="H80" s="5" t="n">
        <v>20</v>
      </c>
      <c r="I80" s="5" t="n">
        <v>85.2</v>
      </c>
      <c r="J80" s="5" t="n">
        <v>3.61</v>
      </c>
      <c r="K80" s="5" t="n">
        <v>0</v>
      </c>
      <c r="L80" s="5" t="n">
        <v>4.5</v>
      </c>
      <c r="M80" s="5" t="n">
        <v>680840.36</v>
      </c>
      <c r="N80" s="5" t="n">
        <v>68007.68</v>
      </c>
    </row>
    <row r="81" customFormat="false" ht="15" hidden="false" customHeight="true" outlineLevel="0" collapsed="false">
      <c r="A81" s="5" t="s">
        <v>43</v>
      </c>
      <c r="B81" s="6" t="n">
        <v>45658</v>
      </c>
      <c r="C81" s="5" t="s">
        <v>26</v>
      </c>
      <c r="D81" s="5" t="s">
        <v>20</v>
      </c>
      <c r="E81" s="5" t="n">
        <v>56973.18</v>
      </c>
      <c r="F81" s="5" t="n">
        <v>6662</v>
      </c>
      <c r="G81" s="5" t="n">
        <v>0.1</v>
      </c>
      <c r="H81" s="5" t="n">
        <v>15</v>
      </c>
      <c r="I81" s="5" t="n">
        <v>77.7</v>
      </c>
      <c r="J81" s="5" t="n">
        <v>7.52</v>
      </c>
      <c r="K81" s="5" t="n">
        <v>1</v>
      </c>
      <c r="L81" s="5" t="n">
        <v>3.2</v>
      </c>
      <c r="M81" s="5" t="n">
        <v>643657.47</v>
      </c>
      <c r="N81" s="5" t="n">
        <v>87022.45</v>
      </c>
    </row>
    <row r="82" customFormat="false" ht="15" hidden="false" customHeight="true" outlineLevel="0" collapsed="false">
      <c r="A82" s="5" t="s">
        <v>43</v>
      </c>
      <c r="B82" s="6" t="n">
        <v>45689</v>
      </c>
      <c r="C82" s="5" t="s">
        <v>26</v>
      </c>
      <c r="D82" s="5" t="s">
        <v>20</v>
      </c>
      <c r="E82" s="5" t="n">
        <v>54872.82</v>
      </c>
      <c r="F82" s="5" t="n">
        <v>5962</v>
      </c>
      <c r="G82" s="5" t="n">
        <v>0.064</v>
      </c>
      <c r="H82" s="5" t="n">
        <v>12</v>
      </c>
      <c r="I82" s="5" t="n">
        <v>85.4</v>
      </c>
      <c r="J82" s="5" t="n">
        <v>2.58</v>
      </c>
      <c r="K82" s="5" t="n">
        <v>0</v>
      </c>
      <c r="L82" s="5" t="n">
        <v>2.9</v>
      </c>
      <c r="M82" s="5" t="n">
        <v>691112.6</v>
      </c>
      <c r="N82" s="5" t="n">
        <v>109212.83</v>
      </c>
    </row>
    <row r="83" customFormat="false" ht="15" hidden="false" customHeight="true" outlineLevel="0" collapsed="false">
      <c r="A83" s="5" t="s">
        <v>43</v>
      </c>
      <c r="B83" s="6" t="n">
        <v>45717</v>
      </c>
      <c r="C83" s="5" t="s">
        <v>26</v>
      </c>
      <c r="D83" s="5" t="s">
        <v>20</v>
      </c>
      <c r="E83" s="5" t="n">
        <v>80562.81</v>
      </c>
      <c r="F83" s="5" t="n">
        <v>7470</v>
      </c>
      <c r="G83" s="5" t="n">
        <v>0.172</v>
      </c>
      <c r="H83" s="5" t="n">
        <v>16</v>
      </c>
      <c r="I83" s="5" t="n">
        <v>83.5</v>
      </c>
      <c r="J83" s="5" t="n">
        <v>2.29</v>
      </c>
      <c r="K83" s="5" t="n">
        <v>0</v>
      </c>
      <c r="L83" s="5" t="n">
        <v>3.3</v>
      </c>
      <c r="M83" s="5" t="n">
        <v>776922.17</v>
      </c>
      <c r="N83" s="5" t="n">
        <v>150701.93</v>
      </c>
    </row>
    <row r="84" customFormat="false" ht="15" hidden="false" customHeight="true" outlineLevel="0" collapsed="false">
      <c r="A84" s="5" t="s">
        <v>43</v>
      </c>
      <c r="B84" s="6" t="n">
        <v>45748</v>
      </c>
      <c r="C84" s="5" t="s">
        <v>26</v>
      </c>
      <c r="D84" s="5" t="s">
        <v>20</v>
      </c>
      <c r="E84" s="5" t="n">
        <v>77999.9</v>
      </c>
      <c r="F84" s="5" t="n">
        <v>5974</v>
      </c>
      <c r="G84" s="5" t="n">
        <v>0.252</v>
      </c>
      <c r="H84" s="5" t="n">
        <v>14</v>
      </c>
      <c r="I84" s="5" t="n">
        <v>81.3</v>
      </c>
      <c r="J84" s="5" t="n">
        <v>2.39</v>
      </c>
      <c r="K84" s="5" t="n">
        <v>0</v>
      </c>
      <c r="L84" s="5" t="n">
        <v>3.2</v>
      </c>
      <c r="M84" s="5" t="n">
        <v>636561.34</v>
      </c>
      <c r="N84" s="5" t="n">
        <v>93861.06</v>
      </c>
    </row>
    <row r="85" customFormat="false" ht="15" hidden="false" customHeight="true" outlineLevel="0" collapsed="false">
      <c r="A85" s="5" t="s">
        <v>44</v>
      </c>
      <c r="B85" s="6" t="n">
        <v>45658</v>
      </c>
      <c r="C85" s="5" t="s">
        <v>29</v>
      </c>
      <c r="D85" s="5" t="s">
        <v>30</v>
      </c>
      <c r="E85" s="5" t="n">
        <v>60881.01</v>
      </c>
      <c r="F85" s="5" t="n">
        <v>5410</v>
      </c>
      <c r="G85" s="5" t="n">
        <v>0.179</v>
      </c>
      <c r="H85" s="5" t="n">
        <v>15</v>
      </c>
      <c r="I85" s="5" t="n">
        <v>83.9</v>
      </c>
      <c r="J85" s="5" t="n">
        <v>5.24</v>
      </c>
      <c r="K85" s="5" t="n">
        <v>0</v>
      </c>
      <c r="L85" s="5" t="n">
        <v>4.6</v>
      </c>
      <c r="M85" s="5" t="n">
        <v>621369.58</v>
      </c>
      <c r="N85" s="5" t="n">
        <v>85493.64</v>
      </c>
    </row>
    <row r="86" customFormat="false" ht="15" hidden="false" customHeight="true" outlineLevel="0" collapsed="false">
      <c r="A86" s="5" t="s">
        <v>44</v>
      </c>
      <c r="B86" s="6" t="n">
        <v>45689</v>
      </c>
      <c r="C86" s="5" t="s">
        <v>29</v>
      </c>
      <c r="D86" s="5" t="s">
        <v>30</v>
      </c>
      <c r="E86" s="5" t="n">
        <v>60628.38</v>
      </c>
      <c r="F86" s="5" t="n">
        <v>4451</v>
      </c>
      <c r="G86" s="5" t="n">
        <v>0.095</v>
      </c>
      <c r="H86" s="5" t="n">
        <v>10</v>
      </c>
      <c r="I86" s="5" t="n">
        <v>89.6</v>
      </c>
      <c r="J86" s="5" t="n">
        <v>3.17</v>
      </c>
      <c r="K86" s="5" t="n">
        <v>0</v>
      </c>
      <c r="L86" s="5" t="n">
        <v>4.6</v>
      </c>
      <c r="M86" s="5" t="n">
        <v>682208.01</v>
      </c>
      <c r="N86" s="5" t="n">
        <v>110318.84</v>
      </c>
    </row>
    <row r="87" customFormat="false" ht="15" hidden="false" customHeight="true" outlineLevel="0" collapsed="false">
      <c r="A87" s="5" t="s">
        <v>44</v>
      </c>
      <c r="B87" s="6" t="n">
        <v>45717</v>
      </c>
      <c r="C87" s="5" t="s">
        <v>29</v>
      </c>
      <c r="D87" s="5" t="s">
        <v>30</v>
      </c>
      <c r="E87" s="5" t="n">
        <v>72731.14</v>
      </c>
      <c r="F87" s="5" t="n">
        <v>4644</v>
      </c>
      <c r="G87" s="5" t="n">
        <v>0.084</v>
      </c>
      <c r="H87" s="5" t="n">
        <v>15</v>
      </c>
      <c r="I87" s="5" t="n">
        <v>87.1</v>
      </c>
      <c r="J87" s="5" t="n">
        <v>2.66</v>
      </c>
      <c r="K87" s="5" t="n">
        <v>0</v>
      </c>
      <c r="L87" s="5" t="n">
        <v>4.6</v>
      </c>
      <c r="M87" s="5" t="n">
        <v>727241.86</v>
      </c>
      <c r="N87" s="5" t="n">
        <v>155810.3</v>
      </c>
    </row>
    <row r="88" customFormat="false" ht="15" hidden="false" customHeight="true" outlineLevel="0" collapsed="false">
      <c r="A88" s="5" t="s">
        <v>44</v>
      </c>
      <c r="B88" s="6" t="n">
        <v>45748</v>
      </c>
      <c r="C88" s="5" t="s">
        <v>29</v>
      </c>
      <c r="D88" s="5" t="s">
        <v>30</v>
      </c>
      <c r="E88" s="5" t="n">
        <v>36475.71</v>
      </c>
      <c r="F88" s="5" t="n">
        <v>3559</v>
      </c>
      <c r="G88" s="5" t="n">
        <v>0.03</v>
      </c>
      <c r="H88" s="5" t="n">
        <v>8</v>
      </c>
      <c r="I88" s="5" t="n">
        <v>83.6</v>
      </c>
      <c r="J88" s="5" t="n">
        <v>1.41</v>
      </c>
      <c r="K88" s="5" t="n">
        <v>0</v>
      </c>
      <c r="L88" s="5" t="n">
        <v>4.2</v>
      </c>
      <c r="M88" s="5" t="n">
        <v>569100.78</v>
      </c>
      <c r="N88" s="5" t="n">
        <v>104808.78</v>
      </c>
    </row>
    <row r="89" customFormat="false" ht="15" hidden="false" customHeight="true" outlineLevel="0" collapsed="false">
      <c r="A89" s="5" t="s">
        <v>45</v>
      </c>
      <c r="B89" s="6" t="n">
        <v>45658</v>
      </c>
      <c r="C89" s="5" t="s">
        <v>29</v>
      </c>
      <c r="D89" s="5" t="s">
        <v>20</v>
      </c>
      <c r="E89" s="5" t="n">
        <v>55388.11</v>
      </c>
      <c r="F89" s="5" t="n">
        <v>3091</v>
      </c>
      <c r="G89" s="5" t="n">
        <v>0.108</v>
      </c>
      <c r="H89" s="5" t="n">
        <v>7</v>
      </c>
      <c r="I89" s="5" t="n">
        <v>85.4</v>
      </c>
      <c r="J89" s="5" t="n">
        <v>7.34</v>
      </c>
      <c r="K89" s="5" t="n">
        <v>0</v>
      </c>
      <c r="L89" s="5" t="n">
        <v>4.9</v>
      </c>
      <c r="M89" s="5" t="n">
        <v>574436.29</v>
      </c>
      <c r="N89" s="5" t="n">
        <v>80271.99</v>
      </c>
    </row>
    <row r="90" customFormat="false" ht="15" hidden="false" customHeight="true" outlineLevel="0" collapsed="false">
      <c r="A90" s="5" t="s">
        <v>45</v>
      </c>
      <c r="B90" s="6" t="n">
        <v>45689</v>
      </c>
      <c r="C90" s="5" t="s">
        <v>29</v>
      </c>
      <c r="D90" s="5" t="s">
        <v>20</v>
      </c>
      <c r="E90" s="5" t="n">
        <v>88443.77</v>
      </c>
      <c r="F90" s="5" t="n">
        <v>4004</v>
      </c>
      <c r="G90" s="5" t="n">
        <v>0.206</v>
      </c>
      <c r="H90" s="5" t="n">
        <v>11</v>
      </c>
      <c r="I90" s="5" t="n">
        <v>91.9</v>
      </c>
      <c r="J90" s="5" t="n">
        <v>5.95</v>
      </c>
      <c r="K90" s="5" t="n">
        <v>0</v>
      </c>
      <c r="L90" s="5"/>
      <c r="M90" s="5" t="n">
        <v>611766.72</v>
      </c>
      <c r="N90" s="5" t="n">
        <v>88275.61</v>
      </c>
    </row>
    <row r="91" customFormat="false" ht="15" hidden="false" customHeight="true" outlineLevel="0" collapsed="false">
      <c r="A91" s="5" t="s">
        <v>45</v>
      </c>
      <c r="B91" s="6" t="n">
        <v>45717</v>
      </c>
      <c r="C91" s="5" t="s">
        <v>29</v>
      </c>
      <c r="D91" s="5" t="s">
        <v>20</v>
      </c>
      <c r="E91" s="5" t="n">
        <v>78231.91</v>
      </c>
      <c r="F91" s="5" t="n">
        <v>3788</v>
      </c>
      <c r="G91" s="5" t="n">
        <v>0.059</v>
      </c>
      <c r="H91" s="5" t="n">
        <v>11</v>
      </c>
      <c r="I91" s="5" t="n">
        <v>88.5</v>
      </c>
      <c r="J91" s="5" t="n">
        <v>15.51</v>
      </c>
      <c r="K91" s="5" t="n">
        <v>0</v>
      </c>
      <c r="L91" s="5" t="n">
        <v>4.3</v>
      </c>
      <c r="M91" s="5" t="n">
        <v>614596.32</v>
      </c>
      <c r="N91" s="5" t="n">
        <v>131199.41</v>
      </c>
    </row>
    <row r="92" customFormat="false" ht="15" hidden="false" customHeight="true" outlineLevel="0" collapsed="false">
      <c r="A92" s="5" t="s">
        <v>45</v>
      </c>
      <c r="B92" s="6" t="n">
        <v>45748</v>
      </c>
      <c r="C92" s="5" t="s">
        <v>29</v>
      </c>
      <c r="D92" s="5" t="s">
        <v>20</v>
      </c>
      <c r="E92" s="5" t="n">
        <v>18996.32</v>
      </c>
      <c r="F92" s="5" t="n">
        <v>1260</v>
      </c>
      <c r="G92" s="5" t="n">
        <v>0.145</v>
      </c>
      <c r="H92" s="5" t="n">
        <v>9</v>
      </c>
      <c r="I92" s="5" t="n">
        <v>86.4</v>
      </c>
      <c r="J92" s="5" t="n">
        <v>4.31</v>
      </c>
      <c r="K92" s="5" t="n">
        <v>0</v>
      </c>
      <c r="L92" s="5" t="n">
        <v>4.6</v>
      </c>
      <c r="M92" s="5" t="n">
        <v>450711.92</v>
      </c>
      <c r="N92" s="5" t="n">
        <v>90043.76</v>
      </c>
    </row>
    <row r="93" customFormat="false" ht="15" hidden="false" customHeight="true" outlineLevel="0" collapsed="false">
      <c r="A93" s="5" t="s">
        <v>46</v>
      </c>
      <c r="B93" s="6" t="n">
        <v>45658</v>
      </c>
      <c r="C93" s="5" t="s">
        <v>26</v>
      </c>
      <c r="D93" s="5" t="s">
        <v>30</v>
      </c>
      <c r="E93" s="5" t="n">
        <v>50517.94</v>
      </c>
      <c r="F93" s="5" t="n">
        <v>7024</v>
      </c>
      <c r="G93" s="5" t="n">
        <v>0.029</v>
      </c>
      <c r="H93" s="5" t="n">
        <v>18</v>
      </c>
      <c r="I93" s="5" t="n">
        <v>79.2</v>
      </c>
      <c r="J93" s="5" t="n">
        <v>6.61</v>
      </c>
      <c r="K93" s="5" t="n">
        <v>1</v>
      </c>
      <c r="L93" s="5" t="n">
        <v>4.1</v>
      </c>
      <c r="M93" s="5" t="n">
        <v>711213.46</v>
      </c>
      <c r="N93" s="5" t="n">
        <v>105863.26</v>
      </c>
    </row>
    <row r="94" customFormat="false" ht="15" hidden="false" customHeight="true" outlineLevel="0" collapsed="false">
      <c r="A94" s="5" t="s">
        <v>46</v>
      </c>
      <c r="B94" s="6" t="n">
        <v>45689</v>
      </c>
      <c r="C94" s="5" t="s">
        <v>26</v>
      </c>
      <c r="D94" s="5" t="s">
        <v>30</v>
      </c>
      <c r="E94" s="5" t="n">
        <v>141540.29</v>
      </c>
      <c r="F94" s="5" t="n">
        <v>5400</v>
      </c>
      <c r="G94" s="5" t="n">
        <v>0.013</v>
      </c>
      <c r="H94" s="5" t="n">
        <v>12</v>
      </c>
      <c r="I94" s="5" t="n">
        <v>87</v>
      </c>
      <c r="J94" s="5" t="n">
        <v>4.26</v>
      </c>
      <c r="K94" s="5" t="n">
        <v>0</v>
      </c>
      <c r="L94" s="5" t="n">
        <v>4.5</v>
      </c>
      <c r="M94" s="5" t="n">
        <v>627171.9</v>
      </c>
      <c r="N94" s="5" t="n">
        <v>105772.75</v>
      </c>
    </row>
    <row r="95" customFormat="false" ht="15" hidden="false" customHeight="true" outlineLevel="0" collapsed="false">
      <c r="A95" s="5" t="s">
        <v>46</v>
      </c>
      <c r="B95" s="6" t="n">
        <v>45717</v>
      </c>
      <c r="C95" s="5" t="s">
        <v>26</v>
      </c>
      <c r="D95" s="5" t="s">
        <v>30</v>
      </c>
      <c r="E95" s="5" t="n">
        <v>82116.19</v>
      </c>
      <c r="F95" s="5" t="n">
        <v>5988</v>
      </c>
      <c r="G95" s="5" t="n">
        <v>0.04</v>
      </c>
      <c r="H95" s="5" t="n">
        <v>17</v>
      </c>
      <c r="I95" s="5" t="n">
        <v>91.8</v>
      </c>
      <c r="J95" s="5" t="n">
        <v>5.75</v>
      </c>
      <c r="K95" s="5" t="n">
        <v>0</v>
      </c>
      <c r="L95" s="5" t="n">
        <v>4.7</v>
      </c>
      <c r="M95" s="5" t="n">
        <v>739852.58</v>
      </c>
      <c r="N95" s="5" t="n">
        <v>129386.43</v>
      </c>
    </row>
    <row r="96" customFormat="false" ht="15" hidden="false" customHeight="true" outlineLevel="0" collapsed="false">
      <c r="A96" s="5" t="s">
        <v>46</v>
      </c>
      <c r="B96" s="6" t="n">
        <v>45748</v>
      </c>
      <c r="C96" s="5" t="s">
        <v>26</v>
      </c>
      <c r="D96" s="5" t="s">
        <v>30</v>
      </c>
      <c r="E96" s="5" t="n">
        <v>31207.51</v>
      </c>
      <c r="F96" s="5" t="n">
        <v>3701</v>
      </c>
      <c r="G96" s="5" t="n">
        <v>0.043</v>
      </c>
      <c r="H96" s="5" t="n">
        <v>11</v>
      </c>
      <c r="I96" s="5" t="n">
        <v>84.7</v>
      </c>
      <c r="J96" s="5" t="n">
        <v>0.33</v>
      </c>
      <c r="K96" s="5" t="n">
        <v>0</v>
      </c>
      <c r="L96" s="5" t="n">
        <v>4.3</v>
      </c>
      <c r="M96" s="5" t="n">
        <v>586307.22</v>
      </c>
      <c r="N96" s="5" t="n">
        <v>73927.85</v>
      </c>
    </row>
    <row r="97" customFormat="false" ht="15" hidden="false" customHeight="true" outlineLevel="0" collapsed="false">
      <c r="A97" s="5" t="s">
        <v>47</v>
      </c>
      <c r="B97" s="6" t="n">
        <v>45658</v>
      </c>
      <c r="C97" s="5" t="s">
        <v>29</v>
      </c>
      <c r="D97" s="5" t="s">
        <v>18</v>
      </c>
      <c r="E97" s="5" t="n">
        <v>38966.59</v>
      </c>
      <c r="F97" s="5" t="n">
        <v>4509</v>
      </c>
      <c r="G97" s="5" t="n">
        <v>0.194</v>
      </c>
      <c r="H97" s="5" t="n">
        <v>14</v>
      </c>
      <c r="I97" s="5" t="n">
        <v>91.1</v>
      </c>
      <c r="J97" s="5" t="n">
        <v>2.92</v>
      </c>
      <c r="K97" s="5" t="n">
        <v>0</v>
      </c>
      <c r="L97" s="5" t="n">
        <v>4.6</v>
      </c>
      <c r="M97" s="5" t="n">
        <v>585937.48</v>
      </c>
      <c r="N97" s="5" t="n">
        <v>82624.2</v>
      </c>
    </row>
    <row r="98" customFormat="false" ht="15" hidden="false" customHeight="true" outlineLevel="0" collapsed="false">
      <c r="A98" s="5" t="s">
        <v>47</v>
      </c>
      <c r="B98" s="6" t="n">
        <v>45689</v>
      </c>
      <c r="C98" s="5" t="s">
        <v>29</v>
      </c>
      <c r="D98" s="5" t="s">
        <v>18</v>
      </c>
      <c r="E98" s="5" t="n">
        <v>67439.3</v>
      </c>
      <c r="F98" s="5" t="n">
        <v>6477</v>
      </c>
      <c r="G98" s="5" t="n">
        <v>0</v>
      </c>
      <c r="H98" s="5" t="n">
        <v>16</v>
      </c>
      <c r="I98" s="5" t="n">
        <v>90.9</v>
      </c>
      <c r="J98" s="5" t="n">
        <v>1.64</v>
      </c>
      <c r="K98" s="5" t="n">
        <v>0</v>
      </c>
      <c r="L98" s="5" t="n">
        <v>4.5</v>
      </c>
      <c r="M98" s="5" t="n">
        <v>753473.55</v>
      </c>
      <c r="N98" s="5" t="n">
        <v>151527.22</v>
      </c>
    </row>
    <row r="99" customFormat="false" ht="15" hidden="false" customHeight="true" outlineLevel="0" collapsed="false">
      <c r="A99" s="5" t="s">
        <v>47</v>
      </c>
      <c r="B99" s="6" t="n">
        <v>45717</v>
      </c>
      <c r="C99" s="5" t="s">
        <v>29</v>
      </c>
      <c r="D99" s="5" t="s">
        <v>18</v>
      </c>
      <c r="E99" s="5" t="n">
        <v>86421.88</v>
      </c>
      <c r="F99" s="5" t="n">
        <v>7970</v>
      </c>
      <c r="G99" s="5" t="n">
        <v>0.073</v>
      </c>
      <c r="H99" s="5" t="n">
        <v>17</v>
      </c>
      <c r="I99" s="5" t="n">
        <v>91.3</v>
      </c>
      <c r="J99" s="5" t="n">
        <v>0.8</v>
      </c>
      <c r="K99" s="5" t="n">
        <v>0</v>
      </c>
      <c r="L99" s="5" t="n">
        <v>5</v>
      </c>
      <c r="M99" s="5" t="n">
        <v>838250.32</v>
      </c>
      <c r="N99" s="5" t="n">
        <v>122939.34</v>
      </c>
    </row>
    <row r="100" customFormat="false" ht="15" hidden="false" customHeight="true" outlineLevel="0" collapsed="false">
      <c r="A100" s="5" t="s">
        <v>47</v>
      </c>
      <c r="B100" s="6" t="n">
        <v>45748</v>
      </c>
      <c r="C100" s="5" t="s">
        <v>29</v>
      </c>
      <c r="D100" s="5" t="s">
        <v>18</v>
      </c>
      <c r="E100" s="5" t="n">
        <v>9534.65</v>
      </c>
      <c r="F100" s="5" t="n">
        <v>6057</v>
      </c>
      <c r="G100" s="5" t="n">
        <v>0.074</v>
      </c>
      <c r="H100" s="5" t="n">
        <v>15</v>
      </c>
      <c r="I100" s="5" t="n">
        <v>94.1</v>
      </c>
      <c r="J100" s="5" t="n">
        <v>5.79</v>
      </c>
      <c r="K100" s="5" t="n">
        <v>0</v>
      </c>
      <c r="L100" s="5" t="n">
        <v>4.5</v>
      </c>
      <c r="M100" s="5" t="n">
        <v>607898.12</v>
      </c>
      <c r="N100" s="5" t="n">
        <v>135404.85</v>
      </c>
    </row>
    <row r="101" customFormat="false" ht="15" hidden="false" customHeight="true" outlineLevel="0" collapsed="false">
      <c r="A101" s="5" t="s">
        <v>48</v>
      </c>
      <c r="B101" s="6" t="n">
        <v>45658</v>
      </c>
      <c r="C101" s="5" t="s">
        <v>29</v>
      </c>
      <c r="D101" s="5" t="s">
        <v>30</v>
      </c>
      <c r="E101" s="5" t="n">
        <v>61132.07</v>
      </c>
      <c r="F101" s="5" t="n">
        <v>6394</v>
      </c>
      <c r="G101" s="5" t="n">
        <v>0.163</v>
      </c>
      <c r="H101" s="5" t="n">
        <v>19</v>
      </c>
      <c r="I101" s="5" t="n">
        <v>91</v>
      </c>
      <c r="J101" s="5" t="n">
        <v>19.6</v>
      </c>
      <c r="K101" s="5" t="n">
        <v>0</v>
      </c>
      <c r="L101" s="5" t="n">
        <v>4.4</v>
      </c>
      <c r="M101" s="5" t="n">
        <v>691113.62</v>
      </c>
      <c r="N101" s="5" t="n">
        <v>135145.44</v>
      </c>
    </row>
    <row r="102" customFormat="false" ht="15" hidden="false" customHeight="true" outlineLevel="0" collapsed="false">
      <c r="A102" s="5" t="s">
        <v>48</v>
      </c>
      <c r="B102" s="6" t="n">
        <v>45689</v>
      </c>
      <c r="C102" s="5" t="s">
        <v>29</v>
      </c>
      <c r="D102" s="5" t="s">
        <v>30</v>
      </c>
      <c r="E102" s="5" t="n">
        <v>78839.39</v>
      </c>
      <c r="F102" s="5" t="n">
        <v>5150</v>
      </c>
      <c r="G102" s="5" t="n">
        <v>0.171</v>
      </c>
      <c r="H102" s="5" t="n">
        <v>13</v>
      </c>
      <c r="I102" s="5" t="n">
        <v>85.8</v>
      </c>
      <c r="J102" s="5" t="n">
        <v>7.57</v>
      </c>
      <c r="K102" s="5" t="n">
        <v>0</v>
      </c>
      <c r="L102" s="5" t="n">
        <v>4.3</v>
      </c>
      <c r="M102" s="5" t="n">
        <v>735509.4</v>
      </c>
      <c r="N102" s="5" t="n">
        <v>83895.96</v>
      </c>
    </row>
    <row r="103" customFormat="false" ht="15" hidden="false" customHeight="true" outlineLevel="0" collapsed="false">
      <c r="A103" s="5" t="s">
        <v>48</v>
      </c>
      <c r="B103" s="6" t="n">
        <v>45717</v>
      </c>
      <c r="C103" s="5" t="s">
        <v>29</v>
      </c>
      <c r="D103" s="5" t="s">
        <v>30</v>
      </c>
      <c r="E103" s="5" t="n">
        <v>38752.8</v>
      </c>
      <c r="F103" s="5" t="n">
        <v>4712</v>
      </c>
      <c r="G103" s="5" t="n">
        <v>0.075</v>
      </c>
      <c r="H103" s="5" t="n">
        <v>15</v>
      </c>
      <c r="I103" s="5" t="n">
        <v>89.7</v>
      </c>
      <c r="J103" s="5"/>
      <c r="K103" s="5" t="n">
        <v>0</v>
      </c>
      <c r="L103" s="5" t="n">
        <v>4.3</v>
      </c>
      <c r="M103" s="5" t="n">
        <v>605775.33</v>
      </c>
      <c r="N103" s="5" t="n">
        <v>107194.6</v>
      </c>
    </row>
    <row r="104" customFormat="false" ht="15" hidden="false" customHeight="true" outlineLevel="0" collapsed="false">
      <c r="A104" s="5" t="s">
        <v>48</v>
      </c>
      <c r="B104" s="6" t="n">
        <v>45748</v>
      </c>
      <c r="C104" s="5" t="s">
        <v>29</v>
      </c>
      <c r="D104" s="5" t="s">
        <v>30</v>
      </c>
      <c r="E104" s="5" t="n">
        <v>55101.1</v>
      </c>
      <c r="F104" s="5" t="n">
        <v>5281</v>
      </c>
      <c r="G104" s="5" t="n">
        <v>0.189</v>
      </c>
      <c r="H104" s="5" t="n">
        <v>11</v>
      </c>
      <c r="I104" s="5" t="n">
        <v>91</v>
      </c>
      <c r="J104" s="5" t="n">
        <v>2.7</v>
      </c>
      <c r="K104" s="5" t="n">
        <v>0</v>
      </c>
      <c r="L104" s="5" t="n">
        <v>4.4</v>
      </c>
      <c r="M104" s="5" t="n">
        <v>675177.68</v>
      </c>
      <c r="N104" s="5" t="n">
        <v>105628.68</v>
      </c>
    </row>
    <row r="105" customFormat="false" ht="15" hidden="false" customHeight="true" outlineLevel="0" collapsed="false">
      <c r="A105" s="5" t="s">
        <v>49</v>
      </c>
      <c r="B105" s="6" t="n">
        <v>45658</v>
      </c>
      <c r="C105" s="5" t="s">
        <v>17</v>
      </c>
      <c r="D105" s="5" t="s">
        <v>30</v>
      </c>
      <c r="E105" s="5" t="n">
        <v>53084.76</v>
      </c>
      <c r="F105" s="5" t="n">
        <v>3642</v>
      </c>
      <c r="G105" s="5" t="n">
        <v>0.15</v>
      </c>
      <c r="H105" s="5" t="n">
        <v>12</v>
      </c>
      <c r="I105" s="5" t="n">
        <v>91.4</v>
      </c>
      <c r="J105" s="5" t="n">
        <v>0.2</v>
      </c>
      <c r="K105" s="5" t="n">
        <v>0</v>
      </c>
      <c r="L105" s="5" t="n">
        <v>4.4</v>
      </c>
      <c r="M105" s="5" t="n">
        <v>635181.35</v>
      </c>
      <c r="N105" s="5" t="n">
        <v>83341.25</v>
      </c>
    </row>
    <row r="106" customFormat="false" ht="15" hidden="false" customHeight="true" outlineLevel="0" collapsed="false">
      <c r="A106" s="5" t="s">
        <v>49</v>
      </c>
      <c r="B106" s="6" t="n">
        <v>45689</v>
      </c>
      <c r="C106" s="5" t="s">
        <v>17</v>
      </c>
      <c r="D106" s="5" t="s">
        <v>30</v>
      </c>
      <c r="E106" s="5" t="n">
        <v>63101.59</v>
      </c>
      <c r="F106" s="5" t="n">
        <v>4373</v>
      </c>
      <c r="G106" s="5" t="n">
        <v>0.173</v>
      </c>
      <c r="H106" s="5" t="n">
        <v>14</v>
      </c>
      <c r="I106" s="5" t="n">
        <v>90.4</v>
      </c>
      <c r="J106" s="5" t="n">
        <v>7.87</v>
      </c>
      <c r="K106" s="5" t="n">
        <v>0</v>
      </c>
      <c r="L106" s="5" t="n">
        <v>4.7</v>
      </c>
      <c r="M106" s="5" t="n">
        <v>586626.94</v>
      </c>
      <c r="N106" s="5" t="n">
        <v>86498.55</v>
      </c>
    </row>
    <row r="107" customFormat="false" ht="15" hidden="false" customHeight="true" outlineLevel="0" collapsed="false">
      <c r="A107" s="5" t="s">
        <v>49</v>
      </c>
      <c r="B107" s="6" t="n">
        <v>45717</v>
      </c>
      <c r="C107" s="5" t="s">
        <v>17</v>
      </c>
      <c r="D107" s="5" t="s">
        <v>30</v>
      </c>
      <c r="E107" s="5" t="n">
        <v>90084.4</v>
      </c>
      <c r="F107" s="5" t="n">
        <v>6832</v>
      </c>
      <c r="G107" s="5" t="n">
        <v>0.185</v>
      </c>
      <c r="H107" s="5" t="n">
        <v>14</v>
      </c>
      <c r="I107" s="5" t="n">
        <v>80.5</v>
      </c>
      <c r="J107" s="5" t="n">
        <v>0.77</v>
      </c>
      <c r="K107" s="5" t="n">
        <v>1</v>
      </c>
      <c r="L107" s="5" t="n">
        <v>4.4</v>
      </c>
      <c r="M107" s="5" t="n">
        <v>740102.64</v>
      </c>
      <c r="N107" s="5" t="n">
        <v>114299.07</v>
      </c>
    </row>
    <row r="108" customFormat="false" ht="15" hidden="false" customHeight="true" outlineLevel="0" collapsed="false">
      <c r="A108" s="5" t="s">
        <v>49</v>
      </c>
      <c r="B108" s="6" t="n">
        <v>45748</v>
      </c>
      <c r="C108" s="5" t="s">
        <v>17</v>
      </c>
      <c r="D108" s="5" t="s">
        <v>30</v>
      </c>
      <c r="E108" s="5" t="n">
        <v>32266.64</v>
      </c>
      <c r="F108" s="5" t="n">
        <v>2414</v>
      </c>
      <c r="G108" s="5" t="n">
        <v>0.08</v>
      </c>
      <c r="H108" s="5" t="n">
        <v>7</v>
      </c>
      <c r="I108" s="5" t="n">
        <v>92.1</v>
      </c>
      <c r="J108" s="5" t="n">
        <v>1.48</v>
      </c>
      <c r="K108" s="5" t="n">
        <v>0</v>
      </c>
      <c r="L108" s="5" t="n">
        <v>5</v>
      </c>
      <c r="M108" s="5" t="n">
        <v>625514.04</v>
      </c>
      <c r="N108" s="5" t="n">
        <v>120685.08</v>
      </c>
    </row>
    <row r="109" customFormat="false" ht="15" hidden="false" customHeight="true" outlineLevel="0" collapsed="false">
      <c r="A109" s="5" t="s">
        <v>50</v>
      </c>
      <c r="B109" s="6" t="n">
        <v>45658</v>
      </c>
      <c r="C109" s="5" t="s">
        <v>29</v>
      </c>
      <c r="D109" s="5" t="s">
        <v>20</v>
      </c>
      <c r="E109" s="5" t="n">
        <v>57919.07</v>
      </c>
      <c r="F109" s="5" t="n">
        <v>7374</v>
      </c>
      <c r="G109" s="5" t="n">
        <v>0.103</v>
      </c>
      <c r="H109" s="5" t="n">
        <v>21</v>
      </c>
      <c r="I109" s="5" t="n">
        <v>82.3</v>
      </c>
      <c r="J109" s="5" t="n">
        <v>2.87</v>
      </c>
      <c r="K109" s="5" t="n">
        <v>0</v>
      </c>
      <c r="L109" s="5" t="n">
        <v>2.9</v>
      </c>
      <c r="M109" s="5" t="n">
        <v>727227.2</v>
      </c>
      <c r="N109" s="5" t="n">
        <v>121292.01</v>
      </c>
    </row>
    <row r="110" customFormat="false" ht="15" hidden="false" customHeight="true" outlineLevel="0" collapsed="false">
      <c r="A110" s="5" t="s">
        <v>50</v>
      </c>
      <c r="B110" s="6" t="n">
        <v>45689</v>
      </c>
      <c r="C110" s="5" t="s">
        <v>29</v>
      </c>
      <c r="D110" s="5" t="s">
        <v>20</v>
      </c>
      <c r="E110" s="5" t="n">
        <v>74679.35</v>
      </c>
      <c r="F110" s="5" t="n">
        <v>8739</v>
      </c>
      <c r="G110" s="5" t="n">
        <v>0.056</v>
      </c>
      <c r="H110" s="5" t="n">
        <v>21</v>
      </c>
      <c r="I110" s="5" t="n">
        <v>91.8</v>
      </c>
      <c r="J110" s="5" t="n">
        <v>2.83</v>
      </c>
      <c r="K110" s="5" t="n">
        <v>0</v>
      </c>
      <c r="L110" s="5" t="n">
        <v>3</v>
      </c>
      <c r="M110" s="5" t="n">
        <v>783797.89</v>
      </c>
      <c r="N110" s="5" t="n">
        <v>157620.7</v>
      </c>
    </row>
    <row r="111" customFormat="false" ht="15" hidden="false" customHeight="true" outlineLevel="0" collapsed="false">
      <c r="A111" s="5" t="s">
        <v>50</v>
      </c>
      <c r="B111" s="6" t="n">
        <v>45717</v>
      </c>
      <c r="C111" s="5" t="s">
        <v>29</v>
      </c>
      <c r="D111" s="5" t="s">
        <v>20</v>
      </c>
      <c r="E111" s="5" t="n">
        <v>64294.23</v>
      </c>
      <c r="F111" s="5" t="n">
        <v>6992</v>
      </c>
      <c r="G111" s="5" t="n">
        <v>0.133</v>
      </c>
      <c r="H111" s="5" t="n">
        <v>14</v>
      </c>
      <c r="I111" s="5" t="n">
        <v>94.1</v>
      </c>
      <c r="J111" s="5" t="n">
        <v>0.25</v>
      </c>
      <c r="K111" s="5" t="n">
        <v>0</v>
      </c>
      <c r="L111" s="5" t="n">
        <v>3</v>
      </c>
      <c r="M111" s="5" t="n">
        <v>795153.84</v>
      </c>
      <c r="N111" s="5" t="n">
        <v>143194.21</v>
      </c>
    </row>
    <row r="112" customFormat="false" ht="15" hidden="false" customHeight="true" outlineLevel="0" collapsed="false">
      <c r="A112" s="5" t="s">
        <v>50</v>
      </c>
      <c r="B112" s="6" t="n">
        <v>45748</v>
      </c>
      <c r="C112" s="5" t="s">
        <v>29</v>
      </c>
      <c r="D112" s="5" t="s">
        <v>20</v>
      </c>
      <c r="E112" s="5" t="n">
        <v>31042.03</v>
      </c>
      <c r="F112" s="5" t="n">
        <v>7107</v>
      </c>
      <c r="G112" s="5" t="n">
        <v>0.051</v>
      </c>
      <c r="H112" s="5" t="n">
        <v>15</v>
      </c>
      <c r="I112" s="5" t="n">
        <v>87</v>
      </c>
      <c r="J112" s="5" t="n">
        <v>13.33</v>
      </c>
      <c r="K112" s="5" t="n">
        <v>0</v>
      </c>
      <c r="L112" s="5" t="n">
        <v>3.2</v>
      </c>
      <c r="M112" s="5" t="n">
        <v>665594.94</v>
      </c>
      <c r="N112" s="5" t="n">
        <v>127597.34</v>
      </c>
    </row>
    <row r="113" customFormat="false" ht="15" hidden="false" customHeight="true" outlineLevel="0" collapsed="false">
      <c r="A113" s="5" t="s">
        <v>51</v>
      </c>
      <c r="B113" s="6" t="n">
        <v>45658</v>
      </c>
      <c r="C113" s="5" t="s">
        <v>17</v>
      </c>
      <c r="D113" s="5" t="s">
        <v>30</v>
      </c>
      <c r="E113" s="5" t="n">
        <v>75265.02</v>
      </c>
      <c r="F113" s="5" t="n">
        <v>6975</v>
      </c>
      <c r="G113" s="5" t="n">
        <v>0.157</v>
      </c>
      <c r="H113" s="5" t="n">
        <v>20</v>
      </c>
      <c r="I113" s="5" t="n">
        <v>73.8</v>
      </c>
      <c r="J113" s="5" t="n">
        <v>6.35</v>
      </c>
      <c r="K113" s="5" t="n">
        <v>1</v>
      </c>
      <c r="L113" s="5" t="n">
        <v>3.8</v>
      </c>
      <c r="M113" s="5" t="n">
        <v>709478.39</v>
      </c>
      <c r="N113" s="5" t="n">
        <v>71294.27</v>
      </c>
    </row>
    <row r="114" customFormat="false" ht="15" hidden="false" customHeight="true" outlineLevel="0" collapsed="false">
      <c r="A114" s="5" t="s">
        <v>51</v>
      </c>
      <c r="B114" s="6" t="n">
        <v>45689</v>
      </c>
      <c r="C114" s="5" t="s">
        <v>17</v>
      </c>
      <c r="D114" s="5" t="s">
        <v>30</v>
      </c>
      <c r="E114" s="5" t="n">
        <v>69411.7</v>
      </c>
      <c r="F114" s="5" t="n">
        <v>5493</v>
      </c>
      <c r="G114" s="5" t="n">
        <v>0.292</v>
      </c>
      <c r="H114" s="5" t="n">
        <v>13</v>
      </c>
      <c r="I114" s="5" t="n">
        <v>86.5</v>
      </c>
      <c r="J114" s="5" t="n">
        <v>6.69</v>
      </c>
      <c r="K114" s="5" t="n">
        <v>0</v>
      </c>
      <c r="L114" s="5" t="n">
        <v>3.8</v>
      </c>
      <c r="M114" s="5" t="n">
        <v>664162.49</v>
      </c>
      <c r="N114" s="5" t="n">
        <v>98291.06</v>
      </c>
    </row>
    <row r="115" customFormat="false" ht="15" hidden="false" customHeight="true" outlineLevel="0" collapsed="false">
      <c r="A115" s="5" t="s">
        <v>51</v>
      </c>
      <c r="B115" s="6" t="n">
        <v>45717</v>
      </c>
      <c r="C115" s="5" t="s">
        <v>17</v>
      </c>
      <c r="D115" s="5" t="s">
        <v>30</v>
      </c>
      <c r="E115" s="5" t="n">
        <v>51056.15</v>
      </c>
      <c r="F115" s="5" t="n">
        <v>5686</v>
      </c>
      <c r="G115" s="5" t="n">
        <v>0.089</v>
      </c>
      <c r="H115" s="5" t="n">
        <v>13</v>
      </c>
      <c r="I115" s="5" t="n">
        <v>89.9</v>
      </c>
      <c r="J115" s="5" t="n">
        <v>1.28</v>
      </c>
      <c r="K115" s="5" t="n">
        <v>0</v>
      </c>
      <c r="L115" s="5" t="n">
        <v>4.2</v>
      </c>
      <c r="M115" s="5" t="n">
        <v>633494.21</v>
      </c>
      <c r="N115" s="5" t="n">
        <v>105739.47</v>
      </c>
    </row>
    <row r="116" customFormat="false" ht="15" hidden="false" customHeight="true" outlineLevel="0" collapsed="false">
      <c r="A116" s="5" t="s">
        <v>51</v>
      </c>
      <c r="B116" s="6" t="n">
        <v>45748</v>
      </c>
      <c r="C116" s="5" t="s">
        <v>17</v>
      </c>
      <c r="D116" s="5" t="s">
        <v>30</v>
      </c>
      <c r="E116" s="5" t="n">
        <v>52758.01</v>
      </c>
      <c r="F116" s="5" t="n">
        <v>4063</v>
      </c>
      <c r="G116" s="5" t="n">
        <v>0.057</v>
      </c>
      <c r="H116" s="5" t="n">
        <v>12</v>
      </c>
      <c r="I116" s="5" t="n">
        <v>91.7</v>
      </c>
      <c r="J116" s="5" t="n">
        <v>0.92</v>
      </c>
      <c r="K116" s="5" t="n">
        <v>0</v>
      </c>
      <c r="L116" s="5" t="n">
        <v>3.5</v>
      </c>
      <c r="M116" s="5" t="n">
        <v>713611.16</v>
      </c>
      <c r="N116" s="5" t="n">
        <v>129717.18</v>
      </c>
    </row>
    <row r="117" customFormat="false" ht="15" hidden="false" customHeight="true" outlineLevel="0" collapsed="false">
      <c r="A117" s="5" t="s">
        <v>52</v>
      </c>
      <c r="B117" s="6" t="n">
        <v>45658</v>
      </c>
      <c r="C117" s="5" t="s">
        <v>29</v>
      </c>
      <c r="D117" s="5" t="s">
        <v>30</v>
      </c>
      <c r="E117" s="5" t="n">
        <v>61426.04</v>
      </c>
      <c r="F117" s="5" t="n">
        <v>8966</v>
      </c>
      <c r="G117" s="5" t="n">
        <v>0.173</v>
      </c>
      <c r="H117" s="5" t="n">
        <v>22</v>
      </c>
      <c r="I117" s="5" t="n">
        <v>76.4</v>
      </c>
      <c r="J117" s="5" t="n">
        <v>1.05</v>
      </c>
      <c r="K117" s="5" t="n">
        <v>0</v>
      </c>
      <c r="L117" s="5" t="n">
        <v>3.1</v>
      </c>
      <c r="M117" s="5" t="n">
        <v>778397.97</v>
      </c>
      <c r="N117" s="5" t="n">
        <v>120044.41</v>
      </c>
    </row>
    <row r="118" customFormat="false" ht="15" hidden="false" customHeight="true" outlineLevel="0" collapsed="false">
      <c r="A118" s="5" t="s">
        <v>52</v>
      </c>
      <c r="B118" s="6" t="n">
        <v>45689</v>
      </c>
      <c r="C118" s="5" t="s">
        <v>29</v>
      </c>
      <c r="D118" s="5" t="s">
        <v>30</v>
      </c>
      <c r="E118" s="5" t="n">
        <v>80176.34</v>
      </c>
      <c r="F118" s="5" t="n">
        <v>9489</v>
      </c>
      <c r="G118" s="5" t="n">
        <v>0.142</v>
      </c>
      <c r="H118" s="5" t="n">
        <v>22</v>
      </c>
      <c r="I118" s="5" t="n">
        <v>94.3</v>
      </c>
      <c r="J118" s="5" t="n">
        <v>2.67</v>
      </c>
      <c r="K118" s="5" t="n">
        <v>0</v>
      </c>
      <c r="L118" s="5" t="n">
        <v>3.5</v>
      </c>
      <c r="M118" s="5" t="n">
        <v>873380.02</v>
      </c>
      <c r="N118" s="5" t="n">
        <v>149734.76</v>
      </c>
    </row>
    <row r="119" customFormat="false" ht="15" hidden="false" customHeight="true" outlineLevel="0" collapsed="false">
      <c r="A119" s="5" t="s">
        <v>52</v>
      </c>
      <c r="B119" s="6" t="n">
        <v>45717</v>
      </c>
      <c r="C119" s="5" t="s">
        <v>29</v>
      </c>
      <c r="D119" s="5" t="s">
        <v>30</v>
      </c>
      <c r="E119" s="5" t="n">
        <v>33605.18</v>
      </c>
      <c r="F119" s="5" t="n">
        <v>9225</v>
      </c>
      <c r="G119" s="5" t="n">
        <v>0.159</v>
      </c>
      <c r="H119" s="5" t="n">
        <v>23</v>
      </c>
      <c r="I119" s="5" t="n">
        <v>88.4</v>
      </c>
      <c r="J119" s="5" t="n">
        <v>5.91</v>
      </c>
      <c r="K119" s="5" t="n">
        <v>0</v>
      </c>
      <c r="L119" s="5" t="n">
        <v>2.8</v>
      </c>
      <c r="M119" s="5" t="n">
        <v>697287.9</v>
      </c>
      <c r="N119" s="5" t="n">
        <v>128208.33</v>
      </c>
    </row>
    <row r="120" customFormat="false" ht="15" hidden="false" customHeight="true" outlineLevel="0" collapsed="false">
      <c r="A120" s="5" t="s">
        <v>52</v>
      </c>
      <c r="B120" s="6" t="n">
        <v>45748</v>
      </c>
      <c r="C120" s="5" t="s">
        <v>29</v>
      </c>
      <c r="D120" s="5" t="s">
        <v>30</v>
      </c>
      <c r="E120" s="5" t="n">
        <v>25990.54</v>
      </c>
      <c r="F120" s="5" t="n">
        <v>9249</v>
      </c>
      <c r="G120" s="5" t="n">
        <v>0.139</v>
      </c>
      <c r="H120" s="5" t="n">
        <v>23</v>
      </c>
      <c r="I120" s="5" t="n">
        <v>92.5</v>
      </c>
      <c r="J120" s="5" t="n">
        <v>6.37</v>
      </c>
      <c r="K120" s="5" t="n">
        <v>0</v>
      </c>
      <c r="L120" s="5" t="n">
        <v>3.3</v>
      </c>
      <c r="M120" s="5" t="n">
        <v>718074.79</v>
      </c>
      <c r="N120" s="5" t="n">
        <v>115819.87</v>
      </c>
    </row>
    <row r="121" customFormat="false" ht="15" hidden="false" customHeight="true" outlineLevel="0" collapsed="false">
      <c r="A121" s="5" t="s">
        <v>53</v>
      </c>
      <c r="B121" s="6" t="n">
        <v>45658</v>
      </c>
      <c r="C121" s="5" t="s">
        <v>29</v>
      </c>
      <c r="D121" s="5" t="s">
        <v>18</v>
      </c>
      <c r="E121" s="5" t="n">
        <v>43685.14</v>
      </c>
      <c r="F121" s="5" t="n">
        <v>7821</v>
      </c>
      <c r="G121" s="5" t="n">
        <v>0.19</v>
      </c>
      <c r="H121" s="5" t="n">
        <v>17</v>
      </c>
      <c r="I121" s="5" t="n">
        <v>91</v>
      </c>
      <c r="J121" s="5" t="n">
        <v>2.49</v>
      </c>
      <c r="K121" s="5" t="n">
        <v>1</v>
      </c>
      <c r="L121" s="5" t="n">
        <v>4.7</v>
      </c>
      <c r="M121" s="5" t="n">
        <v>714942.43</v>
      </c>
      <c r="N121" s="5" t="n">
        <v>94697.71</v>
      </c>
    </row>
    <row r="122" customFormat="false" ht="15" hidden="false" customHeight="true" outlineLevel="0" collapsed="false">
      <c r="A122" s="5" t="s">
        <v>53</v>
      </c>
      <c r="B122" s="6" t="n">
        <v>45689</v>
      </c>
      <c r="C122" s="5" t="s">
        <v>29</v>
      </c>
      <c r="D122" s="5" t="s">
        <v>18</v>
      </c>
      <c r="E122" s="5" t="n">
        <v>57360.01</v>
      </c>
      <c r="F122" s="5" t="n">
        <v>8434</v>
      </c>
      <c r="G122" s="5" t="n">
        <v>0.151</v>
      </c>
      <c r="H122" s="5" t="n">
        <v>19</v>
      </c>
      <c r="I122" s="5" t="n">
        <v>84.1</v>
      </c>
      <c r="J122" s="5" t="n">
        <v>1.56</v>
      </c>
      <c r="K122" s="5" t="n">
        <v>0</v>
      </c>
      <c r="L122" s="5" t="n">
        <v>4.7</v>
      </c>
      <c r="M122" s="5" t="n">
        <v>820519.04</v>
      </c>
      <c r="N122" s="5" t="n">
        <v>99035.88</v>
      </c>
    </row>
    <row r="123" customFormat="false" ht="15" hidden="false" customHeight="true" outlineLevel="0" collapsed="false">
      <c r="A123" s="5" t="s">
        <v>53</v>
      </c>
      <c r="B123" s="6" t="n">
        <v>45717</v>
      </c>
      <c r="C123" s="5" t="s">
        <v>29</v>
      </c>
      <c r="D123" s="5" t="s">
        <v>18</v>
      </c>
      <c r="E123" s="5" t="n">
        <v>42415.47</v>
      </c>
      <c r="F123" s="5" t="n">
        <v>8512</v>
      </c>
      <c r="G123" s="5" t="n">
        <v>0.133</v>
      </c>
      <c r="H123" s="5" t="n">
        <v>18</v>
      </c>
      <c r="I123" s="5" t="n">
        <v>96.8</v>
      </c>
      <c r="J123" s="5" t="n">
        <v>14.95</v>
      </c>
      <c r="K123" s="5" t="n">
        <v>0</v>
      </c>
      <c r="L123" s="5" t="n">
        <v>4.6</v>
      </c>
      <c r="M123" s="5" t="n">
        <v>684217.32</v>
      </c>
      <c r="N123" s="5" t="n">
        <v>136217.19</v>
      </c>
    </row>
    <row r="124" customFormat="false" ht="15" hidden="false" customHeight="true" outlineLevel="0" collapsed="false">
      <c r="A124" s="5" t="s">
        <v>53</v>
      </c>
      <c r="B124" s="6" t="n">
        <v>45748</v>
      </c>
      <c r="C124" s="5" t="s">
        <v>29</v>
      </c>
      <c r="D124" s="5" t="s">
        <v>18</v>
      </c>
      <c r="E124" s="5" t="n">
        <v>54968.98</v>
      </c>
      <c r="F124" s="5" t="n">
        <v>7816</v>
      </c>
      <c r="G124" s="5" t="n">
        <v>0.232</v>
      </c>
      <c r="H124" s="5" t="n">
        <v>19</v>
      </c>
      <c r="I124" s="5" t="n">
        <v>95.7</v>
      </c>
      <c r="J124" s="5" t="n">
        <v>7.85</v>
      </c>
      <c r="K124" s="5" t="n">
        <v>0</v>
      </c>
      <c r="L124" s="5" t="n">
        <v>4.7</v>
      </c>
      <c r="M124" s="5" t="n">
        <v>735480.19</v>
      </c>
      <c r="N124" s="5" t="n">
        <v>88342.11</v>
      </c>
    </row>
    <row r="125" customFormat="false" ht="15" hidden="false" customHeight="true" outlineLevel="0" collapsed="false">
      <c r="A125" s="5" t="s">
        <v>54</v>
      </c>
      <c r="B125" s="6" t="n">
        <v>45658</v>
      </c>
      <c r="C125" s="5" t="s">
        <v>22</v>
      </c>
      <c r="D125" s="5" t="s">
        <v>20</v>
      </c>
      <c r="E125" s="5" t="n">
        <v>43896.13</v>
      </c>
      <c r="F125" s="5" t="n">
        <v>3853</v>
      </c>
      <c r="G125" s="5" t="n">
        <v>0.088</v>
      </c>
      <c r="H125" s="5" t="n">
        <v>13</v>
      </c>
      <c r="I125" s="5" t="n">
        <v>83</v>
      </c>
      <c r="J125" s="5" t="n">
        <v>6.8</v>
      </c>
      <c r="K125" s="5" t="n">
        <v>0</v>
      </c>
      <c r="L125" s="5" t="n">
        <v>4.4</v>
      </c>
      <c r="M125" s="5" t="n">
        <v>509484.81</v>
      </c>
      <c r="N125" s="5" t="n">
        <v>85742.36</v>
      </c>
    </row>
    <row r="126" customFormat="false" ht="15" hidden="false" customHeight="true" outlineLevel="0" collapsed="false">
      <c r="A126" s="5" t="s">
        <v>54</v>
      </c>
      <c r="B126" s="6" t="n">
        <v>45689</v>
      </c>
      <c r="C126" s="5" t="s">
        <v>22</v>
      </c>
      <c r="D126" s="5" t="s">
        <v>20</v>
      </c>
      <c r="E126" s="5" t="n">
        <v>83044.17</v>
      </c>
      <c r="F126" s="5" t="n">
        <v>3694</v>
      </c>
      <c r="G126" s="5" t="n">
        <v>0</v>
      </c>
      <c r="H126" s="5" t="n">
        <v>14</v>
      </c>
      <c r="I126" s="5" t="n">
        <v>89.4</v>
      </c>
      <c r="J126" s="5" t="n">
        <v>2.2</v>
      </c>
      <c r="K126" s="5" t="n">
        <v>0</v>
      </c>
      <c r="L126" s="5" t="n">
        <v>3.7</v>
      </c>
      <c r="M126" s="5" t="n">
        <v>654317.09</v>
      </c>
      <c r="N126" s="5" t="n">
        <v>121446.89</v>
      </c>
    </row>
    <row r="127" customFormat="false" ht="15" hidden="false" customHeight="true" outlineLevel="0" collapsed="false">
      <c r="A127" s="5" t="s">
        <v>54</v>
      </c>
      <c r="B127" s="6" t="n">
        <v>45717</v>
      </c>
      <c r="C127" s="5" t="s">
        <v>22</v>
      </c>
      <c r="D127" s="5" t="s">
        <v>20</v>
      </c>
      <c r="E127" s="5" t="n">
        <v>48396.13</v>
      </c>
      <c r="F127" s="5" t="n">
        <v>4423</v>
      </c>
      <c r="G127" s="5" t="n">
        <v>0.069</v>
      </c>
      <c r="H127" s="5" t="n">
        <v>15</v>
      </c>
      <c r="I127" s="5" t="n">
        <v>85.7</v>
      </c>
      <c r="J127" s="5" t="n">
        <v>1.88</v>
      </c>
      <c r="K127" s="5" t="n">
        <v>0</v>
      </c>
      <c r="L127" s="5" t="n">
        <v>3.9</v>
      </c>
      <c r="M127" s="5" t="n">
        <v>557487.26</v>
      </c>
      <c r="N127" s="5" t="n">
        <v>76432.19</v>
      </c>
    </row>
    <row r="128" customFormat="false" ht="15" hidden="false" customHeight="true" outlineLevel="0" collapsed="false">
      <c r="A128" s="5" t="s">
        <v>54</v>
      </c>
      <c r="B128" s="6" t="n">
        <v>45748</v>
      </c>
      <c r="C128" s="5" t="s">
        <v>22</v>
      </c>
      <c r="D128" s="5" t="s">
        <v>20</v>
      </c>
      <c r="E128" s="5" t="n">
        <v>19063.48</v>
      </c>
      <c r="F128" s="5" t="n">
        <v>1906</v>
      </c>
      <c r="G128" s="5" t="n">
        <v>0.216</v>
      </c>
      <c r="H128" s="5" t="n">
        <v>10</v>
      </c>
      <c r="I128" s="5" t="n">
        <v>97.8</v>
      </c>
      <c r="J128" s="5" t="n">
        <v>15.79</v>
      </c>
      <c r="K128" s="5" t="n">
        <v>0</v>
      </c>
      <c r="L128" s="5" t="n">
        <v>4.4</v>
      </c>
      <c r="M128" s="5" t="n">
        <v>441275.42</v>
      </c>
      <c r="N128" s="5" t="n">
        <v>58234.87</v>
      </c>
    </row>
    <row r="129" customFormat="false" ht="15" hidden="false" customHeight="true" outlineLevel="0" collapsed="false">
      <c r="A129" s="5" t="s">
        <v>55</v>
      </c>
      <c r="B129" s="6" t="n">
        <v>45658</v>
      </c>
      <c r="C129" s="5" t="s">
        <v>26</v>
      </c>
      <c r="D129" s="5" t="s">
        <v>20</v>
      </c>
      <c r="E129" s="5" t="n">
        <v>61541.21</v>
      </c>
      <c r="F129" s="5" t="n">
        <v>10396</v>
      </c>
      <c r="G129" s="5" t="n">
        <v>0.123</v>
      </c>
      <c r="H129" s="5" t="n">
        <v>25</v>
      </c>
      <c r="I129" s="5" t="n">
        <v>88.1</v>
      </c>
      <c r="J129" s="5" t="n">
        <v>2.34</v>
      </c>
      <c r="K129" s="5" t="n">
        <v>1</v>
      </c>
      <c r="L129" s="5" t="n">
        <v>4.8</v>
      </c>
      <c r="M129" s="5" t="n">
        <v>914544.17</v>
      </c>
      <c r="N129" s="5" t="n">
        <v>79831.73</v>
      </c>
    </row>
    <row r="130" customFormat="false" ht="15" hidden="false" customHeight="true" outlineLevel="0" collapsed="false">
      <c r="A130" s="5" t="s">
        <v>55</v>
      </c>
      <c r="B130" s="6" t="n">
        <v>45689</v>
      </c>
      <c r="C130" s="5" t="s">
        <v>26</v>
      </c>
      <c r="D130" s="5" t="s">
        <v>20</v>
      </c>
      <c r="E130" s="5" t="n">
        <v>44747</v>
      </c>
      <c r="F130" s="5" t="n">
        <v>11076</v>
      </c>
      <c r="G130" s="5" t="n">
        <v>0.176</v>
      </c>
      <c r="H130" s="5" t="n">
        <v>27</v>
      </c>
      <c r="I130" s="5" t="n">
        <v>98.3</v>
      </c>
      <c r="J130" s="5" t="n">
        <v>0.54</v>
      </c>
      <c r="K130" s="5" t="n">
        <v>0</v>
      </c>
      <c r="L130" s="5" t="n">
        <v>4.4</v>
      </c>
      <c r="M130" s="5" t="n">
        <v>842439.67</v>
      </c>
      <c r="N130" s="5" t="n">
        <v>169983.63</v>
      </c>
    </row>
    <row r="131" customFormat="false" ht="15" hidden="false" customHeight="true" outlineLevel="0" collapsed="false">
      <c r="A131" s="5" t="s">
        <v>55</v>
      </c>
      <c r="B131" s="6" t="n">
        <v>45717</v>
      </c>
      <c r="C131" s="5" t="s">
        <v>26</v>
      </c>
      <c r="D131" s="5" t="s">
        <v>20</v>
      </c>
      <c r="E131" s="5" t="n">
        <v>56517.9</v>
      </c>
      <c r="F131" s="5" t="n">
        <v>9574</v>
      </c>
      <c r="G131" s="5" t="n">
        <v>0.204</v>
      </c>
      <c r="H131" s="5" t="n">
        <v>20</v>
      </c>
      <c r="I131" s="5" t="n">
        <v>88.2</v>
      </c>
      <c r="J131" s="5" t="n">
        <v>5.37</v>
      </c>
      <c r="K131" s="5" t="n">
        <v>1</v>
      </c>
      <c r="L131" s="5" t="n">
        <v>4.9</v>
      </c>
      <c r="M131" s="5" t="n">
        <v>842157.92</v>
      </c>
      <c r="N131" s="5" t="n">
        <v>107348.22</v>
      </c>
    </row>
    <row r="132" customFormat="false" ht="15" hidden="false" customHeight="true" outlineLevel="0" collapsed="false">
      <c r="A132" s="5" t="s">
        <v>55</v>
      </c>
      <c r="B132" s="6" t="n">
        <v>45748</v>
      </c>
      <c r="C132" s="5" t="s">
        <v>26</v>
      </c>
      <c r="D132" s="5" t="s">
        <v>20</v>
      </c>
      <c r="E132" s="5" t="n">
        <v>37828.5</v>
      </c>
      <c r="F132" s="5" t="n">
        <v>8221</v>
      </c>
      <c r="G132" s="5" t="n">
        <v>0.096</v>
      </c>
      <c r="H132" s="5" t="n">
        <v>19</v>
      </c>
      <c r="I132" s="5" t="n">
        <v>81.5</v>
      </c>
      <c r="J132" s="5" t="n">
        <v>3.19</v>
      </c>
      <c r="K132" s="5" t="n">
        <v>0</v>
      </c>
      <c r="L132" s="5" t="n">
        <v>4.8</v>
      </c>
      <c r="M132" s="5" t="n">
        <v>697155.3</v>
      </c>
      <c r="N132" s="5" t="n">
        <v>136408.54</v>
      </c>
    </row>
    <row r="133" customFormat="false" ht="15" hidden="false" customHeight="true" outlineLevel="0" collapsed="false">
      <c r="A133" s="5" t="s">
        <v>56</v>
      </c>
      <c r="B133" s="6" t="n">
        <v>45658</v>
      </c>
      <c r="C133" s="5" t="s">
        <v>17</v>
      </c>
      <c r="D133" s="5" t="s">
        <v>20</v>
      </c>
      <c r="E133" s="5" t="n">
        <v>66250.53</v>
      </c>
      <c r="F133" s="5" t="n">
        <v>10618</v>
      </c>
      <c r="G133" s="5" t="n">
        <v>0.142</v>
      </c>
      <c r="H133" s="5" t="n">
        <v>27</v>
      </c>
      <c r="I133" s="5" t="n">
        <v>88.3</v>
      </c>
      <c r="J133" s="5" t="n">
        <v>1.1</v>
      </c>
      <c r="K133" s="5" t="n">
        <v>1</v>
      </c>
      <c r="L133" s="5" t="n">
        <v>4.4</v>
      </c>
      <c r="M133" s="5" t="n">
        <v>849018.3</v>
      </c>
      <c r="N133" s="5" t="n">
        <v>149035.13</v>
      </c>
    </row>
    <row r="134" customFormat="false" ht="15" hidden="false" customHeight="true" outlineLevel="0" collapsed="false">
      <c r="A134" s="5" t="s">
        <v>56</v>
      </c>
      <c r="B134" s="6" t="n">
        <v>45689</v>
      </c>
      <c r="C134" s="5" t="s">
        <v>17</v>
      </c>
      <c r="D134" s="5" t="s">
        <v>20</v>
      </c>
      <c r="E134" s="5" t="n">
        <v>68410.93</v>
      </c>
      <c r="F134" s="5" t="n">
        <v>10596</v>
      </c>
      <c r="G134" s="5" t="n">
        <v>0.207</v>
      </c>
      <c r="H134" s="5" t="n">
        <v>25</v>
      </c>
      <c r="I134" s="5" t="n">
        <v>81.2</v>
      </c>
      <c r="J134" s="5" t="n">
        <v>0.21</v>
      </c>
      <c r="K134" s="5" t="n">
        <v>0</v>
      </c>
      <c r="L134" s="5" t="n">
        <v>4</v>
      </c>
      <c r="M134" s="5" t="n">
        <v>801830.35</v>
      </c>
      <c r="N134" s="5" t="n">
        <v>114875.32</v>
      </c>
    </row>
    <row r="135" customFormat="false" ht="15" hidden="false" customHeight="true" outlineLevel="0" collapsed="false">
      <c r="A135" s="5" t="s">
        <v>56</v>
      </c>
      <c r="B135" s="6" t="n">
        <v>45717</v>
      </c>
      <c r="C135" s="5" t="s">
        <v>17</v>
      </c>
      <c r="D135" s="5" t="s">
        <v>20</v>
      </c>
      <c r="E135" s="5" t="n">
        <v>50735.63</v>
      </c>
      <c r="F135" s="5" t="n">
        <v>9619</v>
      </c>
      <c r="G135" s="5" t="n">
        <v>0.144</v>
      </c>
      <c r="H135" s="5" t="n">
        <v>19</v>
      </c>
      <c r="I135" s="5" t="n">
        <v>93.8</v>
      </c>
      <c r="J135" s="5" t="n">
        <v>5.12</v>
      </c>
      <c r="K135" s="5" t="n">
        <v>1</v>
      </c>
      <c r="L135" s="5" t="n">
        <v>4.5</v>
      </c>
      <c r="M135" s="5" t="n">
        <v>725235.28</v>
      </c>
      <c r="N135" s="5" t="n">
        <v>121632.24</v>
      </c>
    </row>
    <row r="136" customFormat="false" ht="15" hidden="false" customHeight="true" outlineLevel="0" collapsed="false">
      <c r="A136" s="5" t="s">
        <v>56</v>
      </c>
      <c r="B136" s="6" t="n">
        <v>45748</v>
      </c>
      <c r="C136" s="5" t="s">
        <v>17</v>
      </c>
      <c r="D136" s="5" t="s">
        <v>20</v>
      </c>
      <c r="E136" s="5" t="n">
        <v>66455.8</v>
      </c>
      <c r="F136" s="5" t="n">
        <v>10836</v>
      </c>
      <c r="G136" s="5" t="n">
        <v>0.089</v>
      </c>
      <c r="H136" s="5" t="n">
        <v>25</v>
      </c>
      <c r="I136" s="5" t="n">
        <v>85</v>
      </c>
      <c r="J136" s="5" t="n">
        <v>9.77</v>
      </c>
      <c r="K136" s="5" t="n">
        <v>0</v>
      </c>
      <c r="L136" s="5" t="n">
        <v>4.5</v>
      </c>
      <c r="M136" s="5" t="n">
        <v>811452.72</v>
      </c>
      <c r="N136" s="5" t="n">
        <v>131325.67</v>
      </c>
    </row>
    <row r="137" customFormat="false" ht="15" hidden="false" customHeight="true" outlineLevel="0" collapsed="false">
      <c r="A137" s="5" t="s">
        <v>57</v>
      </c>
      <c r="B137" s="6" t="n">
        <v>45658</v>
      </c>
      <c r="C137" s="5" t="s">
        <v>22</v>
      </c>
      <c r="D137" s="5" t="s">
        <v>20</v>
      </c>
      <c r="E137" s="5" t="n">
        <v>70276.28</v>
      </c>
      <c r="F137" s="5" t="n">
        <v>3043</v>
      </c>
      <c r="G137" s="5" t="n">
        <v>0.079</v>
      </c>
      <c r="H137" s="5" t="n">
        <v>9</v>
      </c>
      <c r="I137" s="5" t="n">
        <v>87.9</v>
      </c>
      <c r="J137" s="5" t="n">
        <v>3.77</v>
      </c>
      <c r="K137" s="5" t="n">
        <v>0</v>
      </c>
      <c r="L137" s="5" t="n">
        <v>4.4</v>
      </c>
      <c r="M137" s="5" t="n">
        <v>527300.13</v>
      </c>
      <c r="N137" s="5" t="n">
        <v>84197.87</v>
      </c>
    </row>
    <row r="138" customFormat="false" ht="15" hidden="false" customHeight="true" outlineLevel="0" collapsed="false">
      <c r="A138" s="5" t="s">
        <v>57</v>
      </c>
      <c r="B138" s="6" t="n">
        <v>45689</v>
      </c>
      <c r="C138" s="5" t="s">
        <v>22</v>
      </c>
      <c r="D138" s="5" t="s">
        <v>20</v>
      </c>
      <c r="E138" s="5" t="n">
        <v>22071.64</v>
      </c>
      <c r="F138" s="5" t="n">
        <v>1814</v>
      </c>
      <c r="G138" s="5" t="n">
        <v>0.196</v>
      </c>
      <c r="H138" s="5" t="n">
        <v>8</v>
      </c>
      <c r="I138" s="5" t="n">
        <v>81.1</v>
      </c>
      <c r="J138" s="5" t="n">
        <v>0.78</v>
      </c>
      <c r="K138" s="5" t="n">
        <v>0</v>
      </c>
      <c r="L138" s="5"/>
      <c r="M138" s="5" t="n">
        <v>400831.65</v>
      </c>
      <c r="N138" s="5" t="n">
        <v>70979.31</v>
      </c>
    </row>
    <row r="139" customFormat="false" ht="15" hidden="false" customHeight="true" outlineLevel="0" collapsed="false">
      <c r="A139" s="5" t="s">
        <v>57</v>
      </c>
      <c r="B139" s="6" t="n">
        <v>45717</v>
      </c>
      <c r="C139" s="5" t="s">
        <v>22</v>
      </c>
      <c r="D139" s="5" t="s">
        <v>20</v>
      </c>
      <c r="E139" s="5" t="n">
        <v>52285.45</v>
      </c>
      <c r="F139" s="5" t="n">
        <v>3618</v>
      </c>
      <c r="G139" s="5" t="n">
        <v>0.086</v>
      </c>
      <c r="H139" s="5" t="n">
        <v>11</v>
      </c>
      <c r="I139" s="5" t="n">
        <v>95.6</v>
      </c>
      <c r="J139" s="5" t="n">
        <v>5.17</v>
      </c>
      <c r="K139" s="5" t="n">
        <v>1</v>
      </c>
      <c r="L139" s="5" t="n">
        <v>4.4</v>
      </c>
      <c r="M139" s="5" t="n">
        <v>593247.25</v>
      </c>
      <c r="N139" s="5" t="n">
        <v>81240.29</v>
      </c>
    </row>
    <row r="140" customFormat="false" ht="15" hidden="false" customHeight="true" outlineLevel="0" collapsed="false">
      <c r="A140" s="5" t="s">
        <v>57</v>
      </c>
      <c r="B140" s="6" t="n">
        <v>45748</v>
      </c>
      <c r="C140" s="5" t="s">
        <v>22</v>
      </c>
      <c r="D140" s="5" t="s">
        <v>20</v>
      </c>
      <c r="E140" s="5" t="n">
        <v>70366.76</v>
      </c>
      <c r="F140" s="5" t="n">
        <v>1963</v>
      </c>
      <c r="G140" s="5" t="n">
        <v>0.182</v>
      </c>
      <c r="H140" s="5" t="n">
        <v>8</v>
      </c>
      <c r="I140" s="5" t="n">
        <v>89.8</v>
      </c>
      <c r="J140" s="5" t="n">
        <v>3.2</v>
      </c>
      <c r="K140" s="5" t="n">
        <v>0</v>
      </c>
      <c r="L140" s="5" t="n">
        <v>4.6</v>
      </c>
      <c r="M140" s="5" t="n">
        <v>529075.95</v>
      </c>
      <c r="N140" s="5" t="n">
        <v>95978.83</v>
      </c>
    </row>
    <row r="141" customFormat="false" ht="15" hidden="false" customHeight="true" outlineLevel="0" collapsed="false">
      <c r="A141" s="5" t="s">
        <v>58</v>
      </c>
      <c r="B141" s="6" t="n">
        <v>45658</v>
      </c>
      <c r="C141" s="5" t="s">
        <v>26</v>
      </c>
      <c r="D141" s="5" t="s">
        <v>18</v>
      </c>
      <c r="E141" s="5" t="n">
        <v>71320.66</v>
      </c>
      <c r="F141" s="5" t="n">
        <v>7888</v>
      </c>
      <c r="G141" s="5" t="n">
        <v>0.048</v>
      </c>
      <c r="H141" s="5" t="n">
        <v>20</v>
      </c>
      <c r="I141" s="5" t="n">
        <v>78.1</v>
      </c>
      <c r="J141" s="5" t="n">
        <v>3.4</v>
      </c>
      <c r="K141" s="5" t="n">
        <v>0</v>
      </c>
      <c r="L141" s="5"/>
      <c r="M141" s="5" t="n">
        <v>633638.03</v>
      </c>
      <c r="N141" s="5" t="n">
        <v>99402.01</v>
      </c>
    </row>
    <row r="142" customFormat="false" ht="15" hidden="false" customHeight="true" outlineLevel="0" collapsed="false">
      <c r="A142" s="5" t="s">
        <v>58</v>
      </c>
      <c r="B142" s="6" t="n">
        <v>45689</v>
      </c>
      <c r="C142" s="5" t="s">
        <v>26</v>
      </c>
      <c r="D142" s="5" t="s">
        <v>18</v>
      </c>
      <c r="E142" s="5" t="n">
        <v>75109.67</v>
      </c>
      <c r="F142" s="5" t="n">
        <v>6244</v>
      </c>
      <c r="G142" s="5" t="n">
        <v>0.079</v>
      </c>
      <c r="H142" s="5" t="n">
        <v>15</v>
      </c>
      <c r="I142" s="5" t="n">
        <v>96.3</v>
      </c>
      <c r="J142" s="5" t="n">
        <v>7.38</v>
      </c>
      <c r="K142" s="5" t="n">
        <v>0</v>
      </c>
      <c r="L142" s="5" t="n">
        <v>3.7</v>
      </c>
      <c r="M142" s="5" t="n">
        <v>743348.84</v>
      </c>
      <c r="N142" s="5" t="n">
        <v>104186.09</v>
      </c>
    </row>
    <row r="143" customFormat="false" ht="15" hidden="false" customHeight="true" outlineLevel="0" collapsed="false">
      <c r="A143" s="5" t="s">
        <v>58</v>
      </c>
      <c r="B143" s="6" t="n">
        <v>45717</v>
      </c>
      <c r="C143" s="5" t="s">
        <v>26</v>
      </c>
      <c r="D143" s="5" t="s">
        <v>18</v>
      </c>
      <c r="E143" s="5" t="n">
        <v>69779</v>
      </c>
      <c r="F143" s="5" t="n">
        <v>6544</v>
      </c>
      <c r="G143" s="5" t="n">
        <v>0.152</v>
      </c>
      <c r="H143" s="5" t="n">
        <v>18</v>
      </c>
      <c r="I143" s="5" t="n">
        <v>90.2</v>
      </c>
      <c r="J143" s="5" t="n">
        <v>0.85</v>
      </c>
      <c r="K143" s="5" t="n">
        <v>1</v>
      </c>
      <c r="L143" s="5" t="n">
        <v>3.3</v>
      </c>
      <c r="M143" s="5" t="n">
        <v>758827.64</v>
      </c>
      <c r="N143" s="5" t="n">
        <v>161439.48</v>
      </c>
    </row>
    <row r="144" customFormat="false" ht="15" hidden="false" customHeight="true" outlineLevel="0" collapsed="false">
      <c r="A144" s="5" t="s">
        <v>58</v>
      </c>
      <c r="B144" s="6" t="n">
        <v>45748</v>
      </c>
      <c r="C144" s="5" t="s">
        <v>26</v>
      </c>
      <c r="D144" s="5" t="s">
        <v>18</v>
      </c>
      <c r="E144" s="5" t="n">
        <v>44211.95</v>
      </c>
      <c r="F144" s="5" t="n">
        <v>5465</v>
      </c>
      <c r="G144" s="5" t="n">
        <v>0.187</v>
      </c>
      <c r="H144" s="5" t="n">
        <v>12</v>
      </c>
      <c r="I144" s="5" t="n">
        <v>90</v>
      </c>
      <c r="J144" s="5" t="n">
        <v>2.89</v>
      </c>
      <c r="K144" s="5" t="n">
        <v>0</v>
      </c>
      <c r="L144" s="5" t="n">
        <v>3.6</v>
      </c>
      <c r="M144" s="5" t="n">
        <v>646559.71</v>
      </c>
      <c r="N144" s="5" t="n">
        <v>97981.75</v>
      </c>
    </row>
    <row r="145" customFormat="false" ht="15" hidden="false" customHeight="true" outlineLevel="0" collapsed="false">
      <c r="A145" s="5" t="s">
        <v>59</v>
      </c>
      <c r="B145" s="6" t="n">
        <v>45658</v>
      </c>
      <c r="C145" s="5" t="s">
        <v>29</v>
      </c>
      <c r="D145" s="5" t="s">
        <v>20</v>
      </c>
      <c r="E145" s="5" t="n">
        <v>51430.31</v>
      </c>
      <c r="F145" s="5" t="n">
        <v>6427</v>
      </c>
      <c r="G145" s="5" t="n">
        <v>0.234</v>
      </c>
      <c r="H145" s="5" t="n">
        <v>14</v>
      </c>
      <c r="I145" s="5" t="n">
        <v>88.8</v>
      </c>
      <c r="J145" s="5" t="n">
        <v>0.77</v>
      </c>
      <c r="K145" s="5" t="n">
        <v>0</v>
      </c>
      <c r="L145" s="5" t="n">
        <v>4.1</v>
      </c>
      <c r="M145" s="5" t="n">
        <v>715890.53</v>
      </c>
      <c r="N145" s="5" t="n">
        <v>109032.15</v>
      </c>
    </row>
    <row r="146" customFormat="false" ht="15" hidden="false" customHeight="true" outlineLevel="0" collapsed="false">
      <c r="A146" s="5" t="s">
        <v>59</v>
      </c>
      <c r="B146" s="6" t="n">
        <v>45689</v>
      </c>
      <c r="C146" s="5" t="s">
        <v>29</v>
      </c>
      <c r="D146" s="5" t="s">
        <v>20</v>
      </c>
      <c r="E146" s="5" t="n">
        <v>45706.49</v>
      </c>
      <c r="F146" s="5" t="n">
        <v>6704</v>
      </c>
      <c r="G146" s="5" t="n">
        <v>0.038</v>
      </c>
      <c r="H146" s="5" t="n">
        <v>15</v>
      </c>
      <c r="I146" s="5" t="n">
        <v>94.2</v>
      </c>
      <c r="J146" s="5" t="n">
        <v>2.92</v>
      </c>
      <c r="K146" s="5" t="n">
        <v>0</v>
      </c>
      <c r="L146" s="5" t="n">
        <v>4.2</v>
      </c>
      <c r="M146" s="5" t="n">
        <v>715097.57</v>
      </c>
      <c r="N146" s="5" t="n">
        <v>151875.86</v>
      </c>
    </row>
    <row r="147" customFormat="false" ht="15" hidden="false" customHeight="true" outlineLevel="0" collapsed="false">
      <c r="A147" s="5" t="s">
        <v>59</v>
      </c>
      <c r="B147" s="6" t="n">
        <v>45717</v>
      </c>
      <c r="C147" s="5" t="s">
        <v>29</v>
      </c>
      <c r="D147" s="5" t="s">
        <v>20</v>
      </c>
      <c r="E147" s="5" t="n">
        <v>44034.6</v>
      </c>
      <c r="F147" s="5" t="n">
        <v>5645</v>
      </c>
      <c r="G147" s="5" t="n">
        <v>0.069</v>
      </c>
      <c r="H147" s="5" t="n">
        <v>18</v>
      </c>
      <c r="I147" s="5" t="n">
        <v>88.5</v>
      </c>
      <c r="J147" s="5" t="n">
        <v>3.07</v>
      </c>
      <c r="K147" s="5" t="n">
        <v>0</v>
      </c>
      <c r="L147" s="5" t="n">
        <v>3.8</v>
      </c>
      <c r="M147" s="5" t="n">
        <v>682639.28</v>
      </c>
      <c r="N147" s="5" t="n">
        <v>77557.53</v>
      </c>
    </row>
    <row r="148" customFormat="false" ht="15" hidden="false" customHeight="true" outlineLevel="0" collapsed="false">
      <c r="A148" s="5" t="s">
        <v>59</v>
      </c>
      <c r="B148" s="6" t="n">
        <v>45748</v>
      </c>
      <c r="C148" s="5" t="s">
        <v>29</v>
      </c>
      <c r="D148" s="5" t="s">
        <v>20</v>
      </c>
      <c r="E148" s="5" t="n">
        <v>50198.12</v>
      </c>
      <c r="F148" s="5" t="n">
        <v>6089</v>
      </c>
      <c r="G148" s="5" t="n">
        <v>0.182</v>
      </c>
      <c r="H148" s="5" t="n">
        <v>19</v>
      </c>
      <c r="I148" s="5" t="n">
        <v>94</v>
      </c>
      <c r="J148" s="5" t="n">
        <v>9.7</v>
      </c>
      <c r="K148" s="5" t="n">
        <v>0</v>
      </c>
      <c r="L148" s="5" t="n">
        <v>3.9</v>
      </c>
      <c r="M148" s="5" t="n">
        <v>695098.51</v>
      </c>
      <c r="N148" s="5" t="n">
        <v>108192.75</v>
      </c>
    </row>
    <row r="149" customFormat="false" ht="15" hidden="false" customHeight="true" outlineLevel="0" collapsed="false">
      <c r="A149" s="5" t="s">
        <v>60</v>
      </c>
      <c r="B149" s="6" t="n">
        <v>45658</v>
      </c>
      <c r="C149" s="5" t="s">
        <v>22</v>
      </c>
      <c r="D149" s="5" t="s">
        <v>18</v>
      </c>
      <c r="E149" s="5" t="n">
        <v>70488.2</v>
      </c>
      <c r="F149" s="5" t="n">
        <v>4312</v>
      </c>
      <c r="G149" s="5" t="n">
        <v>0.169</v>
      </c>
      <c r="H149" s="5" t="n">
        <v>12</v>
      </c>
      <c r="I149" s="5" t="n">
        <v>90.2</v>
      </c>
      <c r="J149" s="5" t="n">
        <v>3.71</v>
      </c>
      <c r="K149" s="5" t="n">
        <v>0</v>
      </c>
      <c r="L149" s="5" t="n">
        <v>3.2</v>
      </c>
      <c r="M149" s="5" t="n">
        <v>577732.57</v>
      </c>
      <c r="N149" s="5" t="n">
        <v>93804.27</v>
      </c>
    </row>
    <row r="150" customFormat="false" ht="15" hidden="false" customHeight="true" outlineLevel="0" collapsed="false">
      <c r="A150" s="5" t="s">
        <v>60</v>
      </c>
      <c r="B150" s="6" t="n">
        <v>45689</v>
      </c>
      <c r="C150" s="5" t="s">
        <v>22</v>
      </c>
      <c r="D150" s="5" t="s">
        <v>18</v>
      </c>
      <c r="E150" s="5" t="n">
        <v>50909.27</v>
      </c>
      <c r="F150" s="5" t="n">
        <v>3152</v>
      </c>
      <c r="G150" s="5" t="n">
        <v>0.06</v>
      </c>
      <c r="H150" s="5" t="n">
        <v>13</v>
      </c>
      <c r="I150" s="5" t="n">
        <v>93.7</v>
      </c>
      <c r="J150" s="5" t="n">
        <v>10.79</v>
      </c>
      <c r="K150" s="5" t="n">
        <v>0</v>
      </c>
      <c r="L150" s="5" t="n">
        <v>3.5</v>
      </c>
      <c r="M150" s="5" t="n">
        <v>537058.33</v>
      </c>
      <c r="N150" s="5" t="n">
        <v>93555.71</v>
      </c>
    </row>
    <row r="151" customFormat="false" ht="15" hidden="false" customHeight="true" outlineLevel="0" collapsed="false">
      <c r="A151" s="5" t="s">
        <v>60</v>
      </c>
      <c r="B151" s="6" t="n">
        <v>45717</v>
      </c>
      <c r="C151" s="5" t="s">
        <v>22</v>
      </c>
      <c r="D151" s="5" t="s">
        <v>18</v>
      </c>
      <c r="E151" s="5" t="n">
        <v>53351.7</v>
      </c>
      <c r="F151" s="5" t="n">
        <v>4259</v>
      </c>
      <c r="G151" s="5" t="n">
        <v>0.156</v>
      </c>
      <c r="H151" s="5" t="n">
        <v>15</v>
      </c>
      <c r="I151" s="5" t="n">
        <v>93.7</v>
      </c>
      <c r="J151" s="5" t="n">
        <v>6.03</v>
      </c>
      <c r="K151" s="5" t="n">
        <v>0</v>
      </c>
      <c r="L151" s="5" t="n">
        <v>3.4</v>
      </c>
      <c r="M151" s="5" t="n">
        <v>601568.87</v>
      </c>
      <c r="N151" s="5" t="n">
        <v>91634.82</v>
      </c>
    </row>
    <row r="152" customFormat="false" ht="15" hidden="false" customHeight="true" outlineLevel="0" collapsed="false">
      <c r="A152" s="5" t="s">
        <v>60</v>
      </c>
      <c r="B152" s="6" t="n">
        <v>45748</v>
      </c>
      <c r="C152" s="5" t="s">
        <v>22</v>
      </c>
      <c r="D152" s="5" t="s">
        <v>18</v>
      </c>
      <c r="E152" s="5" t="n">
        <v>60322.4</v>
      </c>
      <c r="F152" s="5" t="n">
        <v>3350</v>
      </c>
      <c r="G152" s="5" t="n">
        <v>0.108</v>
      </c>
      <c r="H152" s="5" t="n">
        <v>12</v>
      </c>
      <c r="I152" s="5" t="n">
        <v>89.4</v>
      </c>
      <c r="J152" s="5" t="n">
        <v>4.92</v>
      </c>
      <c r="K152" s="5" t="n">
        <v>0</v>
      </c>
      <c r="L152" s="5" t="n">
        <v>3.4</v>
      </c>
      <c r="M152" s="5" t="n">
        <v>570964.84</v>
      </c>
      <c r="N152" s="5" t="n">
        <v>81331.07</v>
      </c>
    </row>
    <row r="153" customFormat="false" ht="15" hidden="false" customHeight="true" outlineLevel="0" collapsed="false">
      <c r="A153" s="5" t="s">
        <v>61</v>
      </c>
      <c r="B153" s="6" t="n">
        <v>45658</v>
      </c>
      <c r="C153" s="5" t="s">
        <v>26</v>
      </c>
      <c r="D153" s="5" t="s">
        <v>30</v>
      </c>
      <c r="E153" s="5" t="n">
        <v>51575.68</v>
      </c>
      <c r="F153" s="5" t="n">
        <v>5329</v>
      </c>
      <c r="G153" s="5" t="n">
        <v>0.047</v>
      </c>
      <c r="H153" s="5" t="n">
        <v>17</v>
      </c>
      <c r="I153" s="5" t="n">
        <v>88.1</v>
      </c>
      <c r="J153" s="5" t="n">
        <v>19.78</v>
      </c>
      <c r="K153" s="5" t="n">
        <v>0</v>
      </c>
      <c r="L153" s="5" t="n">
        <v>3.8</v>
      </c>
      <c r="M153" s="5" t="n">
        <v>614024.91</v>
      </c>
      <c r="N153" s="5" t="n">
        <v>84828.93</v>
      </c>
    </row>
    <row r="154" customFormat="false" ht="15" hidden="false" customHeight="true" outlineLevel="0" collapsed="false">
      <c r="A154" s="5" t="s">
        <v>61</v>
      </c>
      <c r="B154" s="6" t="n">
        <v>45689</v>
      </c>
      <c r="C154" s="5" t="s">
        <v>26</v>
      </c>
      <c r="D154" s="5" t="s">
        <v>30</v>
      </c>
      <c r="E154" s="5" t="n">
        <v>43319.94</v>
      </c>
      <c r="F154" s="5" t="n">
        <v>6551</v>
      </c>
      <c r="G154" s="5" t="n">
        <v>0.044</v>
      </c>
      <c r="H154" s="5" t="n">
        <v>13</v>
      </c>
      <c r="I154" s="5" t="n">
        <v>99</v>
      </c>
      <c r="J154" s="5" t="n">
        <v>5.45</v>
      </c>
      <c r="K154" s="5" t="n">
        <v>0</v>
      </c>
      <c r="L154" s="5" t="n">
        <v>4.1</v>
      </c>
      <c r="M154" s="5" t="n">
        <v>712868.35</v>
      </c>
      <c r="N154" s="5" t="n">
        <v>133650.51</v>
      </c>
    </row>
    <row r="155" customFormat="false" ht="15" hidden="false" customHeight="true" outlineLevel="0" collapsed="false">
      <c r="A155" s="5" t="s">
        <v>61</v>
      </c>
      <c r="B155" s="6" t="n">
        <v>45717</v>
      </c>
      <c r="C155" s="5" t="s">
        <v>26</v>
      </c>
      <c r="D155" s="5" t="s">
        <v>30</v>
      </c>
      <c r="E155" s="5" t="n">
        <v>47093.55</v>
      </c>
      <c r="F155" s="5" t="n">
        <v>5550</v>
      </c>
      <c r="G155" s="5" t="n">
        <v>0.1</v>
      </c>
      <c r="H155" s="5" t="n">
        <v>12</v>
      </c>
      <c r="I155" s="5" t="n">
        <v>95</v>
      </c>
      <c r="J155" s="5" t="n">
        <v>2.33</v>
      </c>
      <c r="K155" s="5" t="n">
        <v>1</v>
      </c>
      <c r="L155" s="5" t="n">
        <v>3.7</v>
      </c>
      <c r="M155" s="5" t="n">
        <v>696744.15</v>
      </c>
      <c r="N155" s="5" t="n">
        <v>152230.09</v>
      </c>
    </row>
    <row r="156" customFormat="false" ht="15" hidden="false" customHeight="true" outlineLevel="0" collapsed="false">
      <c r="A156" s="5" t="s">
        <v>61</v>
      </c>
      <c r="B156" s="6" t="n">
        <v>45748</v>
      </c>
      <c r="C156" s="5" t="s">
        <v>26</v>
      </c>
      <c r="D156" s="5" t="s">
        <v>30</v>
      </c>
      <c r="E156" s="5" t="n">
        <v>71855.09</v>
      </c>
      <c r="F156" s="5" t="n">
        <v>5911</v>
      </c>
      <c r="G156" s="5" t="n">
        <v>0.197</v>
      </c>
      <c r="H156" s="5" t="n">
        <v>15</v>
      </c>
      <c r="I156" s="5" t="n">
        <v>94.3</v>
      </c>
      <c r="J156" s="5" t="n">
        <v>3.55</v>
      </c>
      <c r="K156" s="5" t="n">
        <v>0</v>
      </c>
      <c r="L156" s="5" t="n">
        <v>4.1</v>
      </c>
      <c r="M156" s="5" t="n">
        <v>725847.99</v>
      </c>
      <c r="N156" s="5" t="n">
        <v>122698.73</v>
      </c>
    </row>
    <row r="157" customFormat="false" ht="15" hidden="false" customHeight="true" outlineLevel="0" collapsed="false">
      <c r="A157" s="5" t="s">
        <v>62</v>
      </c>
      <c r="B157" s="6" t="n">
        <v>45658</v>
      </c>
      <c r="C157" s="5" t="s">
        <v>17</v>
      </c>
      <c r="D157" s="5" t="s">
        <v>20</v>
      </c>
      <c r="E157" s="5" t="n">
        <v>75645.23</v>
      </c>
      <c r="F157" s="5" t="n">
        <v>9674</v>
      </c>
      <c r="G157" s="5" t="n">
        <v>0.234</v>
      </c>
      <c r="H157" s="5" t="n">
        <v>21</v>
      </c>
      <c r="I157" s="5" t="n">
        <v>87.4</v>
      </c>
      <c r="J157" s="5" t="n">
        <v>0.2</v>
      </c>
      <c r="K157" s="5" t="n">
        <v>0</v>
      </c>
      <c r="L157" s="5" t="n">
        <v>4.5</v>
      </c>
      <c r="M157" s="5" t="n">
        <v>785028.25</v>
      </c>
      <c r="N157" s="5" t="n">
        <v>110726.44</v>
      </c>
    </row>
    <row r="158" customFormat="false" ht="15" hidden="false" customHeight="true" outlineLevel="0" collapsed="false">
      <c r="A158" s="5" t="s">
        <v>62</v>
      </c>
      <c r="B158" s="6" t="n">
        <v>45689</v>
      </c>
      <c r="C158" s="5" t="s">
        <v>17</v>
      </c>
      <c r="D158" s="5" t="s">
        <v>20</v>
      </c>
      <c r="E158" s="5" t="n">
        <v>64374.75</v>
      </c>
      <c r="F158" s="5" t="n">
        <v>6740</v>
      </c>
      <c r="G158" s="5" t="n">
        <v>0.169</v>
      </c>
      <c r="H158" s="5" t="n">
        <v>18</v>
      </c>
      <c r="I158" s="5" t="n">
        <v>87</v>
      </c>
      <c r="J158" s="5" t="n">
        <v>2.09</v>
      </c>
      <c r="K158" s="5" t="n">
        <v>0</v>
      </c>
      <c r="L158" s="5" t="n">
        <v>4.2</v>
      </c>
      <c r="M158" s="5" t="n">
        <v>698492.67</v>
      </c>
      <c r="N158" s="5" t="n">
        <v>117319.32</v>
      </c>
    </row>
    <row r="159" customFormat="false" ht="15" hidden="false" customHeight="true" outlineLevel="0" collapsed="false">
      <c r="A159" s="5" t="s">
        <v>62</v>
      </c>
      <c r="B159" s="6" t="n">
        <v>45717</v>
      </c>
      <c r="C159" s="5" t="s">
        <v>17</v>
      </c>
      <c r="D159" s="5" t="s">
        <v>20</v>
      </c>
      <c r="E159" s="5" t="n">
        <v>61433.84</v>
      </c>
      <c r="F159" s="5" t="n">
        <v>7745</v>
      </c>
      <c r="G159" s="5" t="n">
        <v>0.18</v>
      </c>
      <c r="H159" s="5" t="n">
        <v>16</v>
      </c>
      <c r="I159" s="5" t="n">
        <v>90.5</v>
      </c>
      <c r="J159" s="5" t="n">
        <v>2.26</v>
      </c>
      <c r="K159" s="5" t="n">
        <v>0</v>
      </c>
      <c r="L159" s="5" t="n">
        <v>4.2</v>
      </c>
      <c r="M159" s="5" t="n">
        <v>685830.24</v>
      </c>
      <c r="N159" s="5" t="n">
        <v>128736.18</v>
      </c>
    </row>
    <row r="160" customFormat="false" ht="15" hidden="false" customHeight="true" outlineLevel="0" collapsed="false">
      <c r="A160" s="5" t="s">
        <v>62</v>
      </c>
      <c r="B160" s="6" t="n">
        <v>45748</v>
      </c>
      <c r="C160" s="5" t="s">
        <v>17</v>
      </c>
      <c r="D160" s="5" t="s">
        <v>20</v>
      </c>
      <c r="E160" s="5" t="n">
        <v>42698.14</v>
      </c>
      <c r="F160" s="5" t="n">
        <v>7693</v>
      </c>
      <c r="G160" s="5" t="n">
        <v>0.187</v>
      </c>
      <c r="H160" s="5" t="n">
        <v>19</v>
      </c>
      <c r="I160" s="5" t="n">
        <v>90.1</v>
      </c>
      <c r="J160" s="5" t="n">
        <v>0.44</v>
      </c>
      <c r="K160" s="5" t="n">
        <v>0</v>
      </c>
      <c r="L160" s="5" t="n">
        <v>4.4</v>
      </c>
      <c r="M160" s="5" t="n">
        <v>702318.94</v>
      </c>
      <c r="N160" s="5" t="n">
        <v>112829.29</v>
      </c>
    </row>
    <row r="161" customFormat="false" ht="15" hidden="false" customHeight="true" outlineLevel="0" collapsed="false">
      <c r="A161" s="5" t="s">
        <v>63</v>
      </c>
      <c r="B161" s="6" t="n">
        <v>45658</v>
      </c>
      <c r="C161" s="5" t="s">
        <v>22</v>
      </c>
      <c r="D161" s="5" t="s">
        <v>30</v>
      </c>
      <c r="E161" s="5" t="n">
        <v>86883.31</v>
      </c>
      <c r="F161" s="5" t="n">
        <v>6424</v>
      </c>
      <c r="G161" s="5" t="n">
        <v>0.057</v>
      </c>
      <c r="H161" s="5" t="n">
        <v>19</v>
      </c>
      <c r="I161" s="5" t="n">
        <v>85.2</v>
      </c>
      <c r="J161" s="5" t="n">
        <v>3.08</v>
      </c>
      <c r="K161" s="5" t="n">
        <v>0</v>
      </c>
      <c r="L161" s="5" t="n">
        <v>3.9</v>
      </c>
      <c r="M161" s="5" t="n">
        <v>700078.32</v>
      </c>
      <c r="N161" s="5" t="n">
        <v>123707.58</v>
      </c>
    </row>
    <row r="162" customFormat="false" ht="15" hidden="false" customHeight="true" outlineLevel="0" collapsed="false">
      <c r="A162" s="5" t="s">
        <v>63</v>
      </c>
      <c r="B162" s="6" t="n">
        <v>45689</v>
      </c>
      <c r="C162" s="5" t="s">
        <v>22</v>
      </c>
      <c r="D162" s="5" t="s">
        <v>30</v>
      </c>
      <c r="E162" s="5" t="n">
        <v>41863.08</v>
      </c>
      <c r="F162" s="5" t="n">
        <v>5400</v>
      </c>
      <c r="G162" s="5" t="n">
        <v>0.114</v>
      </c>
      <c r="H162" s="5" t="n">
        <v>11</v>
      </c>
      <c r="I162" s="5" t="n">
        <v>91.6</v>
      </c>
      <c r="J162" s="5" t="n">
        <v>7.99</v>
      </c>
      <c r="K162" s="5" t="n">
        <v>0</v>
      </c>
      <c r="L162" s="5" t="n">
        <v>3</v>
      </c>
      <c r="M162" s="5" t="n">
        <v>602002.32</v>
      </c>
      <c r="N162" s="5" t="n">
        <v>110453.28</v>
      </c>
    </row>
    <row r="163" customFormat="false" ht="15" hidden="false" customHeight="true" outlineLevel="0" collapsed="false">
      <c r="A163" s="5" t="s">
        <v>63</v>
      </c>
      <c r="B163" s="6" t="n">
        <v>45717</v>
      </c>
      <c r="C163" s="5" t="s">
        <v>22</v>
      </c>
      <c r="D163" s="5" t="s">
        <v>30</v>
      </c>
      <c r="E163" s="5" t="n">
        <v>56918.16</v>
      </c>
      <c r="F163" s="5" t="n">
        <v>7015</v>
      </c>
      <c r="G163" s="5" t="n">
        <v>0.158</v>
      </c>
      <c r="H163" s="5" t="n">
        <v>18</v>
      </c>
      <c r="I163" s="5" t="n">
        <v>74.2</v>
      </c>
      <c r="J163" s="5" t="n">
        <v>0.2</v>
      </c>
      <c r="K163" s="5" t="n">
        <v>0</v>
      </c>
      <c r="L163" s="5" t="n">
        <v>3.4</v>
      </c>
      <c r="M163" s="5" t="n">
        <v>724216.07</v>
      </c>
      <c r="N163" s="5" t="n">
        <v>100627.56</v>
      </c>
    </row>
    <row r="164" customFormat="false" ht="15" hidden="false" customHeight="true" outlineLevel="0" collapsed="false">
      <c r="A164" s="5" t="s">
        <v>63</v>
      </c>
      <c r="B164" s="6" t="n">
        <v>45748</v>
      </c>
      <c r="C164" s="5" t="s">
        <v>22</v>
      </c>
      <c r="D164" s="5" t="s">
        <v>30</v>
      </c>
      <c r="E164" s="5" t="n">
        <v>23254.57</v>
      </c>
      <c r="F164" s="5" t="n">
        <v>3847</v>
      </c>
      <c r="G164" s="5" t="n">
        <v>0.159</v>
      </c>
      <c r="H164" s="5" t="n">
        <v>12</v>
      </c>
      <c r="I164" s="5" t="n">
        <v>93</v>
      </c>
      <c r="J164" s="5" t="n">
        <v>5.46</v>
      </c>
      <c r="K164" s="5" t="n">
        <v>0</v>
      </c>
      <c r="L164" s="5" t="n">
        <v>3.3</v>
      </c>
      <c r="M164" s="5" t="n">
        <v>620973.03</v>
      </c>
      <c r="N164" s="5" t="n">
        <v>72303.85</v>
      </c>
    </row>
    <row r="165" customFormat="false" ht="15" hidden="false" customHeight="true" outlineLevel="0" collapsed="false">
      <c r="A165" s="5" t="s">
        <v>64</v>
      </c>
      <c r="B165" s="6" t="n">
        <v>45658</v>
      </c>
      <c r="C165" s="5" t="s">
        <v>26</v>
      </c>
      <c r="D165" s="5" t="s">
        <v>20</v>
      </c>
      <c r="E165" s="5" t="n">
        <v>41443.41</v>
      </c>
      <c r="F165" s="5" t="n">
        <v>7455</v>
      </c>
      <c r="G165" s="5" t="n">
        <v>0.175</v>
      </c>
      <c r="H165" s="5" t="n">
        <v>16</v>
      </c>
      <c r="I165" s="5" t="n">
        <v>90.1</v>
      </c>
      <c r="J165" s="5" t="n">
        <v>4.05</v>
      </c>
      <c r="K165" s="5" t="n">
        <v>0</v>
      </c>
      <c r="L165" s="5" t="n">
        <v>4</v>
      </c>
      <c r="M165" s="5" t="n">
        <v>650480.06</v>
      </c>
      <c r="N165" s="5" t="n">
        <v>109012.07</v>
      </c>
    </row>
    <row r="166" customFormat="false" ht="15" hidden="false" customHeight="true" outlineLevel="0" collapsed="false">
      <c r="A166" s="5" t="s">
        <v>64</v>
      </c>
      <c r="B166" s="6" t="n">
        <v>45689</v>
      </c>
      <c r="C166" s="5" t="s">
        <v>26</v>
      </c>
      <c r="D166" s="5" t="s">
        <v>20</v>
      </c>
      <c r="E166" s="5" t="n">
        <v>48438.85</v>
      </c>
      <c r="F166" s="5" t="n">
        <v>6992</v>
      </c>
      <c r="G166" s="5" t="n">
        <v>0.034</v>
      </c>
      <c r="H166" s="5" t="n">
        <v>20</v>
      </c>
      <c r="I166" s="5" t="n">
        <v>91</v>
      </c>
      <c r="J166" s="5" t="n">
        <v>4.36</v>
      </c>
      <c r="K166" s="5" t="n">
        <v>0</v>
      </c>
      <c r="L166" s="5" t="n">
        <v>4.2</v>
      </c>
      <c r="M166" s="5" t="n">
        <v>778298.88</v>
      </c>
      <c r="N166" s="5" t="n">
        <v>130076.72</v>
      </c>
    </row>
    <row r="167" customFormat="false" ht="15" hidden="false" customHeight="true" outlineLevel="0" collapsed="false">
      <c r="A167" s="5" t="s">
        <v>64</v>
      </c>
      <c r="B167" s="6" t="n">
        <v>45717</v>
      </c>
      <c r="C167" s="5" t="s">
        <v>26</v>
      </c>
      <c r="D167" s="5" t="s">
        <v>20</v>
      </c>
      <c r="E167" s="5" t="n">
        <v>57143.3</v>
      </c>
      <c r="F167" s="5" t="n">
        <v>8038</v>
      </c>
      <c r="G167" s="5" t="n">
        <v>0.193</v>
      </c>
      <c r="H167" s="5" t="n">
        <v>17</v>
      </c>
      <c r="I167" s="5" t="n">
        <v>72.6</v>
      </c>
      <c r="J167" s="5"/>
      <c r="K167" s="5" t="n">
        <v>0</v>
      </c>
      <c r="L167" s="5" t="n">
        <v>4.2</v>
      </c>
      <c r="M167" s="5" t="n">
        <v>677096.71</v>
      </c>
      <c r="N167" s="5" t="n">
        <v>97174.11</v>
      </c>
    </row>
    <row r="168" customFormat="false" ht="15" hidden="false" customHeight="true" outlineLevel="0" collapsed="false">
      <c r="A168" s="5" t="s">
        <v>64</v>
      </c>
      <c r="B168" s="6" t="n">
        <v>45748</v>
      </c>
      <c r="C168" s="5" t="s">
        <v>26</v>
      </c>
      <c r="D168" s="5" t="s">
        <v>20</v>
      </c>
      <c r="E168" s="5" t="n">
        <v>66870.62</v>
      </c>
      <c r="F168" s="5" t="n">
        <v>6055</v>
      </c>
      <c r="G168" s="5" t="n">
        <v>0.075</v>
      </c>
      <c r="H168" s="5" t="n">
        <v>19</v>
      </c>
      <c r="I168" s="5" t="n">
        <v>93.8</v>
      </c>
      <c r="J168" s="5" t="n">
        <v>0.54</v>
      </c>
      <c r="K168" s="5" t="n">
        <v>0</v>
      </c>
      <c r="L168" s="5" t="n">
        <v>4.3</v>
      </c>
      <c r="M168" s="5" t="n">
        <v>692008.64</v>
      </c>
      <c r="N168" s="5" t="n">
        <v>116337.87</v>
      </c>
    </row>
    <row r="169" customFormat="false" ht="15" hidden="false" customHeight="true" outlineLevel="0" collapsed="false">
      <c r="A169" s="5" t="s">
        <v>65</v>
      </c>
      <c r="B169" s="6" t="n">
        <v>45658</v>
      </c>
      <c r="C169" s="5" t="s">
        <v>22</v>
      </c>
      <c r="D169" s="5" t="s">
        <v>30</v>
      </c>
      <c r="E169" s="5" t="n">
        <v>72150.53</v>
      </c>
      <c r="F169" s="5" t="n">
        <v>9323</v>
      </c>
      <c r="G169" s="5" t="n">
        <v>0.157</v>
      </c>
      <c r="H169" s="5" t="n">
        <v>22</v>
      </c>
      <c r="I169" s="5" t="n">
        <v>82.9</v>
      </c>
      <c r="J169" s="5" t="n">
        <v>11.37</v>
      </c>
      <c r="K169" s="5" t="n">
        <v>1</v>
      </c>
      <c r="L169" s="5" t="n">
        <v>4.3</v>
      </c>
      <c r="M169" s="5" t="n">
        <v>825797.91</v>
      </c>
      <c r="N169" s="5" t="n">
        <v>130945.24</v>
      </c>
    </row>
    <row r="170" customFormat="false" ht="15" hidden="false" customHeight="true" outlineLevel="0" collapsed="false">
      <c r="A170" s="5" t="s">
        <v>65</v>
      </c>
      <c r="B170" s="6" t="n">
        <v>45689</v>
      </c>
      <c r="C170" s="5" t="s">
        <v>22</v>
      </c>
      <c r="D170" s="5" t="s">
        <v>30</v>
      </c>
      <c r="E170" s="5" t="n">
        <v>35303.3</v>
      </c>
      <c r="F170" s="5" t="n">
        <v>8789</v>
      </c>
      <c r="G170" s="5" t="n">
        <v>0.123</v>
      </c>
      <c r="H170" s="5" t="n">
        <v>22</v>
      </c>
      <c r="I170" s="5" t="n">
        <v>86.1</v>
      </c>
      <c r="J170" s="5" t="n">
        <v>9.43</v>
      </c>
      <c r="K170" s="5" t="n">
        <v>0</v>
      </c>
      <c r="L170" s="5" t="n">
        <v>4.2</v>
      </c>
      <c r="M170" s="5" t="n">
        <v>706285.52</v>
      </c>
      <c r="N170" s="5" t="n">
        <v>138014.72</v>
      </c>
    </row>
    <row r="171" customFormat="false" ht="15" hidden="false" customHeight="true" outlineLevel="0" collapsed="false">
      <c r="A171" s="5" t="s">
        <v>65</v>
      </c>
      <c r="B171" s="6" t="n">
        <v>45717</v>
      </c>
      <c r="C171" s="5" t="s">
        <v>22</v>
      </c>
      <c r="D171" s="5" t="s">
        <v>30</v>
      </c>
      <c r="E171" s="5" t="n">
        <v>30301.86</v>
      </c>
      <c r="F171" s="5" t="n">
        <v>6939</v>
      </c>
      <c r="G171" s="5" t="n">
        <v>0.09</v>
      </c>
      <c r="H171" s="5" t="n">
        <v>16</v>
      </c>
      <c r="I171" s="5" t="n">
        <v>90.3</v>
      </c>
      <c r="J171" s="5" t="n">
        <v>3.49</v>
      </c>
      <c r="K171" s="5" t="n">
        <v>0</v>
      </c>
      <c r="L171" s="5" t="n">
        <v>4</v>
      </c>
      <c r="M171" s="5" t="n">
        <v>665534.7</v>
      </c>
      <c r="N171" s="5" t="n">
        <v>113167.73</v>
      </c>
    </row>
    <row r="172" customFormat="false" ht="15" hidden="false" customHeight="true" outlineLevel="0" collapsed="false">
      <c r="A172" s="5" t="s">
        <v>65</v>
      </c>
      <c r="B172" s="6" t="n">
        <v>45748</v>
      </c>
      <c r="C172" s="5" t="s">
        <v>22</v>
      </c>
      <c r="D172" s="5" t="s">
        <v>30</v>
      </c>
      <c r="E172" s="5" t="n">
        <v>78432.14</v>
      </c>
      <c r="F172" s="5" t="n">
        <v>9440</v>
      </c>
      <c r="G172" s="5" t="n">
        <v>0.126</v>
      </c>
      <c r="H172" s="5" t="n">
        <v>23</v>
      </c>
      <c r="I172" s="5" t="n">
        <v>89.2</v>
      </c>
      <c r="J172" s="5" t="n">
        <v>7.86</v>
      </c>
      <c r="K172" s="5" t="n">
        <v>0</v>
      </c>
      <c r="L172" s="5" t="n">
        <v>4.1</v>
      </c>
      <c r="M172" s="5" t="n">
        <v>820729.29</v>
      </c>
      <c r="N172" s="5" t="n">
        <v>159325.47</v>
      </c>
    </row>
    <row r="173" customFormat="false" ht="15" hidden="false" customHeight="true" outlineLevel="0" collapsed="false">
      <c r="A173" s="5" t="s">
        <v>66</v>
      </c>
      <c r="B173" s="6" t="n">
        <v>45658</v>
      </c>
      <c r="C173" s="5" t="s">
        <v>17</v>
      </c>
      <c r="D173" s="5" t="s">
        <v>18</v>
      </c>
      <c r="E173" s="5" t="n">
        <v>62059.18</v>
      </c>
      <c r="F173" s="5" t="n">
        <v>9374</v>
      </c>
      <c r="G173" s="5" t="n">
        <v>0.136</v>
      </c>
      <c r="H173" s="5" t="n">
        <v>25</v>
      </c>
      <c r="I173" s="5" t="n">
        <v>87.1</v>
      </c>
      <c r="J173" s="5" t="n">
        <v>12.55</v>
      </c>
      <c r="K173" s="5" t="n">
        <v>0</v>
      </c>
      <c r="L173" s="5" t="n">
        <v>4.9</v>
      </c>
      <c r="M173" s="5" t="n">
        <v>739831.73</v>
      </c>
      <c r="N173" s="5" t="n">
        <v>119490.21</v>
      </c>
    </row>
    <row r="174" customFormat="false" ht="15" hidden="false" customHeight="true" outlineLevel="0" collapsed="false">
      <c r="A174" s="5" t="s">
        <v>66</v>
      </c>
      <c r="B174" s="6" t="n">
        <v>45689</v>
      </c>
      <c r="C174" s="5" t="s">
        <v>17</v>
      </c>
      <c r="D174" s="5" t="s">
        <v>18</v>
      </c>
      <c r="E174" s="5" t="n">
        <v>32834.48</v>
      </c>
      <c r="F174" s="5" t="n">
        <v>7576</v>
      </c>
      <c r="G174" s="5" t="n">
        <v>0.099</v>
      </c>
      <c r="H174" s="5" t="n">
        <v>15</v>
      </c>
      <c r="I174" s="5" t="n">
        <v>84.1</v>
      </c>
      <c r="J174" s="5" t="n">
        <v>3.48</v>
      </c>
      <c r="K174" s="5" t="n">
        <v>0</v>
      </c>
      <c r="L174" s="5" t="n">
        <v>5</v>
      </c>
      <c r="M174" s="5" t="n">
        <v>593637.14</v>
      </c>
      <c r="N174" s="5" t="n">
        <v>106648.14</v>
      </c>
    </row>
    <row r="175" customFormat="false" ht="15" hidden="false" customHeight="true" outlineLevel="0" collapsed="false">
      <c r="A175" s="5" t="s">
        <v>66</v>
      </c>
      <c r="B175" s="6" t="n">
        <v>45717</v>
      </c>
      <c r="C175" s="5" t="s">
        <v>17</v>
      </c>
      <c r="D175" s="5" t="s">
        <v>18</v>
      </c>
      <c r="E175" s="5" t="n">
        <v>50825.08</v>
      </c>
      <c r="F175" s="5" t="n">
        <v>8949</v>
      </c>
      <c r="G175" s="5" t="n">
        <v>0.157</v>
      </c>
      <c r="H175" s="5" t="n">
        <v>21</v>
      </c>
      <c r="I175" s="5" t="n">
        <v>84.7</v>
      </c>
      <c r="J175" s="5" t="n">
        <v>7.73</v>
      </c>
      <c r="K175" s="5" t="n">
        <v>0</v>
      </c>
      <c r="L175" s="5" t="n">
        <v>4.9</v>
      </c>
      <c r="M175" s="5" t="n">
        <v>769702.76</v>
      </c>
      <c r="N175" s="5" t="n">
        <v>158697</v>
      </c>
    </row>
    <row r="176" customFormat="false" ht="15" hidden="false" customHeight="true" outlineLevel="0" collapsed="false">
      <c r="A176" s="5" t="s">
        <v>66</v>
      </c>
      <c r="B176" s="6" t="n">
        <v>45748</v>
      </c>
      <c r="C176" s="5" t="s">
        <v>17</v>
      </c>
      <c r="D176" s="5" t="s">
        <v>18</v>
      </c>
      <c r="E176" s="5" t="n">
        <v>36606.51</v>
      </c>
      <c r="F176" s="5" t="n">
        <v>7671</v>
      </c>
      <c r="G176" s="5" t="n">
        <v>0.118</v>
      </c>
      <c r="H176" s="5" t="n">
        <v>18</v>
      </c>
      <c r="I176" s="5" t="n">
        <v>89.8</v>
      </c>
      <c r="J176" s="5" t="n">
        <v>0.25</v>
      </c>
      <c r="K176" s="5" t="n">
        <v>0</v>
      </c>
      <c r="L176" s="5" t="n">
        <v>4.4</v>
      </c>
      <c r="M176" s="5" t="n">
        <v>679731.57</v>
      </c>
      <c r="N176" s="5" t="n">
        <v>121546.42</v>
      </c>
    </row>
    <row r="177" customFormat="false" ht="15" hidden="false" customHeight="true" outlineLevel="0" collapsed="false">
      <c r="A177" s="5" t="s">
        <v>67</v>
      </c>
      <c r="B177" s="6" t="n">
        <v>45658</v>
      </c>
      <c r="C177" s="5" t="s">
        <v>17</v>
      </c>
      <c r="D177" s="5" t="s">
        <v>18</v>
      </c>
      <c r="E177" s="5" t="n">
        <v>65237.79</v>
      </c>
      <c r="F177" s="5" t="n">
        <v>8741</v>
      </c>
      <c r="G177" s="5" t="n">
        <v>0.157</v>
      </c>
      <c r="H177" s="5" t="n">
        <v>20</v>
      </c>
      <c r="I177" s="5" t="n">
        <v>94.4</v>
      </c>
      <c r="J177" s="5" t="n">
        <v>6.43</v>
      </c>
      <c r="K177" s="5" t="n">
        <v>0</v>
      </c>
      <c r="L177" s="5" t="n">
        <v>3.3</v>
      </c>
      <c r="M177" s="5" t="n">
        <v>780344.18</v>
      </c>
      <c r="N177" s="5" t="n">
        <v>118239.09</v>
      </c>
    </row>
    <row r="178" customFormat="false" ht="15" hidden="false" customHeight="true" outlineLevel="0" collapsed="false">
      <c r="A178" s="5" t="s">
        <v>67</v>
      </c>
      <c r="B178" s="6" t="n">
        <v>45689</v>
      </c>
      <c r="C178" s="5" t="s">
        <v>17</v>
      </c>
      <c r="D178" s="5" t="s">
        <v>18</v>
      </c>
      <c r="E178" s="5" t="n">
        <v>43645.98</v>
      </c>
      <c r="F178" s="5" t="n">
        <v>9480</v>
      </c>
      <c r="G178" s="5" t="n">
        <v>0.109</v>
      </c>
      <c r="H178" s="5" t="n">
        <v>22</v>
      </c>
      <c r="I178" s="5" t="n">
        <v>89</v>
      </c>
      <c r="J178" s="5" t="n">
        <v>2.11</v>
      </c>
      <c r="K178" s="5" t="n">
        <v>0</v>
      </c>
      <c r="L178" s="5" t="n">
        <v>3.1</v>
      </c>
      <c r="M178" s="5" t="n">
        <v>721364.11</v>
      </c>
      <c r="N178" s="5" t="n">
        <v>147272.81</v>
      </c>
    </row>
    <row r="179" customFormat="false" ht="15" hidden="false" customHeight="true" outlineLevel="0" collapsed="false">
      <c r="A179" s="5" t="s">
        <v>67</v>
      </c>
      <c r="B179" s="6" t="n">
        <v>45717</v>
      </c>
      <c r="C179" s="5" t="s">
        <v>17</v>
      </c>
      <c r="D179" s="5" t="s">
        <v>18</v>
      </c>
      <c r="E179" s="5" t="n">
        <v>68040.15</v>
      </c>
      <c r="F179" s="5" t="n">
        <v>9826</v>
      </c>
      <c r="G179" s="5" t="n">
        <v>0.125</v>
      </c>
      <c r="H179" s="5" t="n">
        <v>20</v>
      </c>
      <c r="I179" s="5" t="n">
        <v>83.9</v>
      </c>
      <c r="J179" s="5" t="n">
        <v>9.12</v>
      </c>
      <c r="K179" s="5" t="n">
        <v>0</v>
      </c>
      <c r="L179" s="5" t="n">
        <v>3.6</v>
      </c>
      <c r="M179" s="5" t="n">
        <v>758138.29</v>
      </c>
      <c r="N179" s="5" t="n">
        <v>132975.26</v>
      </c>
    </row>
    <row r="180" customFormat="false" ht="15" hidden="false" customHeight="true" outlineLevel="0" collapsed="false">
      <c r="A180" s="5" t="s">
        <v>67</v>
      </c>
      <c r="B180" s="6" t="n">
        <v>45748</v>
      </c>
      <c r="C180" s="5" t="s">
        <v>17</v>
      </c>
      <c r="D180" s="5" t="s">
        <v>18</v>
      </c>
      <c r="E180" s="5" t="n">
        <v>63043.94</v>
      </c>
      <c r="F180" s="5" t="n">
        <v>10402</v>
      </c>
      <c r="G180" s="5" t="n">
        <v>0.159</v>
      </c>
      <c r="H180" s="5" t="n">
        <v>23</v>
      </c>
      <c r="I180" s="5" t="n">
        <v>93.9</v>
      </c>
      <c r="J180" s="5" t="n">
        <v>2.71</v>
      </c>
      <c r="K180" s="5" t="n">
        <v>0</v>
      </c>
      <c r="L180" s="5" t="n">
        <v>3.1</v>
      </c>
      <c r="M180" s="5" t="n">
        <v>804264</v>
      </c>
      <c r="N180" s="5" t="n">
        <v>167117.91</v>
      </c>
    </row>
    <row r="181" customFormat="false" ht="15" hidden="false" customHeight="true" outlineLevel="0" collapsed="false">
      <c r="A181" s="5" t="s">
        <v>68</v>
      </c>
      <c r="B181" s="6" t="n">
        <v>45658</v>
      </c>
      <c r="C181" s="5" t="s">
        <v>29</v>
      </c>
      <c r="D181" s="5" t="s">
        <v>23</v>
      </c>
      <c r="E181" s="5" t="n">
        <v>67494.09</v>
      </c>
      <c r="F181" s="5" t="n">
        <v>12361</v>
      </c>
      <c r="G181" s="5" t="n">
        <v>0.046</v>
      </c>
      <c r="H181" s="5" t="n">
        <v>24</v>
      </c>
      <c r="I181" s="5" t="n">
        <v>76.6</v>
      </c>
      <c r="J181" s="5" t="n">
        <v>3.65</v>
      </c>
      <c r="K181" s="5" t="n">
        <v>1</v>
      </c>
      <c r="L181" s="5" t="n">
        <v>3.7</v>
      </c>
      <c r="M181" s="5" t="n">
        <v>887537.75</v>
      </c>
      <c r="N181" s="5" t="n">
        <v>160362.92</v>
      </c>
    </row>
    <row r="182" customFormat="false" ht="15" hidden="false" customHeight="true" outlineLevel="0" collapsed="false">
      <c r="A182" s="5" t="s">
        <v>68</v>
      </c>
      <c r="B182" s="6" t="n">
        <v>45689</v>
      </c>
      <c r="C182" s="5" t="s">
        <v>29</v>
      </c>
      <c r="D182" s="5" t="s">
        <v>23</v>
      </c>
      <c r="E182" s="5" t="n">
        <v>29389.32</v>
      </c>
      <c r="F182" s="5" t="n">
        <v>7925</v>
      </c>
      <c r="G182" s="5" t="n">
        <v>0.177</v>
      </c>
      <c r="H182" s="5" t="n">
        <v>21</v>
      </c>
      <c r="I182" s="5" t="n">
        <v>90.9</v>
      </c>
      <c r="J182" s="5" t="n">
        <v>7.86</v>
      </c>
      <c r="K182" s="5" t="n">
        <v>0</v>
      </c>
      <c r="L182" s="5" t="n">
        <v>4</v>
      </c>
      <c r="M182" s="5" t="n">
        <v>783582</v>
      </c>
      <c r="N182" s="5" t="n">
        <v>130670.93</v>
      </c>
    </row>
    <row r="183" customFormat="false" ht="15" hidden="false" customHeight="true" outlineLevel="0" collapsed="false">
      <c r="A183" s="5" t="s">
        <v>68</v>
      </c>
      <c r="B183" s="6" t="n">
        <v>45717</v>
      </c>
      <c r="C183" s="5" t="s">
        <v>29</v>
      </c>
      <c r="D183" s="5" t="s">
        <v>23</v>
      </c>
      <c r="E183" s="5" t="n">
        <v>40535.09</v>
      </c>
      <c r="F183" s="5" t="n">
        <v>8870</v>
      </c>
      <c r="G183" s="5" t="n">
        <v>0.041</v>
      </c>
      <c r="H183" s="5" t="n">
        <v>21</v>
      </c>
      <c r="I183" s="5" t="n">
        <v>86.6</v>
      </c>
      <c r="J183" s="5" t="n">
        <v>0.3</v>
      </c>
      <c r="K183" s="5" t="n">
        <v>0</v>
      </c>
      <c r="L183" s="5" t="n">
        <v>4.1</v>
      </c>
      <c r="M183" s="5" t="n">
        <v>781955.52</v>
      </c>
      <c r="N183" s="5" t="n">
        <v>152578.71</v>
      </c>
    </row>
    <row r="184" customFormat="false" ht="15" hidden="false" customHeight="true" outlineLevel="0" collapsed="false">
      <c r="A184" s="5" t="s">
        <v>68</v>
      </c>
      <c r="B184" s="6" t="n">
        <v>45748</v>
      </c>
      <c r="C184" s="5" t="s">
        <v>29</v>
      </c>
      <c r="D184" s="5" t="s">
        <v>23</v>
      </c>
      <c r="E184" s="5" t="n">
        <v>74881.56</v>
      </c>
      <c r="F184" s="5" t="n">
        <v>9999</v>
      </c>
      <c r="G184" s="5" t="n">
        <v>0.013</v>
      </c>
      <c r="H184" s="5" t="n">
        <v>20</v>
      </c>
      <c r="I184" s="5" t="n">
        <v>89.6</v>
      </c>
      <c r="J184" s="5" t="n">
        <v>8.44</v>
      </c>
      <c r="K184" s="5" t="n">
        <v>0</v>
      </c>
      <c r="L184" s="5" t="n">
        <v>4.1</v>
      </c>
      <c r="M184" s="5" t="n">
        <v>898031.04</v>
      </c>
      <c r="N184" s="5" t="n">
        <v>138666.5</v>
      </c>
    </row>
    <row r="185" customFormat="false" ht="15" hidden="false" customHeight="true" outlineLevel="0" collapsed="false">
      <c r="A185" s="5" t="s">
        <v>69</v>
      </c>
      <c r="B185" s="6" t="n">
        <v>45658</v>
      </c>
      <c r="C185" s="5" t="s">
        <v>29</v>
      </c>
      <c r="D185" s="5" t="s">
        <v>18</v>
      </c>
      <c r="E185" s="5" t="n">
        <v>68491.11</v>
      </c>
      <c r="F185" s="5" t="n">
        <v>11154</v>
      </c>
      <c r="G185" s="5" t="n">
        <v>0.001</v>
      </c>
      <c r="H185" s="5" t="n">
        <v>24</v>
      </c>
      <c r="I185" s="5" t="n">
        <v>89.4</v>
      </c>
      <c r="J185" s="5" t="n">
        <v>5.27</v>
      </c>
      <c r="K185" s="5" t="n">
        <v>1</v>
      </c>
      <c r="L185" s="5" t="n">
        <v>3.9</v>
      </c>
      <c r="M185" s="5" t="n">
        <v>855341.28</v>
      </c>
      <c r="N185" s="5" t="n">
        <v>175823.8</v>
      </c>
    </row>
    <row r="186" customFormat="false" ht="15" hidden="false" customHeight="true" outlineLevel="0" collapsed="false">
      <c r="A186" s="5" t="s">
        <v>69</v>
      </c>
      <c r="B186" s="6" t="n">
        <v>45689</v>
      </c>
      <c r="C186" s="5" t="s">
        <v>29</v>
      </c>
      <c r="D186" s="5" t="s">
        <v>18</v>
      </c>
      <c r="E186" s="5" t="n">
        <v>45209.25</v>
      </c>
      <c r="F186" s="5" t="n">
        <v>9287</v>
      </c>
      <c r="G186" s="5" t="n">
        <v>0.141</v>
      </c>
      <c r="H186" s="5" t="n">
        <v>22</v>
      </c>
      <c r="I186" s="5" t="n">
        <v>86.4</v>
      </c>
      <c r="J186" s="5" t="n">
        <v>13.22</v>
      </c>
      <c r="K186" s="5" t="n">
        <v>0</v>
      </c>
      <c r="L186" s="5" t="n">
        <v>3.6</v>
      </c>
      <c r="M186" s="5" t="n">
        <v>751393.88</v>
      </c>
      <c r="N186" s="5" t="n">
        <v>91480.32</v>
      </c>
    </row>
    <row r="187" customFormat="false" ht="15" hidden="false" customHeight="true" outlineLevel="0" collapsed="false">
      <c r="A187" s="5" t="s">
        <v>69</v>
      </c>
      <c r="B187" s="6" t="n">
        <v>45717</v>
      </c>
      <c r="C187" s="5" t="s">
        <v>29</v>
      </c>
      <c r="D187" s="5" t="s">
        <v>18</v>
      </c>
      <c r="E187" s="5" t="n">
        <v>63010.23</v>
      </c>
      <c r="F187" s="5" t="n">
        <v>9812</v>
      </c>
      <c r="G187" s="5" t="n">
        <v>0.113</v>
      </c>
      <c r="H187" s="5" t="n">
        <v>24</v>
      </c>
      <c r="I187" s="5" t="n">
        <v>76.8</v>
      </c>
      <c r="J187" s="5" t="n">
        <v>1.02</v>
      </c>
      <c r="K187" s="5" t="n">
        <v>1</v>
      </c>
      <c r="L187" s="5" t="n">
        <v>3.8</v>
      </c>
      <c r="M187" s="5" t="n">
        <v>761077.08</v>
      </c>
      <c r="N187" s="5" t="n">
        <v>113605.93</v>
      </c>
    </row>
    <row r="188" customFormat="false" ht="15" hidden="false" customHeight="true" outlineLevel="0" collapsed="false">
      <c r="A188" s="5" t="s">
        <v>69</v>
      </c>
      <c r="B188" s="6" t="n">
        <v>45748</v>
      </c>
      <c r="C188" s="5" t="s">
        <v>29</v>
      </c>
      <c r="D188" s="5" t="s">
        <v>18</v>
      </c>
      <c r="E188" s="5" t="n">
        <v>57948.88</v>
      </c>
      <c r="F188" s="5" t="n">
        <v>10741</v>
      </c>
      <c r="G188" s="5" t="n">
        <v>0.07</v>
      </c>
      <c r="H188" s="5" t="n">
        <v>25</v>
      </c>
      <c r="I188" s="5" t="n">
        <v>90.1</v>
      </c>
      <c r="J188" s="5" t="n">
        <v>4.03</v>
      </c>
      <c r="K188" s="5" t="n">
        <v>0</v>
      </c>
      <c r="L188" s="5" t="n">
        <v>3.1</v>
      </c>
      <c r="M188" s="5" t="n">
        <v>819660.59</v>
      </c>
      <c r="N188" s="5" t="n">
        <v>172699.95</v>
      </c>
    </row>
    <row r="189" customFormat="false" ht="15" hidden="false" customHeight="true" outlineLevel="0" collapsed="false">
      <c r="A189" s="5" t="s">
        <v>70</v>
      </c>
      <c r="B189" s="6" t="n">
        <v>45658</v>
      </c>
      <c r="C189" s="5" t="s">
        <v>22</v>
      </c>
      <c r="D189" s="5" t="s">
        <v>20</v>
      </c>
      <c r="E189" s="5" t="n">
        <v>71941.62</v>
      </c>
      <c r="F189" s="5" t="n">
        <v>6084</v>
      </c>
      <c r="G189" s="5" t="n">
        <v>0.072</v>
      </c>
      <c r="H189" s="5" t="n">
        <v>13</v>
      </c>
      <c r="I189" s="5" t="n">
        <v>93.7</v>
      </c>
      <c r="J189" s="5" t="n">
        <v>2.34</v>
      </c>
      <c r="K189" s="5" t="n">
        <v>0</v>
      </c>
      <c r="L189" s="5" t="n">
        <v>4.4</v>
      </c>
      <c r="M189" s="5" t="n">
        <v>681855.56</v>
      </c>
      <c r="N189" s="5" t="n">
        <v>117645.61</v>
      </c>
    </row>
    <row r="190" customFormat="false" ht="15" hidden="false" customHeight="true" outlineLevel="0" collapsed="false">
      <c r="A190" s="5" t="s">
        <v>70</v>
      </c>
      <c r="B190" s="6" t="n">
        <v>45689</v>
      </c>
      <c r="C190" s="5" t="s">
        <v>22</v>
      </c>
      <c r="D190" s="5" t="s">
        <v>20</v>
      </c>
      <c r="E190" s="5" t="n">
        <v>57147.88</v>
      </c>
      <c r="F190" s="5" t="n">
        <v>5252</v>
      </c>
      <c r="G190" s="5" t="n">
        <v>0.161</v>
      </c>
      <c r="H190" s="5" t="n">
        <v>15</v>
      </c>
      <c r="I190" s="5" t="n">
        <v>95.5</v>
      </c>
      <c r="J190" s="5" t="n">
        <v>8.51</v>
      </c>
      <c r="K190" s="5" t="n">
        <v>0</v>
      </c>
      <c r="L190" s="5" t="n">
        <v>4.4</v>
      </c>
      <c r="M190" s="5" t="n">
        <v>678311.17</v>
      </c>
      <c r="N190" s="5" t="n">
        <v>132029.76</v>
      </c>
    </row>
    <row r="191" customFormat="false" ht="15" hidden="false" customHeight="true" outlineLevel="0" collapsed="false">
      <c r="A191" s="5" t="s">
        <v>70</v>
      </c>
      <c r="B191" s="6" t="n">
        <v>45717</v>
      </c>
      <c r="C191" s="5" t="s">
        <v>22</v>
      </c>
      <c r="D191" s="5" t="s">
        <v>20</v>
      </c>
      <c r="E191" s="5" t="n">
        <v>48031.74</v>
      </c>
      <c r="F191" s="5" t="n">
        <v>6516</v>
      </c>
      <c r="G191" s="5" t="n">
        <v>0.067</v>
      </c>
      <c r="H191" s="5" t="n">
        <v>14</v>
      </c>
      <c r="I191" s="5" t="n">
        <v>99</v>
      </c>
      <c r="J191" s="5" t="n">
        <v>0.48</v>
      </c>
      <c r="K191" s="5" t="n">
        <v>1</v>
      </c>
      <c r="L191" s="5" t="n">
        <v>4.3</v>
      </c>
      <c r="M191" s="5" t="n">
        <v>765906.95</v>
      </c>
      <c r="N191" s="5" t="n">
        <v>114005.9</v>
      </c>
    </row>
    <row r="192" customFormat="false" ht="15" hidden="false" customHeight="true" outlineLevel="0" collapsed="false">
      <c r="A192" s="5" t="s">
        <v>70</v>
      </c>
      <c r="B192" s="6" t="n">
        <v>45748</v>
      </c>
      <c r="C192" s="5" t="s">
        <v>22</v>
      </c>
      <c r="D192" s="5" t="s">
        <v>20</v>
      </c>
      <c r="E192" s="5" t="n">
        <v>72784.8</v>
      </c>
      <c r="F192" s="5" t="n">
        <v>7932</v>
      </c>
      <c r="G192" s="5" t="n">
        <v>0.094</v>
      </c>
      <c r="H192" s="5" t="n">
        <v>20</v>
      </c>
      <c r="I192" s="5" t="n">
        <v>74.9</v>
      </c>
      <c r="J192" s="5" t="n">
        <v>13.62</v>
      </c>
      <c r="K192" s="5" t="n">
        <v>0</v>
      </c>
      <c r="L192" s="5" t="n">
        <v>4.2</v>
      </c>
      <c r="M192" s="5" t="n">
        <v>712546.38</v>
      </c>
      <c r="N192" s="5" t="n">
        <v>101480.04</v>
      </c>
    </row>
    <row r="193" customFormat="false" ht="15" hidden="false" customHeight="true" outlineLevel="0" collapsed="false">
      <c r="A193" s="5" t="s">
        <v>71</v>
      </c>
      <c r="B193" s="6" t="n">
        <v>45658</v>
      </c>
      <c r="C193" s="5" t="s">
        <v>17</v>
      </c>
      <c r="D193" s="5" t="s">
        <v>20</v>
      </c>
      <c r="E193" s="5" t="n">
        <v>71641.9</v>
      </c>
      <c r="F193" s="5" t="n">
        <v>3506</v>
      </c>
      <c r="G193" s="5" t="n">
        <v>0</v>
      </c>
      <c r="H193" s="5" t="n">
        <v>11</v>
      </c>
      <c r="I193" s="5" t="n">
        <v>86.4</v>
      </c>
      <c r="J193" s="5" t="n">
        <v>7.77</v>
      </c>
      <c r="K193" s="5" t="n">
        <v>0</v>
      </c>
      <c r="L193" s="5" t="n">
        <v>4.1</v>
      </c>
      <c r="M193" s="5" t="n">
        <v>625993.83</v>
      </c>
      <c r="N193" s="5" t="n">
        <v>98960.32</v>
      </c>
    </row>
    <row r="194" customFormat="false" ht="15" hidden="false" customHeight="true" outlineLevel="0" collapsed="false">
      <c r="A194" s="5" t="s">
        <v>71</v>
      </c>
      <c r="B194" s="6" t="n">
        <v>45689</v>
      </c>
      <c r="C194" s="5" t="s">
        <v>17</v>
      </c>
      <c r="D194" s="5" t="s">
        <v>20</v>
      </c>
      <c r="E194" s="5" t="n">
        <v>55788.61</v>
      </c>
      <c r="F194" s="5" t="n">
        <v>2312</v>
      </c>
      <c r="G194" s="5" t="n">
        <v>0.058</v>
      </c>
      <c r="H194" s="5" t="n">
        <v>10</v>
      </c>
      <c r="I194" s="5" t="n">
        <v>91.3</v>
      </c>
      <c r="J194" s="5" t="n">
        <v>1.99</v>
      </c>
      <c r="K194" s="5" t="n">
        <v>0</v>
      </c>
      <c r="L194" s="5" t="n">
        <v>3.8</v>
      </c>
      <c r="M194" s="5" t="n">
        <v>550962.93</v>
      </c>
      <c r="N194" s="5" t="n">
        <v>97144.58</v>
      </c>
    </row>
    <row r="195" customFormat="false" ht="15" hidden="false" customHeight="true" outlineLevel="0" collapsed="false">
      <c r="A195" s="5" t="s">
        <v>71</v>
      </c>
      <c r="B195" s="6" t="n">
        <v>45717</v>
      </c>
      <c r="C195" s="5" t="s">
        <v>17</v>
      </c>
      <c r="D195" s="5" t="s">
        <v>20</v>
      </c>
      <c r="E195" s="5" t="n">
        <v>37705.88</v>
      </c>
      <c r="F195" s="5" t="n">
        <v>1268</v>
      </c>
      <c r="G195" s="5" t="n">
        <v>0.259</v>
      </c>
      <c r="H195" s="5" t="n">
        <v>9</v>
      </c>
      <c r="I195" s="5" t="n">
        <v>84.1</v>
      </c>
      <c r="J195" s="5" t="n">
        <v>4.77</v>
      </c>
      <c r="K195" s="5" t="n">
        <v>0</v>
      </c>
      <c r="L195" s="5" t="n">
        <v>3.8</v>
      </c>
      <c r="M195" s="5" t="n">
        <v>443275.59</v>
      </c>
      <c r="N195" s="5" t="n">
        <v>53544.36</v>
      </c>
    </row>
    <row r="196" customFormat="false" ht="15" hidden="false" customHeight="true" outlineLevel="0" collapsed="false">
      <c r="A196" s="5" t="s">
        <v>71</v>
      </c>
      <c r="B196" s="6" t="n">
        <v>45748</v>
      </c>
      <c r="C196" s="5" t="s">
        <v>17</v>
      </c>
      <c r="D196" s="5" t="s">
        <v>20</v>
      </c>
      <c r="E196" s="5" t="n">
        <v>54966.18</v>
      </c>
      <c r="F196" s="5" t="n">
        <v>4423</v>
      </c>
      <c r="G196" s="5" t="n">
        <v>0.186</v>
      </c>
      <c r="H196" s="5" t="n">
        <v>13</v>
      </c>
      <c r="I196" s="5" t="n">
        <v>88.7</v>
      </c>
      <c r="J196" s="5" t="n">
        <v>0.2</v>
      </c>
      <c r="K196" s="5" t="n">
        <v>0</v>
      </c>
      <c r="L196" s="5" t="n">
        <v>4.4</v>
      </c>
      <c r="M196" s="5" t="n">
        <v>554012.07</v>
      </c>
      <c r="N196" s="5" t="n">
        <v>81101.62</v>
      </c>
    </row>
    <row r="197" customFormat="false" ht="15" hidden="false" customHeight="true" outlineLevel="0" collapsed="false">
      <c r="A197" s="5" t="s">
        <v>72</v>
      </c>
      <c r="B197" s="6" t="n">
        <v>45658</v>
      </c>
      <c r="C197" s="5" t="s">
        <v>29</v>
      </c>
      <c r="D197" s="5" t="s">
        <v>18</v>
      </c>
      <c r="E197" s="5" t="n">
        <v>81796.74</v>
      </c>
      <c r="F197" s="5" t="n">
        <v>6177</v>
      </c>
      <c r="G197" s="5" t="n">
        <v>0.164</v>
      </c>
      <c r="H197" s="5" t="n">
        <v>14</v>
      </c>
      <c r="I197" s="5" t="n">
        <v>87.9</v>
      </c>
      <c r="J197" s="5" t="n">
        <v>0.53</v>
      </c>
      <c r="K197" s="5" t="n">
        <v>0</v>
      </c>
      <c r="L197" s="5" t="n">
        <v>3.2</v>
      </c>
      <c r="M197" s="5" t="n">
        <v>643428.85</v>
      </c>
      <c r="N197" s="5" t="n">
        <v>94477.63</v>
      </c>
    </row>
    <row r="198" customFormat="false" ht="15" hidden="false" customHeight="true" outlineLevel="0" collapsed="false">
      <c r="A198" s="5" t="s">
        <v>72</v>
      </c>
      <c r="B198" s="6" t="n">
        <v>45689</v>
      </c>
      <c r="C198" s="5" t="s">
        <v>29</v>
      </c>
      <c r="D198" s="5" t="s">
        <v>18</v>
      </c>
      <c r="E198" s="5" t="n">
        <v>51133.43</v>
      </c>
      <c r="F198" s="5" t="n">
        <v>5150</v>
      </c>
      <c r="G198" s="5" t="n">
        <v>0.15</v>
      </c>
      <c r="H198" s="5" t="n">
        <v>12</v>
      </c>
      <c r="I198" s="5" t="n">
        <v>88.5</v>
      </c>
      <c r="J198" s="5" t="n">
        <v>1.54</v>
      </c>
      <c r="K198" s="5" t="n">
        <v>0</v>
      </c>
      <c r="L198" s="5" t="n">
        <v>3.2</v>
      </c>
      <c r="M198" s="5" t="n">
        <v>611924.27</v>
      </c>
      <c r="N198" s="5" t="n">
        <v>115488.75</v>
      </c>
    </row>
    <row r="199" customFormat="false" ht="15" hidden="false" customHeight="true" outlineLevel="0" collapsed="false">
      <c r="A199" s="5" t="s">
        <v>72</v>
      </c>
      <c r="B199" s="6" t="n">
        <v>45717</v>
      </c>
      <c r="C199" s="5" t="s">
        <v>29</v>
      </c>
      <c r="D199" s="5" t="s">
        <v>18</v>
      </c>
      <c r="E199" s="5" t="n">
        <v>40220.18</v>
      </c>
      <c r="F199" s="5" t="n">
        <v>3783</v>
      </c>
      <c r="G199" s="5" t="n">
        <v>0.089</v>
      </c>
      <c r="H199" s="5" t="n">
        <v>14</v>
      </c>
      <c r="I199" s="5" t="n">
        <v>86.6</v>
      </c>
      <c r="J199" s="5" t="n">
        <v>3.63</v>
      </c>
      <c r="K199" s="5" t="n">
        <v>0</v>
      </c>
      <c r="L199" s="5" t="n">
        <v>3.7</v>
      </c>
      <c r="M199" s="5" t="n">
        <v>559422.02</v>
      </c>
      <c r="N199" s="5" t="n">
        <v>73528.74</v>
      </c>
    </row>
    <row r="200" customFormat="false" ht="15" hidden="false" customHeight="true" outlineLevel="0" collapsed="false">
      <c r="A200" s="5" t="s">
        <v>72</v>
      </c>
      <c r="B200" s="6" t="n">
        <v>45748</v>
      </c>
      <c r="C200" s="5" t="s">
        <v>29</v>
      </c>
      <c r="D200" s="5" t="s">
        <v>18</v>
      </c>
      <c r="E200" s="5" t="n">
        <v>41657.64</v>
      </c>
      <c r="F200" s="5" t="n">
        <v>3135</v>
      </c>
      <c r="G200" s="5" t="n">
        <v>0.229</v>
      </c>
      <c r="H200" s="5" t="n">
        <v>7</v>
      </c>
      <c r="I200" s="5" t="n">
        <v>85.4</v>
      </c>
      <c r="J200" s="5" t="n">
        <v>13.48</v>
      </c>
      <c r="K200" s="5" t="n">
        <v>0</v>
      </c>
      <c r="L200" s="5"/>
      <c r="M200" s="5" t="n">
        <v>449465.06</v>
      </c>
      <c r="N200" s="5" t="n">
        <v>65694.78</v>
      </c>
    </row>
    <row r="201" customFormat="false" ht="15" hidden="false" customHeight="true" outlineLevel="0" collapsed="false">
      <c r="A201" s="5" t="s">
        <v>73</v>
      </c>
      <c r="B201" s="6" t="n">
        <v>45658</v>
      </c>
      <c r="C201" s="5" t="s">
        <v>22</v>
      </c>
      <c r="D201" s="5" t="s">
        <v>18</v>
      </c>
      <c r="E201" s="5" t="n">
        <v>71851.45</v>
      </c>
      <c r="F201" s="5" t="n">
        <v>4970</v>
      </c>
      <c r="G201" s="5" t="n">
        <v>0.098</v>
      </c>
      <c r="H201" s="5" t="n">
        <v>11</v>
      </c>
      <c r="I201" s="5" t="n">
        <v>89.6</v>
      </c>
      <c r="J201" s="5" t="n">
        <v>0.2</v>
      </c>
      <c r="K201" s="5" t="n">
        <v>0</v>
      </c>
      <c r="L201" s="5" t="n">
        <v>4.2</v>
      </c>
      <c r="M201" s="5" t="n">
        <v>691447.43</v>
      </c>
      <c r="N201" s="5" t="n">
        <v>114077.69</v>
      </c>
    </row>
    <row r="202" customFormat="false" ht="15" hidden="false" customHeight="true" outlineLevel="0" collapsed="false">
      <c r="A202" s="5" t="s">
        <v>73</v>
      </c>
      <c r="B202" s="6" t="n">
        <v>45689</v>
      </c>
      <c r="C202" s="5" t="s">
        <v>22</v>
      </c>
      <c r="D202" s="5" t="s">
        <v>18</v>
      </c>
      <c r="E202" s="5" t="n">
        <v>54002.83</v>
      </c>
      <c r="F202" s="5" t="n">
        <v>4366</v>
      </c>
      <c r="G202" s="5" t="n">
        <v>0.027</v>
      </c>
      <c r="H202" s="5" t="n">
        <v>15</v>
      </c>
      <c r="I202" s="5" t="n">
        <v>90.6</v>
      </c>
      <c r="J202" s="5" t="n">
        <v>12.82</v>
      </c>
      <c r="K202" s="5" t="n">
        <v>0</v>
      </c>
      <c r="L202" s="5" t="n">
        <v>4.6</v>
      </c>
      <c r="M202" s="5" t="n">
        <v>574066.61</v>
      </c>
      <c r="N202" s="5" t="n">
        <v>124674.67</v>
      </c>
    </row>
    <row r="203" customFormat="false" ht="15" hidden="false" customHeight="true" outlineLevel="0" collapsed="false">
      <c r="A203" s="5" t="s">
        <v>73</v>
      </c>
      <c r="B203" s="6" t="n">
        <v>45717</v>
      </c>
      <c r="C203" s="5" t="s">
        <v>22</v>
      </c>
      <c r="D203" s="5" t="s">
        <v>18</v>
      </c>
      <c r="E203" s="5" t="n">
        <v>54479.33</v>
      </c>
      <c r="F203" s="5" t="n">
        <v>5012</v>
      </c>
      <c r="G203" s="5" t="n">
        <v>0.284</v>
      </c>
      <c r="H203" s="5" t="n">
        <v>13</v>
      </c>
      <c r="I203" s="5" t="n">
        <v>86</v>
      </c>
      <c r="J203" s="5" t="n">
        <v>2.24</v>
      </c>
      <c r="K203" s="5" t="n">
        <v>1</v>
      </c>
      <c r="L203" s="5" t="n">
        <v>4.3</v>
      </c>
      <c r="M203" s="5" t="n">
        <v>578949.84</v>
      </c>
      <c r="N203" s="5" t="n">
        <v>80253.65</v>
      </c>
    </row>
    <row r="204" customFormat="false" ht="15" hidden="false" customHeight="true" outlineLevel="0" collapsed="false">
      <c r="A204" s="5" t="s">
        <v>73</v>
      </c>
      <c r="B204" s="6" t="n">
        <v>45748</v>
      </c>
      <c r="C204" s="5" t="s">
        <v>22</v>
      </c>
      <c r="D204" s="5" t="s">
        <v>18</v>
      </c>
      <c r="E204" s="5" t="n">
        <v>61391.8</v>
      </c>
      <c r="F204" s="5" t="n">
        <v>5575</v>
      </c>
      <c r="G204" s="5" t="n">
        <v>0.189</v>
      </c>
      <c r="H204" s="5" t="n">
        <v>18</v>
      </c>
      <c r="I204" s="5" t="n">
        <v>90</v>
      </c>
      <c r="J204" s="5" t="n">
        <v>1.8</v>
      </c>
      <c r="K204" s="5" t="n">
        <v>0</v>
      </c>
      <c r="L204" s="5" t="n">
        <v>4.8</v>
      </c>
      <c r="M204" s="5" t="n">
        <v>735786.64</v>
      </c>
      <c r="N204" s="5" t="n">
        <v>126540.66</v>
      </c>
    </row>
    <row r="205" customFormat="false" ht="15" hidden="false" customHeight="true" outlineLevel="0" collapsed="false">
      <c r="A205" s="5" t="s">
        <v>74</v>
      </c>
      <c r="B205" s="6" t="n">
        <v>45658</v>
      </c>
      <c r="C205" s="5" t="s">
        <v>17</v>
      </c>
      <c r="D205" s="5" t="s">
        <v>23</v>
      </c>
      <c r="E205" s="5" t="n">
        <v>22312.93</v>
      </c>
      <c r="F205" s="5" t="n">
        <v>5955</v>
      </c>
      <c r="G205" s="5" t="n">
        <v>0.123</v>
      </c>
      <c r="H205" s="5" t="n">
        <v>13</v>
      </c>
      <c r="I205" s="5" t="n">
        <v>84.2</v>
      </c>
      <c r="J205" s="5" t="n">
        <v>0.41</v>
      </c>
      <c r="K205" s="5" t="n">
        <v>1</v>
      </c>
      <c r="L205" s="5" t="n">
        <v>4.6</v>
      </c>
      <c r="M205" s="5" t="n">
        <v>598904.9</v>
      </c>
      <c r="N205" s="5" t="n">
        <v>72861</v>
      </c>
    </row>
    <row r="206" customFormat="false" ht="15" hidden="false" customHeight="true" outlineLevel="0" collapsed="false">
      <c r="A206" s="5" t="s">
        <v>74</v>
      </c>
      <c r="B206" s="6" t="n">
        <v>45689</v>
      </c>
      <c r="C206" s="5" t="s">
        <v>17</v>
      </c>
      <c r="D206" s="5" t="s">
        <v>23</v>
      </c>
      <c r="E206" s="5" t="n">
        <v>78111.97</v>
      </c>
      <c r="F206" s="5" t="n">
        <v>6389</v>
      </c>
      <c r="G206" s="5" t="n">
        <v>0.15</v>
      </c>
      <c r="H206" s="5" t="n">
        <v>13</v>
      </c>
      <c r="I206" s="5" t="n">
        <v>83.9</v>
      </c>
      <c r="J206" s="5" t="n">
        <v>3.05</v>
      </c>
      <c r="K206" s="5" t="n">
        <v>0</v>
      </c>
      <c r="L206" s="5" t="n">
        <v>4.8</v>
      </c>
      <c r="M206" s="5" t="n">
        <v>787715.51</v>
      </c>
      <c r="N206" s="5" t="n">
        <v>128969.62</v>
      </c>
    </row>
    <row r="207" customFormat="false" ht="15" hidden="false" customHeight="true" outlineLevel="0" collapsed="false">
      <c r="A207" s="5" t="s">
        <v>74</v>
      </c>
      <c r="B207" s="6" t="n">
        <v>45717</v>
      </c>
      <c r="C207" s="5" t="s">
        <v>17</v>
      </c>
      <c r="D207" s="5" t="s">
        <v>23</v>
      </c>
      <c r="E207" s="5" t="n">
        <v>35203.23</v>
      </c>
      <c r="F207" s="5" t="n">
        <v>6896</v>
      </c>
      <c r="G207" s="5" t="n">
        <v>0.032</v>
      </c>
      <c r="H207" s="5" t="n">
        <v>14</v>
      </c>
      <c r="I207" s="5" t="n">
        <v>80.8</v>
      </c>
      <c r="J207" s="5" t="n">
        <v>8.44</v>
      </c>
      <c r="K207" s="5" t="n">
        <v>1</v>
      </c>
      <c r="L207" s="5" t="n">
        <v>5</v>
      </c>
      <c r="M207" s="5" t="n">
        <v>607084.92</v>
      </c>
      <c r="N207" s="5" t="n">
        <v>98558.49</v>
      </c>
    </row>
    <row r="208" customFormat="false" ht="15" hidden="false" customHeight="true" outlineLevel="0" collapsed="false">
      <c r="A208" s="5" t="s">
        <v>74</v>
      </c>
      <c r="B208" s="6" t="n">
        <v>45748</v>
      </c>
      <c r="C208" s="5" t="s">
        <v>17</v>
      </c>
      <c r="D208" s="5" t="s">
        <v>23</v>
      </c>
      <c r="E208" s="5" t="n">
        <v>64104.28</v>
      </c>
      <c r="F208" s="5" t="n">
        <v>6015</v>
      </c>
      <c r="G208" s="5" t="n">
        <v>0.127</v>
      </c>
      <c r="H208" s="5" t="n">
        <v>15</v>
      </c>
      <c r="I208" s="5" t="n">
        <v>88.7</v>
      </c>
      <c r="J208" s="5" t="n">
        <v>0.78</v>
      </c>
      <c r="K208" s="5" t="n">
        <v>0</v>
      </c>
      <c r="L208" s="5" t="n">
        <v>4</v>
      </c>
      <c r="M208" s="5" t="n">
        <v>650795.49</v>
      </c>
      <c r="N208" s="5" t="n">
        <v>103035.89</v>
      </c>
    </row>
    <row r="209" customFormat="false" ht="15" hidden="false" customHeight="true" outlineLevel="0" collapsed="false">
      <c r="A209" s="5" t="s">
        <v>75</v>
      </c>
      <c r="B209" s="6" t="n">
        <v>45658</v>
      </c>
      <c r="C209" s="5" t="s">
        <v>17</v>
      </c>
      <c r="D209" s="5" t="s">
        <v>30</v>
      </c>
      <c r="E209" s="5" t="n">
        <v>92090.14</v>
      </c>
      <c r="F209" s="5" t="n">
        <v>9476</v>
      </c>
      <c r="G209" s="5" t="n">
        <v>0.07</v>
      </c>
      <c r="H209" s="5" t="n">
        <v>24</v>
      </c>
      <c r="I209" s="5" t="n">
        <v>94.3</v>
      </c>
      <c r="J209" s="5" t="n">
        <v>0.87</v>
      </c>
      <c r="K209" s="5" t="n">
        <v>0</v>
      </c>
      <c r="L209" s="5" t="n">
        <v>3.7</v>
      </c>
      <c r="M209" s="5" t="n">
        <v>825060.52</v>
      </c>
      <c r="N209" s="5" t="n">
        <v>143613.15</v>
      </c>
    </row>
    <row r="210" customFormat="false" ht="15" hidden="false" customHeight="true" outlineLevel="0" collapsed="false">
      <c r="A210" s="5" t="s">
        <v>75</v>
      </c>
      <c r="B210" s="6" t="n">
        <v>45689</v>
      </c>
      <c r="C210" s="5" t="s">
        <v>17</v>
      </c>
      <c r="D210" s="5" t="s">
        <v>30</v>
      </c>
      <c r="E210" s="5" t="n">
        <v>54300.87</v>
      </c>
      <c r="F210" s="5" t="n">
        <v>7875</v>
      </c>
      <c r="G210" s="5" t="n">
        <v>0.107</v>
      </c>
      <c r="H210" s="5" t="n">
        <v>19</v>
      </c>
      <c r="I210" s="5" t="n">
        <v>94.1</v>
      </c>
      <c r="J210" s="5" t="n">
        <v>0.95</v>
      </c>
      <c r="K210" s="5" t="n">
        <v>0</v>
      </c>
      <c r="L210" s="5" t="n">
        <v>3.7</v>
      </c>
      <c r="M210" s="5" t="n">
        <v>795464.47</v>
      </c>
      <c r="N210" s="5" t="n">
        <v>161150.52</v>
      </c>
    </row>
    <row r="211" customFormat="false" ht="15" hidden="false" customHeight="true" outlineLevel="0" collapsed="false">
      <c r="A211" s="5" t="s">
        <v>75</v>
      </c>
      <c r="B211" s="6" t="n">
        <v>45717</v>
      </c>
      <c r="C211" s="5" t="s">
        <v>17</v>
      </c>
      <c r="D211" s="5" t="s">
        <v>30</v>
      </c>
      <c r="E211" s="5" t="n">
        <v>37983.35</v>
      </c>
      <c r="F211" s="5" t="n">
        <v>9283</v>
      </c>
      <c r="G211" s="5" t="n">
        <v>0.149</v>
      </c>
      <c r="H211" s="5" t="n">
        <v>19</v>
      </c>
      <c r="I211" s="5" t="n">
        <v>83.2</v>
      </c>
      <c r="J211" s="5" t="n">
        <v>3.82</v>
      </c>
      <c r="K211" s="5" t="n">
        <v>0</v>
      </c>
      <c r="L211" s="5" t="n">
        <v>3.7</v>
      </c>
      <c r="M211" s="5" t="n">
        <v>671868.59</v>
      </c>
      <c r="N211" s="5" t="n">
        <v>71003.28</v>
      </c>
    </row>
    <row r="212" customFormat="false" ht="15" hidden="false" customHeight="true" outlineLevel="0" collapsed="false">
      <c r="A212" s="5" t="s">
        <v>75</v>
      </c>
      <c r="B212" s="6" t="n">
        <v>45748</v>
      </c>
      <c r="C212" s="5" t="s">
        <v>17</v>
      </c>
      <c r="D212" s="5" t="s">
        <v>30</v>
      </c>
      <c r="E212" s="5" t="n">
        <v>56413.83</v>
      </c>
      <c r="F212" s="5" t="n">
        <v>8303</v>
      </c>
      <c r="G212" s="5" t="n">
        <v>0.116</v>
      </c>
      <c r="H212" s="5" t="n">
        <v>18</v>
      </c>
      <c r="I212" s="5" t="n">
        <v>93.6</v>
      </c>
      <c r="J212" s="5" t="n">
        <v>2.7</v>
      </c>
      <c r="K212" s="5" t="n">
        <v>0</v>
      </c>
      <c r="L212" s="5" t="n">
        <v>3.7</v>
      </c>
      <c r="M212" s="5" t="n">
        <v>675917.63</v>
      </c>
      <c r="N212" s="5" t="n">
        <v>112564.75</v>
      </c>
    </row>
    <row r="213" customFormat="false" ht="15" hidden="false" customHeight="true" outlineLevel="0" collapsed="false">
      <c r="A213" s="5" t="s">
        <v>76</v>
      </c>
      <c r="B213" s="6" t="n">
        <v>45658</v>
      </c>
      <c r="C213" s="5" t="s">
        <v>17</v>
      </c>
      <c r="D213" s="5" t="s">
        <v>20</v>
      </c>
      <c r="E213" s="5" t="n">
        <v>63457.19</v>
      </c>
      <c r="F213" s="5" t="n">
        <v>10125</v>
      </c>
      <c r="G213" s="5" t="n">
        <v>0.097</v>
      </c>
      <c r="H213" s="5" t="n">
        <v>24</v>
      </c>
      <c r="I213" s="5" t="n">
        <v>87</v>
      </c>
      <c r="J213" s="5" t="n">
        <v>3.84</v>
      </c>
      <c r="K213" s="5" t="n">
        <v>1</v>
      </c>
      <c r="L213" s="5" t="n">
        <v>3.7</v>
      </c>
      <c r="M213" s="5" t="n">
        <v>810446.53</v>
      </c>
      <c r="N213" s="5" t="n">
        <v>200575.34</v>
      </c>
    </row>
    <row r="214" customFormat="false" ht="15" hidden="false" customHeight="true" outlineLevel="0" collapsed="false">
      <c r="A214" s="5" t="s">
        <v>76</v>
      </c>
      <c r="B214" s="6" t="n">
        <v>45689</v>
      </c>
      <c r="C214" s="5" t="s">
        <v>17</v>
      </c>
      <c r="D214" s="5" t="s">
        <v>20</v>
      </c>
      <c r="E214" s="5" t="n">
        <v>62949.7</v>
      </c>
      <c r="F214" s="5" t="n">
        <v>9458</v>
      </c>
      <c r="G214" s="5" t="n">
        <v>0.171</v>
      </c>
      <c r="H214" s="5" t="n">
        <v>19</v>
      </c>
      <c r="I214" s="5" t="n">
        <v>84.9</v>
      </c>
      <c r="J214" s="5" t="n">
        <v>5.09</v>
      </c>
      <c r="K214" s="5" t="n">
        <v>0</v>
      </c>
      <c r="L214" s="5" t="n">
        <v>3.3</v>
      </c>
      <c r="M214" s="5" t="n">
        <v>691288.19</v>
      </c>
      <c r="N214" s="5" t="n">
        <v>159074.14</v>
      </c>
    </row>
    <row r="215" customFormat="false" ht="15" hidden="false" customHeight="true" outlineLevel="0" collapsed="false">
      <c r="A215" s="5" t="s">
        <v>76</v>
      </c>
      <c r="B215" s="6" t="n">
        <v>45717</v>
      </c>
      <c r="C215" s="5" t="s">
        <v>17</v>
      </c>
      <c r="D215" s="5" t="s">
        <v>20</v>
      </c>
      <c r="E215" s="5" t="n">
        <v>107970.19</v>
      </c>
      <c r="F215" s="5" t="n">
        <v>12870</v>
      </c>
      <c r="G215" s="5" t="n">
        <v>0.029</v>
      </c>
      <c r="H215" s="5" t="n">
        <v>31</v>
      </c>
      <c r="I215" s="5" t="n">
        <v>91.7</v>
      </c>
      <c r="J215" s="5" t="n">
        <v>3.82</v>
      </c>
      <c r="K215" s="5" t="n">
        <v>1</v>
      </c>
      <c r="L215" s="5" t="n">
        <v>3.7</v>
      </c>
      <c r="M215" s="5" t="n">
        <v>946833.54</v>
      </c>
      <c r="N215" s="5" t="n">
        <v>184540.31</v>
      </c>
    </row>
    <row r="216" customFormat="false" ht="15" hidden="false" customHeight="true" outlineLevel="0" collapsed="false">
      <c r="A216" s="5" t="s">
        <v>76</v>
      </c>
      <c r="B216" s="6" t="n">
        <v>45748</v>
      </c>
      <c r="C216" s="5" t="s">
        <v>17</v>
      </c>
      <c r="D216" s="5" t="s">
        <v>20</v>
      </c>
      <c r="E216" s="5" t="n">
        <v>49405.75</v>
      </c>
      <c r="F216" s="5" t="n">
        <v>9752</v>
      </c>
      <c r="G216" s="5" t="n">
        <v>0.093</v>
      </c>
      <c r="H216" s="5" t="n">
        <v>21</v>
      </c>
      <c r="I216" s="5" t="n">
        <v>87</v>
      </c>
      <c r="J216" s="5" t="n">
        <v>12.28</v>
      </c>
      <c r="K216" s="5" t="n">
        <v>0</v>
      </c>
      <c r="L216" s="5" t="n">
        <v>4.1</v>
      </c>
      <c r="M216" s="5" t="n">
        <v>761963.23</v>
      </c>
      <c r="N216" s="5" t="n">
        <v>150113.61</v>
      </c>
    </row>
    <row r="217" customFormat="false" ht="15" hidden="false" customHeight="true" outlineLevel="0" collapsed="false">
      <c r="A217" s="5" t="s">
        <v>77</v>
      </c>
      <c r="B217" s="6" t="n">
        <v>45658</v>
      </c>
      <c r="C217" s="5" t="s">
        <v>29</v>
      </c>
      <c r="D217" s="5" t="s">
        <v>18</v>
      </c>
      <c r="E217" s="5" t="n">
        <v>50887.46</v>
      </c>
      <c r="F217" s="5" t="n">
        <v>9505</v>
      </c>
      <c r="G217" s="5" t="n">
        <v>0.091</v>
      </c>
      <c r="H217" s="5" t="n">
        <v>25</v>
      </c>
      <c r="I217" s="5" t="n">
        <v>89.7</v>
      </c>
      <c r="J217" s="5" t="n">
        <v>2.8</v>
      </c>
      <c r="K217" s="5" t="n">
        <v>0</v>
      </c>
      <c r="L217" s="5" t="n">
        <v>4.3</v>
      </c>
      <c r="M217" s="5" t="n">
        <v>812152.6</v>
      </c>
      <c r="N217" s="5" t="n">
        <v>138419.43</v>
      </c>
    </row>
    <row r="218" customFormat="false" ht="15" hidden="false" customHeight="true" outlineLevel="0" collapsed="false">
      <c r="A218" s="5" t="s">
        <v>77</v>
      </c>
      <c r="B218" s="6" t="n">
        <v>45689</v>
      </c>
      <c r="C218" s="5" t="s">
        <v>29</v>
      </c>
      <c r="D218" s="5" t="s">
        <v>18</v>
      </c>
      <c r="E218" s="5" t="n">
        <v>41819.45</v>
      </c>
      <c r="F218" s="5" t="n">
        <v>9412</v>
      </c>
      <c r="G218" s="5" t="n">
        <v>0.15</v>
      </c>
      <c r="H218" s="5" t="n">
        <v>22</v>
      </c>
      <c r="I218" s="5" t="n">
        <v>91</v>
      </c>
      <c r="J218" s="5" t="n">
        <v>3.67</v>
      </c>
      <c r="K218" s="5" t="n">
        <v>0</v>
      </c>
      <c r="L218" s="5" t="n">
        <v>4.2</v>
      </c>
      <c r="M218" s="5" t="n">
        <v>804975.5</v>
      </c>
      <c r="N218" s="5" t="n">
        <v>140054.5</v>
      </c>
    </row>
    <row r="219" customFormat="false" ht="15" hidden="false" customHeight="true" outlineLevel="0" collapsed="false">
      <c r="A219" s="5" t="s">
        <v>77</v>
      </c>
      <c r="B219" s="6" t="n">
        <v>45717</v>
      </c>
      <c r="C219" s="5" t="s">
        <v>29</v>
      </c>
      <c r="D219" s="5" t="s">
        <v>18</v>
      </c>
      <c r="E219" s="5" t="n">
        <v>35296.54</v>
      </c>
      <c r="F219" s="5" t="n">
        <v>9644</v>
      </c>
      <c r="G219" s="5" t="n">
        <v>0</v>
      </c>
      <c r="H219" s="5" t="n">
        <v>22</v>
      </c>
      <c r="I219" s="5" t="n">
        <v>88</v>
      </c>
      <c r="J219" s="5" t="n">
        <v>2.81</v>
      </c>
      <c r="K219" s="5" t="n">
        <v>0</v>
      </c>
      <c r="L219" s="5" t="n">
        <v>4.7</v>
      </c>
      <c r="M219" s="5" t="n">
        <v>752321.72</v>
      </c>
      <c r="N219" s="5" t="n">
        <v>137788.51</v>
      </c>
    </row>
    <row r="220" customFormat="false" ht="15" hidden="false" customHeight="true" outlineLevel="0" collapsed="false">
      <c r="A220" s="5" t="s">
        <v>77</v>
      </c>
      <c r="B220" s="6" t="n">
        <v>45748</v>
      </c>
      <c r="C220" s="5" t="s">
        <v>29</v>
      </c>
      <c r="D220" s="5" t="s">
        <v>18</v>
      </c>
      <c r="E220" s="5" t="n">
        <v>47391.09</v>
      </c>
      <c r="F220" s="5" t="n">
        <v>11224</v>
      </c>
      <c r="G220" s="5" t="n">
        <v>0.147</v>
      </c>
      <c r="H220" s="5" t="n">
        <v>25</v>
      </c>
      <c r="I220" s="5" t="n">
        <v>88.4</v>
      </c>
      <c r="J220" s="5" t="n">
        <v>2.44</v>
      </c>
      <c r="K220" s="5" t="n">
        <v>0</v>
      </c>
      <c r="L220" s="5" t="n">
        <v>4.9</v>
      </c>
      <c r="M220" s="5" t="n">
        <v>836908.24</v>
      </c>
      <c r="N220" s="5" t="n">
        <v>141090.26</v>
      </c>
    </row>
    <row r="221" customFormat="false" ht="15" hidden="false" customHeight="true" outlineLevel="0" collapsed="false">
      <c r="A221" s="5" t="s">
        <v>78</v>
      </c>
      <c r="B221" s="6" t="n">
        <v>45658</v>
      </c>
      <c r="C221" s="5" t="s">
        <v>22</v>
      </c>
      <c r="D221" s="5" t="s">
        <v>23</v>
      </c>
      <c r="E221" s="5" t="n">
        <v>69180.54</v>
      </c>
      <c r="F221" s="5" t="n">
        <v>5394</v>
      </c>
      <c r="G221" s="5" t="n">
        <v>0.126</v>
      </c>
      <c r="H221" s="5" t="n">
        <v>12</v>
      </c>
      <c r="I221" s="5" t="n">
        <v>82.9</v>
      </c>
      <c r="J221" s="5" t="n">
        <v>3.27</v>
      </c>
      <c r="K221" s="5" t="n">
        <v>0</v>
      </c>
      <c r="L221" s="5" t="n">
        <v>3.3</v>
      </c>
      <c r="M221" s="5" t="n">
        <v>674289.1</v>
      </c>
      <c r="N221" s="5" t="n">
        <v>117773.79</v>
      </c>
    </row>
    <row r="222" customFormat="false" ht="15" hidden="false" customHeight="true" outlineLevel="0" collapsed="false">
      <c r="A222" s="5" t="s">
        <v>78</v>
      </c>
      <c r="B222" s="6" t="n">
        <v>45689</v>
      </c>
      <c r="C222" s="5" t="s">
        <v>22</v>
      </c>
      <c r="D222" s="5" t="s">
        <v>23</v>
      </c>
      <c r="E222" s="5" t="n">
        <v>33987.33</v>
      </c>
      <c r="F222" s="5" t="n">
        <v>5014</v>
      </c>
      <c r="G222" s="5" t="n">
        <v>0.246</v>
      </c>
      <c r="H222" s="5" t="n">
        <v>17</v>
      </c>
      <c r="I222" s="5" t="n">
        <v>94.3</v>
      </c>
      <c r="J222" s="5" t="n">
        <v>10.34</v>
      </c>
      <c r="K222" s="5" t="n">
        <v>0</v>
      </c>
      <c r="L222" s="5" t="n">
        <v>3.9</v>
      </c>
      <c r="M222" s="5" t="n">
        <v>622892.42</v>
      </c>
      <c r="N222" s="5" t="n">
        <v>101032.52</v>
      </c>
    </row>
    <row r="223" customFormat="false" ht="15" hidden="false" customHeight="true" outlineLevel="0" collapsed="false">
      <c r="A223" s="5" t="s">
        <v>78</v>
      </c>
      <c r="B223" s="6" t="n">
        <v>45717</v>
      </c>
      <c r="C223" s="5" t="s">
        <v>22</v>
      </c>
      <c r="D223" s="5" t="s">
        <v>23</v>
      </c>
      <c r="E223" s="5" t="n">
        <v>58785.33</v>
      </c>
      <c r="F223" s="5" t="n">
        <v>4467</v>
      </c>
      <c r="G223" s="5" t="n">
        <v>0.229</v>
      </c>
      <c r="H223" s="5" t="n">
        <v>14</v>
      </c>
      <c r="I223" s="5" t="n">
        <v>90.7</v>
      </c>
      <c r="J223" s="5" t="n">
        <v>1.92</v>
      </c>
      <c r="K223" s="5" t="n">
        <v>0</v>
      </c>
      <c r="L223" s="5" t="n">
        <v>3.7</v>
      </c>
      <c r="M223" s="5" t="n">
        <v>673348.56</v>
      </c>
      <c r="N223" s="5" t="n">
        <v>69464.59</v>
      </c>
    </row>
    <row r="224" customFormat="false" ht="15" hidden="false" customHeight="true" outlineLevel="0" collapsed="false">
      <c r="A224" s="5" t="s">
        <v>78</v>
      </c>
      <c r="B224" s="6" t="n">
        <v>45748</v>
      </c>
      <c r="C224" s="5" t="s">
        <v>22</v>
      </c>
      <c r="D224" s="5" t="s">
        <v>23</v>
      </c>
      <c r="E224" s="5" t="n">
        <v>16451.85</v>
      </c>
      <c r="F224" s="5" t="n">
        <v>4678</v>
      </c>
      <c r="G224" s="5" t="n">
        <v>0.133</v>
      </c>
      <c r="H224" s="5" t="n">
        <v>11</v>
      </c>
      <c r="I224" s="5" t="n">
        <v>95.9</v>
      </c>
      <c r="J224" s="5" t="n">
        <v>3.1</v>
      </c>
      <c r="K224" s="5" t="n">
        <v>0</v>
      </c>
      <c r="L224" s="5" t="n">
        <v>3.9</v>
      </c>
      <c r="M224" s="5" t="n">
        <v>606278.3</v>
      </c>
      <c r="N224" s="5" t="n">
        <v>102213.26</v>
      </c>
    </row>
    <row r="225" customFormat="false" ht="15" hidden="false" customHeight="true" outlineLevel="0" collapsed="false">
      <c r="A225" s="5" t="s">
        <v>79</v>
      </c>
      <c r="B225" s="6" t="n">
        <v>45658</v>
      </c>
      <c r="C225" s="5" t="s">
        <v>17</v>
      </c>
      <c r="D225" s="5" t="s">
        <v>20</v>
      </c>
      <c r="E225" s="5" t="n">
        <v>53367.73</v>
      </c>
      <c r="F225" s="5" t="n">
        <v>7291</v>
      </c>
      <c r="G225" s="5" t="n">
        <v>0.146</v>
      </c>
      <c r="H225" s="5" t="n">
        <v>18</v>
      </c>
      <c r="I225" s="5" t="n">
        <v>90.6</v>
      </c>
      <c r="J225" s="5" t="n">
        <v>6.34</v>
      </c>
      <c r="K225" s="5" t="n">
        <v>1</v>
      </c>
      <c r="L225" s="5" t="n">
        <v>3.8</v>
      </c>
      <c r="M225" s="5" t="n">
        <v>712219.81</v>
      </c>
      <c r="N225" s="5" t="n">
        <v>85906.54</v>
      </c>
    </row>
    <row r="226" customFormat="false" ht="15" hidden="false" customHeight="true" outlineLevel="0" collapsed="false">
      <c r="A226" s="5" t="s">
        <v>79</v>
      </c>
      <c r="B226" s="6" t="n">
        <v>45689</v>
      </c>
      <c r="C226" s="5" t="s">
        <v>17</v>
      </c>
      <c r="D226" s="5" t="s">
        <v>20</v>
      </c>
      <c r="E226" s="5" t="n">
        <v>27194.64</v>
      </c>
      <c r="F226" s="5" t="n">
        <v>7404</v>
      </c>
      <c r="G226" s="5" t="n">
        <v>0.088</v>
      </c>
      <c r="H226" s="5" t="n">
        <v>18</v>
      </c>
      <c r="I226" s="5" t="n">
        <v>90.2</v>
      </c>
      <c r="J226" s="5" t="n">
        <v>1.2</v>
      </c>
      <c r="K226" s="5" t="n">
        <v>0</v>
      </c>
      <c r="L226" s="5" t="n">
        <v>3.4</v>
      </c>
      <c r="M226" s="5" t="n">
        <v>672670.54</v>
      </c>
      <c r="N226" s="5" t="n">
        <v>132684.18</v>
      </c>
    </row>
    <row r="227" customFormat="false" ht="15" hidden="false" customHeight="true" outlineLevel="0" collapsed="false">
      <c r="A227" s="5" t="s">
        <v>79</v>
      </c>
      <c r="B227" s="6" t="n">
        <v>45717</v>
      </c>
      <c r="C227" s="5" t="s">
        <v>17</v>
      </c>
      <c r="D227" s="5" t="s">
        <v>20</v>
      </c>
      <c r="E227" s="5" t="n">
        <v>66962.74</v>
      </c>
      <c r="F227" s="5" t="n">
        <v>7880</v>
      </c>
      <c r="G227" s="5" t="n">
        <v>0.116</v>
      </c>
      <c r="H227" s="5" t="n">
        <v>19</v>
      </c>
      <c r="I227" s="5" t="n">
        <v>90.4</v>
      </c>
      <c r="J227" s="5" t="n">
        <v>4.5</v>
      </c>
      <c r="K227" s="5" t="n">
        <v>0</v>
      </c>
      <c r="L227" s="5" t="n">
        <v>3.3</v>
      </c>
      <c r="M227" s="5" t="n">
        <v>732667.92</v>
      </c>
      <c r="N227" s="5" t="n">
        <v>128654.46</v>
      </c>
    </row>
    <row r="228" customFormat="false" ht="15" hidden="false" customHeight="true" outlineLevel="0" collapsed="false">
      <c r="A228" s="5" t="s">
        <v>79</v>
      </c>
      <c r="B228" s="6" t="n">
        <v>45748</v>
      </c>
      <c r="C228" s="5" t="s">
        <v>17</v>
      </c>
      <c r="D228" s="5" t="s">
        <v>20</v>
      </c>
      <c r="E228" s="5" t="n">
        <v>73540.99</v>
      </c>
      <c r="F228" s="5" t="n">
        <v>8773</v>
      </c>
      <c r="G228" s="5" t="n">
        <v>0.035</v>
      </c>
      <c r="H228" s="5" t="n">
        <v>21</v>
      </c>
      <c r="I228" s="5" t="n">
        <v>84.4</v>
      </c>
      <c r="J228" s="5" t="n">
        <v>6.68</v>
      </c>
      <c r="K228" s="5" t="n">
        <v>0</v>
      </c>
      <c r="L228" s="5" t="n">
        <v>3.6</v>
      </c>
      <c r="M228" s="5" t="n">
        <v>723531.4</v>
      </c>
      <c r="N228" s="5" t="n">
        <v>108794.85</v>
      </c>
    </row>
    <row r="229" customFormat="false" ht="15" hidden="false" customHeight="true" outlineLevel="0" collapsed="false">
      <c r="A229" s="5" t="s">
        <v>80</v>
      </c>
      <c r="B229" s="6" t="n">
        <v>45658</v>
      </c>
      <c r="C229" s="5" t="s">
        <v>17</v>
      </c>
      <c r="D229" s="5" t="s">
        <v>30</v>
      </c>
      <c r="E229" s="5" t="n">
        <v>68212.29</v>
      </c>
      <c r="F229" s="5" t="n">
        <v>4713</v>
      </c>
      <c r="G229" s="5" t="n">
        <v>0.198</v>
      </c>
      <c r="H229" s="5" t="n">
        <v>15</v>
      </c>
      <c r="I229" s="5" t="n">
        <v>82.6</v>
      </c>
      <c r="J229" s="5" t="n">
        <v>4.07</v>
      </c>
      <c r="K229" s="5" t="n">
        <v>1</v>
      </c>
      <c r="L229" s="5" t="n">
        <v>3</v>
      </c>
      <c r="M229" s="5" t="n">
        <v>641564.6</v>
      </c>
      <c r="N229" s="5" t="n">
        <v>90468.96</v>
      </c>
    </row>
    <row r="230" customFormat="false" ht="15" hidden="false" customHeight="true" outlineLevel="0" collapsed="false">
      <c r="A230" s="5" t="s">
        <v>80</v>
      </c>
      <c r="B230" s="6" t="n">
        <v>45689</v>
      </c>
      <c r="C230" s="5" t="s">
        <v>17</v>
      </c>
      <c r="D230" s="5" t="s">
        <v>30</v>
      </c>
      <c r="E230" s="5" t="n">
        <v>57225.98</v>
      </c>
      <c r="F230" s="5" t="n">
        <v>2842</v>
      </c>
      <c r="G230" s="5" t="n">
        <v>0.112</v>
      </c>
      <c r="H230" s="5" t="n">
        <v>10</v>
      </c>
      <c r="I230" s="5" t="n">
        <v>79.5</v>
      </c>
      <c r="J230" s="5" t="n">
        <v>5.45</v>
      </c>
      <c r="K230" s="5" t="n">
        <v>0</v>
      </c>
      <c r="L230" s="5" t="n">
        <v>3.4</v>
      </c>
      <c r="M230" s="5" t="n">
        <v>536545.49</v>
      </c>
      <c r="N230" s="5" t="n">
        <v>97917.45</v>
      </c>
    </row>
    <row r="231" customFormat="false" ht="15" hidden="false" customHeight="true" outlineLevel="0" collapsed="false">
      <c r="A231" s="5" t="s">
        <v>80</v>
      </c>
      <c r="B231" s="6" t="n">
        <v>45717</v>
      </c>
      <c r="C231" s="5" t="s">
        <v>17</v>
      </c>
      <c r="D231" s="5" t="s">
        <v>30</v>
      </c>
      <c r="E231" s="5" t="n">
        <v>42932.02</v>
      </c>
      <c r="F231" s="5" t="n">
        <v>3872</v>
      </c>
      <c r="G231" s="5" t="n">
        <v>0.171</v>
      </c>
      <c r="H231" s="5" t="n">
        <v>12</v>
      </c>
      <c r="I231" s="5" t="n">
        <v>83.2</v>
      </c>
      <c r="J231" s="5" t="n">
        <v>15.58</v>
      </c>
      <c r="K231" s="5" t="n">
        <v>0</v>
      </c>
      <c r="L231" s="5" t="n">
        <v>3.3</v>
      </c>
      <c r="M231" s="5" t="n">
        <v>527681.56</v>
      </c>
      <c r="N231" s="5" t="n">
        <v>63153.05</v>
      </c>
    </row>
    <row r="232" customFormat="false" ht="15" hidden="false" customHeight="true" outlineLevel="0" collapsed="false">
      <c r="A232" s="5" t="s">
        <v>80</v>
      </c>
      <c r="B232" s="6" t="n">
        <v>45748</v>
      </c>
      <c r="C232" s="5" t="s">
        <v>17</v>
      </c>
      <c r="D232" s="5" t="s">
        <v>30</v>
      </c>
      <c r="E232" s="5" t="n">
        <v>39341.45</v>
      </c>
      <c r="F232" s="5" t="n">
        <v>1375</v>
      </c>
      <c r="G232" s="5" t="n">
        <v>0.093</v>
      </c>
      <c r="H232" s="5" t="n">
        <v>5</v>
      </c>
      <c r="I232" s="5" t="n">
        <v>95</v>
      </c>
      <c r="J232" s="5" t="n">
        <v>5.32</v>
      </c>
      <c r="K232" s="5" t="n">
        <v>0</v>
      </c>
      <c r="L232" s="5"/>
      <c r="M232" s="5" t="n">
        <v>529598.94</v>
      </c>
      <c r="N232" s="5" t="n">
        <v>84334.33</v>
      </c>
    </row>
    <row r="233" customFormat="false" ht="15" hidden="false" customHeight="true" outlineLevel="0" collapsed="false">
      <c r="A233" s="5" t="s">
        <v>81</v>
      </c>
      <c r="B233" s="6" t="n">
        <v>45658</v>
      </c>
      <c r="C233" s="5" t="s">
        <v>17</v>
      </c>
      <c r="D233" s="5" t="s">
        <v>20</v>
      </c>
      <c r="E233" s="5" t="n">
        <v>37324.23</v>
      </c>
      <c r="F233" s="5" t="n">
        <v>5957</v>
      </c>
      <c r="G233" s="5" t="n">
        <v>0.071</v>
      </c>
      <c r="H233" s="5" t="n">
        <v>12</v>
      </c>
      <c r="I233" s="5" t="n">
        <v>85.9</v>
      </c>
      <c r="J233" s="5" t="n">
        <v>0.37</v>
      </c>
      <c r="K233" s="5" t="n">
        <v>0</v>
      </c>
      <c r="L233" s="5" t="n">
        <v>3.8</v>
      </c>
      <c r="M233" s="5" t="n">
        <v>570963.31</v>
      </c>
      <c r="N233" s="5" t="n">
        <v>87342.25</v>
      </c>
    </row>
    <row r="234" customFormat="false" ht="15" hidden="false" customHeight="true" outlineLevel="0" collapsed="false">
      <c r="A234" s="5" t="s">
        <v>81</v>
      </c>
      <c r="B234" s="6" t="n">
        <v>45689</v>
      </c>
      <c r="C234" s="5" t="s">
        <v>17</v>
      </c>
      <c r="D234" s="5" t="s">
        <v>20</v>
      </c>
      <c r="E234" s="5" t="n">
        <v>113736</v>
      </c>
      <c r="F234" s="5" t="n">
        <v>8961</v>
      </c>
      <c r="G234" s="5" t="n">
        <v>0.202</v>
      </c>
      <c r="H234" s="5" t="n">
        <v>24</v>
      </c>
      <c r="I234" s="5" t="n">
        <v>86.2</v>
      </c>
      <c r="J234" s="5" t="n">
        <v>21.63</v>
      </c>
      <c r="K234" s="5" t="n">
        <v>0</v>
      </c>
      <c r="L234" s="5" t="n">
        <v>4</v>
      </c>
      <c r="M234" s="5" t="n">
        <v>870937.4</v>
      </c>
      <c r="N234" s="5" t="n">
        <v>175282.74</v>
      </c>
    </row>
    <row r="235" customFormat="false" ht="15" hidden="false" customHeight="true" outlineLevel="0" collapsed="false">
      <c r="A235" s="5" t="s">
        <v>81</v>
      </c>
      <c r="B235" s="6" t="n">
        <v>45717</v>
      </c>
      <c r="C235" s="5" t="s">
        <v>17</v>
      </c>
      <c r="D235" s="5" t="s">
        <v>20</v>
      </c>
      <c r="E235" s="5" t="n">
        <v>33173.95</v>
      </c>
      <c r="F235" s="5" t="n">
        <v>6545</v>
      </c>
      <c r="G235" s="5" t="n">
        <v>0.169</v>
      </c>
      <c r="H235" s="5" t="n">
        <v>15</v>
      </c>
      <c r="I235" s="5" t="n">
        <v>84.4</v>
      </c>
      <c r="J235" s="5" t="n">
        <v>2.48</v>
      </c>
      <c r="K235" s="5" t="n">
        <v>0</v>
      </c>
      <c r="L235" s="5" t="n">
        <v>3.9</v>
      </c>
      <c r="M235" s="5" t="n">
        <v>596969.27</v>
      </c>
      <c r="N235" s="5" t="n">
        <v>105669.51</v>
      </c>
    </row>
    <row r="236" customFormat="false" ht="15" hidden="false" customHeight="true" outlineLevel="0" collapsed="false">
      <c r="A236" s="5" t="s">
        <v>81</v>
      </c>
      <c r="B236" s="6" t="n">
        <v>45748</v>
      </c>
      <c r="C236" s="5" t="s">
        <v>17</v>
      </c>
      <c r="D236" s="5" t="s">
        <v>20</v>
      </c>
      <c r="E236" s="5" t="n">
        <v>25818.08</v>
      </c>
      <c r="F236" s="5" t="n">
        <v>5457</v>
      </c>
      <c r="G236" s="5" t="n">
        <v>0</v>
      </c>
      <c r="H236" s="5" t="n">
        <v>11</v>
      </c>
      <c r="I236" s="5" t="n">
        <v>95.4</v>
      </c>
      <c r="J236" s="5"/>
      <c r="K236" s="5" t="n">
        <v>0</v>
      </c>
      <c r="L236" s="5" t="n">
        <v>3.7</v>
      </c>
      <c r="M236" s="5" t="n">
        <v>647512.85</v>
      </c>
      <c r="N236" s="5" t="n">
        <v>153835.57</v>
      </c>
    </row>
    <row r="237" customFormat="false" ht="15" hidden="false" customHeight="true" outlineLevel="0" collapsed="false">
      <c r="A237" s="5" t="s">
        <v>82</v>
      </c>
      <c r="B237" s="6" t="n">
        <v>45658</v>
      </c>
      <c r="C237" s="5" t="s">
        <v>29</v>
      </c>
      <c r="D237" s="5" t="s">
        <v>18</v>
      </c>
      <c r="E237" s="5" t="n">
        <v>47241.92</v>
      </c>
      <c r="F237" s="5" t="n">
        <v>4264</v>
      </c>
      <c r="G237" s="5" t="n">
        <v>0.069</v>
      </c>
      <c r="H237" s="5" t="n">
        <v>13</v>
      </c>
      <c r="I237" s="5" t="n">
        <v>95.3</v>
      </c>
      <c r="J237" s="5" t="n">
        <v>0.85</v>
      </c>
      <c r="K237" s="5" t="n">
        <v>0</v>
      </c>
      <c r="L237" s="5" t="n">
        <v>4.3</v>
      </c>
      <c r="M237" s="5" t="n">
        <v>658072.14</v>
      </c>
      <c r="N237" s="5" t="n">
        <v>110595.89</v>
      </c>
    </row>
    <row r="238" customFormat="false" ht="15" hidden="false" customHeight="true" outlineLevel="0" collapsed="false">
      <c r="A238" s="5" t="s">
        <v>82</v>
      </c>
      <c r="B238" s="6" t="n">
        <v>45689</v>
      </c>
      <c r="C238" s="5" t="s">
        <v>29</v>
      </c>
      <c r="D238" s="5" t="s">
        <v>18</v>
      </c>
      <c r="E238" s="5" t="n">
        <v>61650.79</v>
      </c>
      <c r="F238" s="5" t="n">
        <v>5321</v>
      </c>
      <c r="G238" s="5" t="n">
        <v>0.126</v>
      </c>
      <c r="H238" s="5" t="n">
        <v>17</v>
      </c>
      <c r="I238" s="5" t="n">
        <v>89.2</v>
      </c>
      <c r="J238" s="5" t="n">
        <v>2.13</v>
      </c>
      <c r="K238" s="5" t="n">
        <v>0</v>
      </c>
      <c r="L238" s="5" t="n">
        <v>4</v>
      </c>
      <c r="M238" s="5" t="n">
        <v>723305.11</v>
      </c>
      <c r="N238" s="5" t="n">
        <v>128468.7</v>
      </c>
    </row>
    <row r="239" customFormat="false" ht="15" hidden="false" customHeight="true" outlineLevel="0" collapsed="false">
      <c r="A239" s="5" t="s">
        <v>82</v>
      </c>
      <c r="B239" s="6" t="n">
        <v>45717</v>
      </c>
      <c r="C239" s="5" t="s">
        <v>29</v>
      </c>
      <c r="D239" s="5" t="s">
        <v>18</v>
      </c>
      <c r="E239" s="5" t="n">
        <v>62582.71</v>
      </c>
      <c r="F239" s="5" t="n">
        <v>5479</v>
      </c>
      <c r="G239" s="5" t="n">
        <v>0.048</v>
      </c>
      <c r="H239" s="5" t="n">
        <v>16</v>
      </c>
      <c r="I239" s="5" t="n">
        <v>81.2</v>
      </c>
      <c r="J239" s="5" t="n">
        <v>1.46</v>
      </c>
      <c r="K239" s="5" t="n">
        <v>0</v>
      </c>
      <c r="L239" s="5" t="n">
        <v>4.5</v>
      </c>
      <c r="M239" s="5" t="n">
        <v>640666.53</v>
      </c>
      <c r="N239" s="5" t="n">
        <v>134919.16</v>
      </c>
    </row>
    <row r="240" customFormat="false" ht="15" hidden="false" customHeight="true" outlineLevel="0" collapsed="false">
      <c r="A240" s="5" t="s">
        <v>82</v>
      </c>
      <c r="B240" s="6" t="n">
        <v>45748</v>
      </c>
      <c r="C240" s="5" t="s">
        <v>29</v>
      </c>
      <c r="D240" s="5" t="s">
        <v>18</v>
      </c>
      <c r="E240" s="5" t="n">
        <v>47944.14</v>
      </c>
      <c r="F240" s="5" t="n">
        <v>6169</v>
      </c>
      <c r="G240" s="5" t="n">
        <v>0.119</v>
      </c>
      <c r="H240" s="5" t="n">
        <v>17</v>
      </c>
      <c r="I240" s="5" t="n">
        <v>92.2</v>
      </c>
      <c r="J240" s="5" t="n">
        <v>3.02</v>
      </c>
      <c r="K240" s="5" t="n">
        <v>0</v>
      </c>
      <c r="L240" s="5" t="n">
        <v>4.1</v>
      </c>
      <c r="M240" s="5" t="n">
        <v>670629.48</v>
      </c>
      <c r="N240" s="5" t="n">
        <v>100140.8</v>
      </c>
    </row>
    <row r="241" customFormat="false" ht="15" hidden="false" customHeight="true" outlineLevel="0" collapsed="false">
      <c r="A241" s="5" t="s">
        <v>83</v>
      </c>
      <c r="B241" s="6" t="n">
        <v>45658</v>
      </c>
      <c r="C241" s="5" t="s">
        <v>29</v>
      </c>
      <c r="D241" s="5" t="s">
        <v>30</v>
      </c>
      <c r="E241" s="5" t="n">
        <v>46495.4</v>
      </c>
      <c r="F241" s="5" t="n">
        <v>9908</v>
      </c>
      <c r="G241" s="5" t="n">
        <v>0.121</v>
      </c>
      <c r="H241" s="5" t="n">
        <v>22</v>
      </c>
      <c r="I241" s="5" t="n">
        <v>89.4</v>
      </c>
      <c r="J241" s="5" t="n">
        <v>3.22</v>
      </c>
      <c r="K241" s="5" t="n">
        <v>0</v>
      </c>
      <c r="L241" s="5" t="n">
        <v>3.7</v>
      </c>
      <c r="M241" s="5" t="n">
        <v>721079.35</v>
      </c>
      <c r="N241" s="5" t="n">
        <v>115295.05</v>
      </c>
    </row>
    <row r="242" customFormat="false" ht="15" hidden="false" customHeight="true" outlineLevel="0" collapsed="false">
      <c r="A242" s="5" t="s">
        <v>83</v>
      </c>
      <c r="B242" s="6" t="n">
        <v>45689</v>
      </c>
      <c r="C242" s="5" t="s">
        <v>29</v>
      </c>
      <c r="D242" s="5" t="s">
        <v>30</v>
      </c>
      <c r="E242" s="5" t="n">
        <v>72961.95</v>
      </c>
      <c r="F242" s="5" t="n">
        <v>9996</v>
      </c>
      <c r="G242" s="5" t="n">
        <v>0.106</v>
      </c>
      <c r="H242" s="5" t="n">
        <v>22</v>
      </c>
      <c r="I242" s="5" t="n">
        <v>89.1</v>
      </c>
      <c r="J242" s="5" t="n">
        <v>15.66</v>
      </c>
      <c r="K242" s="5" t="n">
        <v>0</v>
      </c>
      <c r="L242" s="5" t="n">
        <v>3.4</v>
      </c>
      <c r="M242" s="5" t="n">
        <v>810355.02</v>
      </c>
      <c r="N242" s="5" t="n">
        <v>131510</v>
      </c>
    </row>
    <row r="243" customFormat="false" ht="15" hidden="false" customHeight="true" outlineLevel="0" collapsed="false">
      <c r="A243" s="5" t="s">
        <v>83</v>
      </c>
      <c r="B243" s="6" t="n">
        <v>45717</v>
      </c>
      <c r="C243" s="5" t="s">
        <v>29</v>
      </c>
      <c r="D243" s="5" t="s">
        <v>30</v>
      </c>
      <c r="E243" s="5" t="n">
        <v>59060.05</v>
      </c>
      <c r="F243" s="5" t="n">
        <v>9702</v>
      </c>
      <c r="G243" s="5" t="n">
        <v>0.201</v>
      </c>
      <c r="H243" s="5" t="n">
        <v>23</v>
      </c>
      <c r="I243" s="5" t="n">
        <v>80.9</v>
      </c>
      <c r="J243" s="5" t="n">
        <v>6.96</v>
      </c>
      <c r="K243" s="5" t="n">
        <v>0</v>
      </c>
      <c r="L243" s="5" t="n">
        <v>3.2</v>
      </c>
      <c r="M243" s="5" t="n">
        <v>761919.25</v>
      </c>
      <c r="N243" s="5" t="n">
        <v>111893.06</v>
      </c>
    </row>
    <row r="244" customFormat="false" ht="15" hidden="false" customHeight="true" outlineLevel="0" collapsed="false">
      <c r="A244" s="5" t="s">
        <v>83</v>
      </c>
      <c r="B244" s="6" t="n">
        <v>45748</v>
      </c>
      <c r="C244" s="5" t="s">
        <v>29</v>
      </c>
      <c r="D244" s="5" t="s">
        <v>30</v>
      </c>
      <c r="E244" s="5" t="n">
        <v>26248.1</v>
      </c>
      <c r="F244" s="5" t="n">
        <v>9314</v>
      </c>
      <c r="G244" s="5" t="n">
        <v>0.186</v>
      </c>
      <c r="H244" s="5" t="n">
        <v>21</v>
      </c>
      <c r="I244" s="5" t="n">
        <v>83.7</v>
      </c>
      <c r="J244" s="5" t="n">
        <v>4.62</v>
      </c>
      <c r="K244" s="5" t="n">
        <v>0</v>
      </c>
      <c r="L244" s="5" t="n">
        <v>3.3</v>
      </c>
      <c r="M244" s="5" t="n">
        <v>737070.18</v>
      </c>
      <c r="N244" s="5" t="n">
        <v>117593.97</v>
      </c>
    </row>
    <row r="245" customFormat="false" ht="15" hidden="false" customHeight="true" outlineLevel="0" collapsed="false">
      <c r="A245" s="5" t="s">
        <v>84</v>
      </c>
      <c r="B245" s="6" t="n">
        <v>45658</v>
      </c>
      <c r="C245" s="5" t="s">
        <v>26</v>
      </c>
      <c r="D245" s="5" t="s">
        <v>23</v>
      </c>
      <c r="E245" s="5" t="n">
        <v>69900.12</v>
      </c>
      <c r="F245" s="5" t="n">
        <v>8055</v>
      </c>
      <c r="G245" s="5" t="n">
        <v>0.281</v>
      </c>
      <c r="H245" s="5" t="n">
        <v>22</v>
      </c>
      <c r="I245" s="5" t="n">
        <v>85.6</v>
      </c>
      <c r="J245" s="5" t="n">
        <v>10.68</v>
      </c>
      <c r="K245" s="5" t="n">
        <v>1</v>
      </c>
      <c r="L245" s="5" t="n">
        <v>2.9</v>
      </c>
      <c r="M245" s="5" t="n">
        <v>776992.93</v>
      </c>
      <c r="N245" s="5" t="n">
        <v>101598.32</v>
      </c>
    </row>
    <row r="246" customFormat="false" ht="15" hidden="false" customHeight="true" outlineLevel="0" collapsed="false">
      <c r="A246" s="5" t="s">
        <v>84</v>
      </c>
      <c r="B246" s="6" t="n">
        <v>45689</v>
      </c>
      <c r="C246" s="5" t="s">
        <v>26</v>
      </c>
      <c r="D246" s="5" t="s">
        <v>23</v>
      </c>
      <c r="E246" s="5" t="n">
        <v>51781.6</v>
      </c>
      <c r="F246" s="5" t="n">
        <v>5648</v>
      </c>
      <c r="G246" s="5" t="n">
        <v>0.059</v>
      </c>
      <c r="H246" s="5" t="n">
        <v>13</v>
      </c>
      <c r="I246" s="5" t="n">
        <v>85.5</v>
      </c>
      <c r="J246" s="5" t="n">
        <v>4.04</v>
      </c>
      <c r="K246" s="5" t="n">
        <v>0</v>
      </c>
      <c r="L246" s="5" t="n">
        <v>3.7</v>
      </c>
      <c r="M246" s="5" t="n">
        <v>676337.41</v>
      </c>
      <c r="N246" s="5" t="n">
        <v>104355.77</v>
      </c>
    </row>
    <row r="247" customFormat="false" ht="15" hidden="false" customHeight="true" outlineLevel="0" collapsed="false">
      <c r="A247" s="5" t="s">
        <v>84</v>
      </c>
      <c r="B247" s="6" t="n">
        <v>45717</v>
      </c>
      <c r="C247" s="5" t="s">
        <v>26</v>
      </c>
      <c r="D247" s="5" t="s">
        <v>23</v>
      </c>
      <c r="E247" s="5" t="n">
        <v>70799.64</v>
      </c>
      <c r="F247" s="5" t="n">
        <v>10076</v>
      </c>
      <c r="G247" s="5" t="n">
        <v>0.152</v>
      </c>
      <c r="H247" s="5" t="n">
        <v>24</v>
      </c>
      <c r="I247" s="5" t="n">
        <v>84.8</v>
      </c>
      <c r="J247" s="5" t="n">
        <v>1.87</v>
      </c>
      <c r="K247" s="5" t="n">
        <v>0</v>
      </c>
      <c r="L247" s="5" t="n">
        <v>3.5</v>
      </c>
      <c r="M247" s="5" t="n">
        <v>828219.67</v>
      </c>
      <c r="N247" s="5" t="n">
        <v>179806.87</v>
      </c>
    </row>
    <row r="248" customFormat="false" ht="15" hidden="false" customHeight="true" outlineLevel="0" collapsed="false">
      <c r="A248" s="5" t="s">
        <v>84</v>
      </c>
      <c r="B248" s="6" t="n">
        <v>45748</v>
      </c>
      <c r="C248" s="5" t="s">
        <v>26</v>
      </c>
      <c r="D248" s="5" t="s">
        <v>23</v>
      </c>
      <c r="E248" s="5" t="n">
        <v>53546.34</v>
      </c>
      <c r="F248" s="5" t="n">
        <v>8004</v>
      </c>
      <c r="G248" s="5" t="n">
        <v>0</v>
      </c>
      <c r="H248" s="5" t="n">
        <v>21</v>
      </c>
      <c r="I248" s="5" t="n">
        <v>95.2</v>
      </c>
      <c r="J248" s="5" t="n">
        <v>2.83</v>
      </c>
      <c r="K248" s="5" t="n">
        <v>0</v>
      </c>
      <c r="L248" s="5" t="n">
        <v>3</v>
      </c>
      <c r="M248" s="5" t="n">
        <v>763159.92</v>
      </c>
      <c r="N248" s="5" t="n">
        <v>177104.87</v>
      </c>
    </row>
    <row r="249" customFormat="false" ht="15" hidden="false" customHeight="true" outlineLevel="0" collapsed="false">
      <c r="A249" s="5" t="s">
        <v>85</v>
      </c>
      <c r="B249" s="6" t="n">
        <v>45658</v>
      </c>
      <c r="C249" s="5" t="s">
        <v>17</v>
      </c>
      <c r="D249" s="5" t="s">
        <v>20</v>
      </c>
      <c r="E249" s="5" t="n">
        <v>76942.2</v>
      </c>
      <c r="F249" s="5" t="n">
        <v>8934</v>
      </c>
      <c r="G249" s="5" t="n">
        <v>0.084</v>
      </c>
      <c r="H249" s="5" t="n">
        <v>20</v>
      </c>
      <c r="I249" s="5" t="n">
        <v>91</v>
      </c>
      <c r="J249" s="5" t="n">
        <v>0.95</v>
      </c>
      <c r="K249" s="5" t="n">
        <v>0</v>
      </c>
      <c r="L249" s="5" t="n">
        <v>3.2</v>
      </c>
      <c r="M249" s="5" t="n">
        <v>802001.68</v>
      </c>
      <c r="N249" s="5" t="n">
        <v>159715.82</v>
      </c>
    </row>
    <row r="250" customFormat="false" ht="15" hidden="false" customHeight="true" outlineLevel="0" collapsed="false">
      <c r="A250" s="5" t="s">
        <v>85</v>
      </c>
      <c r="B250" s="6" t="n">
        <v>45689</v>
      </c>
      <c r="C250" s="5" t="s">
        <v>17</v>
      </c>
      <c r="D250" s="5" t="s">
        <v>20</v>
      </c>
      <c r="E250" s="5" t="n">
        <v>48060.78</v>
      </c>
      <c r="F250" s="5" t="n">
        <v>8733</v>
      </c>
      <c r="G250" s="5" t="n">
        <v>0</v>
      </c>
      <c r="H250" s="5" t="n">
        <v>20</v>
      </c>
      <c r="I250" s="5" t="n">
        <v>89.9</v>
      </c>
      <c r="J250" s="5" t="n">
        <v>0.8</v>
      </c>
      <c r="K250" s="5" t="n">
        <v>0</v>
      </c>
      <c r="L250" s="5" t="n">
        <v>3.4</v>
      </c>
      <c r="M250" s="5" t="n">
        <v>750471.34</v>
      </c>
      <c r="N250" s="5" t="n">
        <v>133788.04</v>
      </c>
    </row>
    <row r="251" customFormat="false" ht="15" hidden="false" customHeight="true" outlineLevel="0" collapsed="false">
      <c r="A251" s="5" t="s">
        <v>85</v>
      </c>
      <c r="B251" s="6" t="n">
        <v>45717</v>
      </c>
      <c r="C251" s="5" t="s">
        <v>17</v>
      </c>
      <c r="D251" s="5" t="s">
        <v>20</v>
      </c>
      <c r="E251" s="5" t="n">
        <v>57390.04</v>
      </c>
      <c r="F251" s="5" t="n">
        <v>7374</v>
      </c>
      <c r="G251" s="5" t="n">
        <v>0.21</v>
      </c>
      <c r="H251" s="5" t="n">
        <v>21</v>
      </c>
      <c r="I251" s="5" t="n">
        <v>91.8</v>
      </c>
      <c r="J251" s="5" t="n">
        <v>0.2</v>
      </c>
      <c r="K251" s="5" t="n">
        <v>0</v>
      </c>
      <c r="L251" s="5" t="n">
        <v>3.1</v>
      </c>
      <c r="M251" s="5" t="n">
        <v>679230.86</v>
      </c>
      <c r="N251" s="5" t="n">
        <v>106927.58</v>
      </c>
    </row>
    <row r="252" customFormat="false" ht="15" hidden="false" customHeight="true" outlineLevel="0" collapsed="false">
      <c r="A252" s="5" t="s">
        <v>85</v>
      </c>
      <c r="B252" s="6" t="n">
        <v>45748</v>
      </c>
      <c r="C252" s="5" t="s">
        <v>17</v>
      </c>
      <c r="D252" s="5" t="s">
        <v>20</v>
      </c>
      <c r="E252" s="5" t="n">
        <v>21536.18</v>
      </c>
      <c r="F252" s="5" t="n">
        <v>8119</v>
      </c>
      <c r="G252" s="5" t="n">
        <v>0.227</v>
      </c>
      <c r="H252" s="5" t="n">
        <v>20</v>
      </c>
      <c r="I252" s="5" t="n">
        <v>90.4</v>
      </c>
      <c r="J252" s="5" t="n">
        <v>1.7</v>
      </c>
      <c r="K252" s="5" t="n">
        <v>0</v>
      </c>
      <c r="L252" s="5" t="n">
        <v>3.3</v>
      </c>
      <c r="M252" s="5" t="n">
        <v>679888.74</v>
      </c>
      <c r="N252" s="5" t="n">
        <v>83406.89</v>
      </c>
    </row>
    <row r="253" customFormat="false" ht="15" hidden="false" customHeight="true" outlineLevel="0" collapsed="false">
      <c r="A253" s="5" t="s">
        <v>86</v>
      </c>
      <c r="B253" s="6" t="n">
        <v>45658</v>
      </c>
      <c r="C253" s="5" t="s">
        <v>22</v>
      </c>
      <c r="D253" s="5" t="s">
        <v>20</v>
      </c>
      <c r="E253" s="5" t="n">
        <v>40923.67</v>
      </c>
      <c r="F253" s="5" t="n">
        <v>3875</v>
      </c>
      <c r="G253" s="5" t="n">
        <v>0.15</v>
      </c>
      <c r="H253" s="5" t="n">
        <v>10</v>
      </c>
      <c r="I253" s="5" t="n">
        <v>96.1</v>
      </c>
      <c r="J253" s="5"/>
      <c r="K253" s="5" t="n">
        <v>0</v>
      </c>
      <c r="L253" s="5" t="n">
        <v>3.8</v>
      </c>
      <c r="M253" s="5" t="n">
        <v>606783.67</v>
      </c>
      <c r="N253" s="5" t="n">
        <v>74515.87</v>
      </c>
    </row>
    <row r="254" customFormat="false" ht="15" hidden="false" customHeight="true" outlineLevel="0" collapsed="false">
      <c r="A254" s="5" t="s">
        <v>86</v>
      </c>
      <c r="B254" s="6" t="n">
        <v>45689</v>
      </c>
      <c r="C254" s="5" t="s">
        <v>22</v>
      </c>
      <c r="D254" s="5" t="s">
        <v>20</v>
      </c>
      <c r="E254" s="5" t="n">
        <v>72932.55</v>
      </c>
      <c r="F254" s="5" t="n">
        <v>5765</v>
      </c>
      <c r="G254" s="5" t="n">
        <v>0.026</v>
      </c>
      <c r="H254" s="5" t="n">
        <v>17</v>
      </c>
      <c r="I254" s="5" t="n">
        <v>81.8</v>
      </c>
      <c r="J254" s="5" t="n">
        <v>5.1</v>
      </c>
      <c r="K254" s="5" t="n">
        <v>0</v>
      </c>
      <c r="L254" s="5" t="n">
        <v>3.6</v>
      </c>
      <c r="M254" s="5" t="n">
        <v>642751.42</v>
      </c>
      <c r="N254" s="5" t="n">
        <v>131942.15</v>
      </c>
    </row>
    <row r="255" customFormat="false" ht="15" hidden="false" customHeight="true" outlineLevel="0" collapsed="false">
      <c r="A255" s="5" t="s">
        <v>86</v>
      </c>
      <c r="B255" s="6" t="n">
        <v>45717</v>
      </c>
      <c r="C255" s="5" t="s">
        <v>22</v>
      </c>
      <c r="D255" s="5" t="s">
        <v>20</v>
      </c>
      <c r="E255" s="5" t="n">
        <v>38361.93</v>
      </c>
      <c r="F255" s="5" t="n">
        <v>6322</v>
      </c>
      <c r="G255" s="5" t="n">
        <v>0.273</v>
      </c>
      <c r="H255" s="5" t="n">
        <v>15</v>
      </c>
      <c r="I255" s="5" t="n">
        <v>88.4</v>
      </c>
      <c r="J255" s="5" t="n">
        <v>0.83</v>
      </c>
      <c r="K255" s="5" t="n">
        <v>0</v>
      </c>
      <c r="L255" s="5" t="n">
        <v>4</v>
      </c>
      <c r="M255" s="5" t="n">
        <v>647953.78</v>
      </c>
      <c r="N255" s="5" t="n">
        <v>118497.43</v>
      </c>
    </row>
    <row r="256" customFormat="false" ht="15" hidden="false" customHeight="true" outlineLevel="0" collapsed="false">
      <c r="A256" s="5" t="s">
        <v>86</v>
      </c>
      <c r="B256" s="6" t="n">
        <v>45748</v>
      </c>
      <c r="C256" s="5" t="s">
        <v>22</v>
      </c>
      <c r="D256" s="5" t="s">
        <v>20</v>
      </c>
      <c r="E256" s="5" t="n">
        <v>97480.94</v>
      </c>
      <c r="F256" s="5" t="n">
        <v>6840</v>
      </c>
      <c r="G256" s="5" t="n">
        <v>0.087</v>
      </c>
      <c r="H256" s="5" t="n">
        <v>14</v>
      </c>
      <c r="I256" s="5" t="n">
        <v>79.2</v>
      </c>
      <c r="J256" s="5" t="n">
        <v>1.14</v>
      </c>
      <c r="K256" s="5" t="n">
        <v>0</v>
      </c>
      <c r="L256" s="5" t="n">
        <v>4</v>
      </c>
      <c r="M256" s="5" t="n">
        <v>729440.45</v>
      </c>
      <c r="N256" s="5" t="n">
        <v>87614.29</v>
      </c>
    </row>
    <row r="257" customFormat="false" ht="15" hidden="false" customHeight="true" outlineLevel="0" collapsed="false">
      <c r="A257" s="5" t="s">
        <v>87</v>
      </c>
      <c r="B257" s="6" t="n">
        <v>45658</v>
      </c>
      <c r="C257" s="5" t="s">
        <v>26</v>
      </c>
      <c r="D257" s="5" t="s">
        <v>23</v>
      </c>
      <c r="E257" s="5" t="n">
        <v>81801.8</v>
      </c>
      <c r="F257" s="5" t="n">
        <v>6782</v>
      </c>
      <c r="G257" s="5" t="n">
        <v>0.05</v>
      </c>
      <c r="H257" s="5" t="n">
        <v>16</v>
      </c>
      <c r="I257" s="5" t="n">
        <v>99</v>
      </c>
      <c r="J257" s="5" t="n">
        <v>9.54</v>
      </c>
      <c r="K257" s="5" t="n">
        <v>0</v>
      </c>
      <c r="L257" s="5" t="n">
        <v>3.7</v>
      </c>
      <c r="M257" s="5" t="n">
        <v>764949</v>
      </c>
      <c r="N257" s="5" t="n">
        <v>148322.43</v>
      </c>
    </row>
    <row r="258" customFormat="false" ht="15" hidden="false" customHeight="true" outlineLevel="0" collapsed="false">
      <c r="A258" s="5" t="s">
        <v>87</v>
      </c>
      <c r="B258" s="6" t="n">
        <v>45689</v>
      </c>
      <c r="C258" s="5" t="s">
        <v>26</v>
      </c>
      <c r="D258" s="5" t="s">
        <v>23</v>
      </c>
      <c r="E258" s="5" t="n">
        <v>63582.11</v>
      </c>
      <c r="F258" s="5" t="n">
        <v>6856</v>
      </c>
      <c r="G258" s="5" t="n">
        <v>0.074</v>
      </c>
      <c r="H258" s="5" t="n">
        <v>17</v>
      </c>
      <c r="I258" s="5" t="n">
        <v>89.5</v>
      </c>
      <c r="J258" s="5" t="n">
        <v>5.48</v>
      </c>
      <c r="K258" s="5" t="n">
        <v>0</v>
      </c>
      <c r="L258" s="5" t="n">
        <v>3.2</v>
      </c>
      <c r="M258" s="5" t="n">
        <v>799046.94</v>
      </c>
      <c r="N258" s="5" t="n">
        <v>144553.64</v>
      </c>
    </row>
    <row r="259" customFormat="false" ht="15" hidden="false" customHeight="true" outlineLevel="0" collapsed="false">
      <c r="A259" s="5" t="s">
        <v>87</v>
      </c>
      <c r="B259" s="6" t="n">
        <v>45717</v>
      </c>
      <c r="C259" s="5" t="s">
        <v>26</v>
      </c>
      <c r="D259" s="5" t="s">
        <v>23</v>
      </c>
      <c r="E259" s="5" t="n">
        <v>75412.74</v>
      </c>
      <c r="F259" s="5" t="n">
        <v>5641</v>
      </c>
      <c r="G259" s="5" t="n">
        <v>0.059</v>
      </c>
      <c r="H259" s="5" t="n">
        <v>13</v>
      </c>
      <c r="I259" s="5" t="n">
        <v>87.9</v>
      </c>
      <c r="J259" s="5" t="n">
        <v>0.84</v>
      </c>
      <c r="K259" s="5" t="n">
        <v>0</v>
      </c>
      <c r="L259" s="5" t="n">
        <v>3.6</v>
      </c>
      <c r="M259" s="5" t="n">
        <v>720079.54</v>
      </c>
      <c r="N259" s="5" t="n">
        <v>119499.47</v>
      </c>
    </row>
    <row r="260" customFormat="false" ht="15" hidden="false" customHeight="true" outlineLevel="0" collapsed="false">
      <c r="A260" s="5" t="s">
        <v>87</v>
      </c>
      <c r="B260" s="6" t="n">
        <v>45748</v>
      </c>
      <c r="C260" s="5" t="s">
        <v>26</v>
      </c>
      <c r="D260" s="5" t="s">
        <v>23</v>
      </c>
      <c r="E260" s="5" t="n">
        <v>36290.08</v>
      </c>
      <c r="F260" s="5" t="n">
        <v>5787</v>
      </c>
      <c r="G260" s="5" t="n">
        <v>0</v>
      </c>
      <c r="H260" s="5" t="n">
        <v>17</v>
      </c>
      <c r="I260" s="5" t="n">
        <v>88.3</v>
      </c>
      <c r="J260" s="5" t="n">
        <v>4.19</v>
      </c>
      <c r="K260" s="5" t="n">
        <v>0</v>
      </c>
      <c r="L260" s="5" t="n">
        <v>4.1</v>
      </c>
      <c r="M260" s="5" t="n">
        <v>612390.14</v>
      </c>
      <c r="N260" s="5" t="n">
        <v>108985.74</v>
      </c>
    </row>
    <row r="261" customFormat="false" ht="15" hidden="false" customHeight="true" outlineLevel="0" collapsed="false">
      <c r="A261" s="5" t="s">
        <v>88</v>
      </c>
      <c r="B261" s="6" t="n">
        <v>45658</v>
      </c>
      <c r="C261" s="5" t="s">
        <v>26</v>
      </c>
      <c r="D261" s="5" t="s">
        <v>30</v>
      </c>
      <c r="E261" s="5" t="n">
        <v>65272.58</v>
      </c>
      <c r="F261" s="5" t="n">
        <v>8165</v>
      </c>
      <c r="G261" s="5" t="n">
        <v>0.051</v>
      </c>
      <c r="H261" s="5" t="n">
        <v>19</v>
      </c>
      <c r="I261" s="5" t="n">
        <v>87.8</v>
      </c>
      <c r="J261" s="5" t="n">
        <v>1.26</v>
      </c>
      <c r="K261" s="5" t="n">
        <v>1</v>
      </c>
      <c r="L261" s="5" t="n">
        <v>4.3</v>
      </c>
      <c r="M261" s="5" t="n">
        <v>840108.12</v>
      </c>
      <c r="N261" s="5" t="n">
        <v>126587.01</v>
      </c>
    </row>
    <row r="262" customFormat="false" ht="15" hidden="false" customHeight="true" outlineLevel="0" collapsed="false">
      <c r="A262" s="5" t="s">
        <v>88</v>
      </c>
      <c r="B262" s="6" t="n">
        <v>45689</v>
      </c>
      <c r="C262" s="5" t="s">
        <v>26</v>
      </c>
      <c r="D262" s="5" t="s">
        <v>30</v>
      </c>
      <c r="E262" s="5" t="n">
        <v>28670.43</v>
      </c>
      <c r="F262" s="5" t="n">
        <v>7574</v>
      </c>
      <c r="G262" s="5" t="n">
        <v>0.114</v>
      </c>
      <c r="H262" s="5" t="n">
        <v>19</v>
      </c>
      <c r="I262" s="5" t="n">
        <v>82.7</v>
      </c>
      <c r="J262" s="5" t="n">
        <v>2.74</v>
      </c>
      <c r="K262" s="5" t="n">
        <v>0</v>
      </c>
      <c r="L262" s="5" t="n">
        <v>4.6</v>
      </c>
      <c r="M262" s="5" t="n">
        <v>697888.09</v>
      </c>
      <c r="N262" s="5" t="n">
        <v>116249.87</v>
      </c>
    </row>
    <row r="263" customFormat="false" ht="15" hidden="false" customHeight="true" outlineLevel="0" collapsed="false">
      <c r="A263" s="5" t="s">
        <v>88</v>
      </c>
      <c r="B263" s="6" t="n">
        <v>45717</v>
      </c>
      <c r="C263" s="5" t="s">
        <v>26</v>
      </c>
      <c r="D263" s="5" t="s">
        <v>30</v>
      </c>
      <c r="E263" s="5" t="n">
        <v>44189.34</v>
      </c>
      <c r="F263" s="5" t="n">
        <v>8634</v>
      </c>
      <c r="G263" s="5" t="n">
        <v>0.143</v>
      </c>
      <c r="H263" s="5" t="n">
        <v>19</v>
      </c>
      <c r="I263" s="5" t="n">
        <v>87.5</v>
      </c>
      <c r="J263" s="5" t="n">
        <v>3.69</v>
      </c>
      <c r="K263" s="5" t="n">
        <v>0</v>
      </c>
      <c r="L263" s="5" t="n">
        <v>4.4</v>
      </c>
      <c r="M263" s="5" t="n">
        <v>746115.59</v>
      </c>
      <c r="N263" s="5" t="n">
        <v>94662.96</v>
      </c>
    </row>
    <row r="264" customFormat="false" ht="15" hidden="false" customHeight="true" outlineLevel="0" collapsed="false">
      <c r="A264" s="5" t="s">
        <v>88</v>
      </c>
      <c r="B264" s="6" t="n">
        <v>45748</v>
      </c>
      <c r="C264" s="5" t="s">
        <v>26</v>
      </c>
      <c r="D264" s="5" t="s">
        <v>30</v>
      </c>
      <c r="E264" s="5" t="n">
        <v>38397.82</v>
      </c>
      <c r="F264" s="5" t="n">
        <v>7836</v>
      </c>
      <c r="G264" s="5" t="n">
        <v>0.007</v>
      </c>
      <c r="H264" s="5" t="n">
        <v>21</v>
      </c>
      <c r="I264" s="5" t="n">
        <v>92.2</v>
      </c>
      <c r="J264" s="5" t="n">
        <v>1.82</v>
      </c>
      <c r="K264" s="5" t="n">
        <v>0</v>
      </c>
      <c r="L264" s="5" t="n">
        <v>3.6</v>
      </c>
      <c r="M264" s="5" t="n">
        <v>776110.32</v>
      </c>
      <c r="N264" s="5" t="n">
        <v>139676.21</v>
      </c>
    </row>
    <row r="265" customFormat="false" ht="15" hidden="false" customHeight="true" outlineLevel="0" collapsed="false">
      <c r="A265" s="5" t="s">
        <v>89</v>
      </c>
      <c r="B265" s="6" t="n">
        <v>45658</v>
      </c>
      <c r="C265" s="5" t="s">
        <v>29</v>
      </c>
      <c r="D265" s="5" t="s">
        <v>20</v>
      </c>
      <c r="E265" s="5" t="n">
        <v>14519.37</v>
      </c>
      <c r="F265" s="5" t="n">
        <v>3047</v>
      </c>
      <c r="G265" s="5" t="n">
        <v>0.135</v>
      </c>
      <c r="H265" s="5" t="n">
        <v>10</v>
      </c>
      <c r="I265" s="5" t="n">
        <v>90.3</v>
      </c>
      <c r="J265" s="5" t="n">
        <v>6.62</v>
      </c>
      <c r="K265" s="5" t="n">
        <v>0</v>
      </c>
      <c r="L265" s="5" t="n">
        <v>4.2</v>
      </c>
      <c r="M265" s="5" t="n">
        <v>528852.62</v>
      </c>
      <c r="N265" s="5" t="n">
        <v>68426.21</v>
      </c>
    </row>
    <row r="266" customFormat="false" ht="15" hidden="false" customHeight="true" outlineLevel="0" collapsed="false">
      <c r="A266" s="5" t="s">
        <v>89</v>
      </c>
      <c r="B266" s="6" t="n">
        <v>45689</v>
      </c>
      <c r="C266" s="5" t="s">
        <v>29</v>
      </c>
      <c r="D266" s="5" t="s">
        <v>20</v>
      </c>
      <c r="E266" s="5" t="n">
        <v>43288.2</v>
      </c>
      <c r="F266" s="5" t="n">
        <v>4783</v>
      </c>
      <c r="G266" s="5" t="n">
        <v>0.169</v>
      </c>
      <c r="H266" s="5" t="n">
        <v>13</v>
      </c>
      <c r="I266" s="5" t="n">
        <v>87.3</v>
      </c>
      <c r="J266" s="5"/>
      <c r="K266" s="5" t="n">
        <v>0</v>
      </c>
      <c r="L266" s="5" t="n">
        <v>4.2</v>
      </c>
      <c r="M266" s="5" t="n">
        <v>605751.33</v>
      </c>
      <c r="N266" s="5" t="n">
        <v>60685.53</v>
      </c>
    </row>
    <row r="267" customFormat="false" ht="15" hidden="false" customHeight="true" outlineLevel="0" collapsed="false">
      <c r="A267" s="5" t="s">
        <v>89</v>
      </c>
      <c r="B267" s="6" t="n">
        <v>45717</v>
      </c>
      <c r="C267" s="5" t="s">
        <v>29</v>
      </c>
      <c r="D267" s="5" t="s">
        <v>20</v>
      </c>
      <c r="E267" s="5" t="n">
        <v>51450.55</v>
      </c>
      <c r="F267" s="5" t="n">
        <v>4902</v>
      </c>
      <c r="G267" s="5" t="n">
        <v>0.086</v>
      </c>
      <c r="H267" s="5" t="n">
        <v>11</v>
      </c>
      <c r="I267" s="5" t="n">
        <v>83.7</v>
      </c>
      <c r="J267" s="5" t="n">
        <v>6.92</v>
      </c>
      <c r="K267" s="5" t="n">
        <v>1</v>
      </c>
      <c r="L267" s="5" t="n">
        <v>4.2</v>
      </c>
      <c r="M267" s="5" t="n">
        <v>677640.65</v>
      </c>
      <c r="N267" s="5" t="n">
        <v>111610.89</v>
      </c>
    </row>
    <row r="268" customFormat="false" ht="15" hidden="false" customHeight="true" outlineLevel="0" collapsed="false">
      <c r="A268" s="5" t="s">
        <v>89</v>
      </c>
      <c r="B268" s="6" t="n">
        <v>45748</v>
      </c>
      <c r="C268" s="5" t="s">
        <v>29</v>
      </c>
      <c r="D268" s="5" t="s">
        <v>20</v>
      </c>
      <c r="E268" s="5" t="n">
        <v>58688.26</v>
      </c>
      <c r="F268" s="5" t="n">
        <v>4022</v>
      </c>
      <c r="G268" s="5" t="n">
        <v>0.217</v>
      </c>
      <c r="H268" s="5" t="n">
        <v>12</v>
      </c>
      <c r="I268" s="5" t="n">
        <v>93.8</v>
      </c>
      <c r="J268" s="5" t="n">
        <v>11.78</v>
      </c>
      <c r="K268" s="5" t="n">
        <v>0</v>
      </c>
      <c r="L268" s="5" t="n">
        <v>3.7</v>
      </c>
      <c r="M268" s="5" t="n">
        <v>636613.23</v>
      </c>
      <c r="N268" s="5" t="n">
        <v>78908.35</v>
      </c>
    </row>
    <row r="269" customFormat="false" ht="15" hidden="false" customHeight="true" outlineLevel="0" collapsed="false">
      <c r="A269" s="5" t="s">
        <v>90</v>
      </c>
      <c r="B269" s="6" t="n">
        <v>45658</v>
      </c>
      <c r="C269" s="5" t="s">
        <v>17</v>
      </c>
      <c r="D269" s="5" t="s">
        <v>20</v>
      </c>
      <c r="E269" s="5" t="n">
        <v>58981.91</v>
      </c>
      <c r="F269" s="5" t="n">
        <v>7324</v>
      </c>
      <c r="G269" s="5" t="n">
        <v>0.094</v>
      </c>
      <c r="H269" s="5" t="n">
        <v>15</v>
      </c>
      <c r="I269" s="5" t="n">
        <v>95.8</v>
      </c>
      <c r="J269" s="5" t="n">
        <v>0.5</v>
      </c>
      <c r="K269" s="5" t="n">
        <v>0</v>
      </c>
      <c r="L269" s="5" t="n">
        <v>3.5</v>
      </c>
      <c r="M269" s="5" t="n">
        <v>708985.19</v>
      </c>
      <c r="N269" s="5" t="n">
        <v>125368.16</v>
      </c>
    </row>
    <row r="270" customFormat="false" ht="15" hidden="false" customHeight="true" outlineLevel="0" collapsed="false">
      <c r="A270" s="5" t="s">
        <v>90</v>
      </c>
      <c r="B270" s="6" t="n">
        <v>45689</v>
      </c>
      <c r="C270" s="5" t="s">
        <v>17</v>
      </c>
      <c r="D270" s="5" t="s">
        <v>20</v>
      </c>
      <c r="E270" s="5" t="n">
        <v>73454.54</v>
      </c>
      <c r="F270" s="5" t="n">
        <v>8129</v>
      </c>
      <c r="G270" s="5" t="n">
        <v>0.211</v>
      </c>
      <c r="H270" s="5" t="n">
        <v>20</v>
      </c>
      <c r="I270" s="5" t="n">
        <v>85.2</v>
      </c>
      <c r="J270" s="5" t="n">
        <v>0.88</v>
      </c>
      <c r="K270" s="5" t="n">
        <v>0</v>
      </c>
      <c r="L270" s="5" t="n">
        <v>3.7</v>
      </c>
      <c r="M270" s="5" t="n">
        <v>767792.94</v>
      </c>
      <c r="N270" s="5" t="n">
        <v>96235.77</v>
      </c>
    </row>
    <row r="271" customFormat="false" ht="15" hidden="false" customHeight="true" outlineLevel="0" collapsed="false">
      <c r="A271" s="5" t="s">
        <v>90</v>
      </c>
      <c r="B271" s="6" t="n">
        <v>45717</v>
      </c>
      <c r="C271" s="5" t="s">
        <v>17</v>
      </c>
      <c r="D271" s="5" t="s">
        <v>20</v>
      </c>
      <c r="E271" s="5" t="n">
        <v>56602.39</v>
      </c>
      <c r="F271" s="5" t="n">
        <v>7969</v>
      </c>
      <c r="G271" s="5" t="n">
        <v>0.17</v>
      </c>
      <c r="H271" s="5" t="n">
        <v>21</v>
      </c>
      <c r="I271" s="5" t="n">
        <v>88.3</v>
      </c>
      <c r="J271" s="5" t="n">
        <v>2.25</v>
      </c>
      <c r="K271" s="5" t="n">
        <v>0</v>
      </c>
      <c r="L271" s="5" t="n">
        <v>3.7</v>
      </c>
      <c r="M271" s="5" t="n">
        <v>745580.51</v>
      </c>
      <c r="N271" s="5" t="n">
        <v>116273.68</v>
      </c>
    </row>
    <row r="272" customFormat="false" ht="15" hidden="false" customHeight="true" outlineLevel="0" collapsed="false">
      <c r="A272" s="5" t="s">
        <v>90</v>
      </c>
      <c r="B272" s="6" t="n">
        <v>45748</v>
      </c>
      <c r="C272" s="5" t="s">
        <v>17</v>
      </c>
      <c r="D272" s="5" t="s">
        <v>20</v>
      </c>
      <c r="E272" s="5" t="n">
        <v>67722.29</v>
      </c>
      <c r="F272" s="5" t="n">
        <v>7240</v>
      </c>
      <c r="G272" s="5" t="n">
        <v>0.026</v>
      </c>
      <c r="H272" s="5" t="n">
        <v>15</v>
      </c>
      <c r="I272" s="5" t="n">
        <v>92.9</v>
      </c>
      <c r="J272" s="5" t="n">
        <v>0.29</v>
      </c>
      <c r="K272" s="5" t="n">
        <v>0</v>
      </c>
      <c r="L272" s="5" t="n">
        <v>3.5</v>
      </c>
      <c r="M272" s="5" t="n">
        <v>762328.31</v>
      </c>
      <c r="N272" s="5" t="n">
        <v>159158.19</v>
      </c>
    </row>
    <row r="273" customFormat="false" ht="15" hidden="false" customHeight="true" outlineLevel="0" collapsed="false">
      <c r="A273" s="5" t="s">
        <v>91</v>
      </c>
      <c r="B273" s="6" t="n">
        <v>45658</v>
      </c>
      <c r="C273" s="5" t="s">
        <v>17</v>
      </c>
      <c r="D273" s="5" t="s">
        <v>30</v>
      </c>
      <c r="E273" s="5" t="n">
        <v>48752.92</v>
      </c>
      <c r="F273" s="5" t="n">
        <v>8052</v>
      </c>
      <c r="G273" s="5" t="n">
        <v>0.106</v>
      </c>
      <c r="H273" s="5" t="n">
        <v>16</v>
      </c>
      <c r="I273" s="5" t="n">
        <v>94.9</v>
      </c>
      <c r="J273" s="5" t="n">
        <v>0.65</v>
      </c>
      <c r="K273" s="5" t="n">
        <v>0</v>
      </c>
      <c r="L273" s="5" t="n">
        <v>3.6</v>
      </c>
      <c r="M273" s="5" t="n">
        <v>660633.99</v>
      </c>
      <c r="N273" s="5" t="n">
        <v>118768.66</v>
      </c>
    </row>
    <row r="274" customFormat="false" ht="15" hidden="false" customHeight="true" outlineLevel="0" collapsed="false">
      <c r="A274" s="5" t="s">
        <v>91</v>
      </c>
      <c r="B274" s="6" t="n">
        <v>45689</v>
      </c>
      <c r="C274" s="5" t="s">
        <v>17</v>
      </c>
      <c r="D274" s="5" t="s">
        <v>30</v>
      </c>
      <c r="E274" s="5" t="n">
        <v>23914.97</v>
      </c>
      <c r="F274" s="5" t="n">
        <v>8018</v>
      </c>
      <c r="G274" s="5" t="n">
        <v>0.139</v>
      </c>
      <c r="H274" s="5" t="n">
        <v>20</v>
      </c>
      <c r="I274" s="5" t="n">
        <v>89</v>
      </c>
      <c r="J274" s="5" t="n">
        <v>0.2</v>
      </c>
      <c r="K274" s="5" t="n">
        <v>0</v>
      </c>
      <c r="L274" s="5" t="n">
        <v>3.5</v>
      </c>
      <c r="M274" s="5" t="n">
        <v>739374.56</v>
      </c>
      <c r="N274" s="5" t="n">
        <v>121032.29</v>
      </c>
    </row>
    <row r="275" customFormat="false" ht="15" hidden="false" customHeight="true" outlineLevel="0" collapsed="false">
      <c r="A275" s="5" t="s">
        <v>91</v>
      </c>
      <c r="B275" s="6" t="n">
        <v>45717</v>
      </c>
      <c r="C275" s="5" t="s">
        <v>17</v>
      </c>
      <c r="D275" s="5" t="s">
        <v>30</v>
      </c>
      <c r="E275" s="5" t="n">
        <v>61995.3</v>
      </c>
      <c r="F275" s="5" t="n">
        <v>10192</v>
      </c>
      <c r="G275" s="5" t="n">
        <v>0.198</v>
      </c>
      <c r="H275" s="5" t="n">
        <v>21</v>
      </c>
      <c r="I275" s="5" t="n">
        <v>87.6</v>
      </c>
      <c r="J275" s="5" t="n">
        <v>3.63</v>
      </c>
      <c r="K275" s="5" t="n">
        <v>1</v>
      </c>
      <c r="L275" s="5" t="n">
        <v>3.8</v>
      </c>
      <c r="M275" s="5" t="n">
        <v>799756.46</v>
      </c>
      <c r="N275" s="5" t="n">
        <v>105052.93</v>
      </c>
    </row>
    <row r="276" customFormat="false" ht="15" hidden="false" customHeight="true" outlineLevel="0" collapsed="false">
      <c r="A276" s="5" t="s">
        <v>91</v>
      </c>
      <c r="B276" s="6" t="n">
        <v>45748</v>
      </c>
      <c r="C276" s="5" t="s">
        <v>17</v>
      </c>
      <c r="D276" s="5" t="s">
        <v>30</v>
      </c>
      <c r="E276" s="5" t="n">
        <v>29344.93</v>
      </c>
      <c r="F276" s="5" t="n">
        <v>7446</v>
      </c>
      <c r="G276" s="5" t="n">
        <v>0.111</v>
      </c>
      <c r="H276" s="5" t="n">
        <v>15</v>
      </c>
      <c r="I276" s="5" t="n">
        <v>86.2</v>
      </c>
      <c r="J276" s="5" t="n">
        <v>0.2</v>
      </c>
      <c r="K276" s="5" t="n">
        <v>0</v>
      </c>
      <c r="L276" s="5" t="n">
        <v>3.2</v>
      </c>
      <c r="M276" s="5" t="n">
        <v>593343</v>
      </c>
      <c r="N276" s="5" t="n">
        <v>82832.24</v>
      </c>
    </row>
    <row r="277" customFormat="false" ht="15" hidden="false" customHeight="true" outlineLevel="0" collapsed="false">
      <c r="A277" s="5" t="s">
        <v>92</v>
      </c>
      <c r="B277" s="6" t="n">
        <v>45658</v>
      </c>
      <c r="C277" s="5" t="s">
        <v>29</v>
      </c>
      <c r="D277" s="5" t="s">
        <v>20</v>
      </c>
      <c r="E277" s="5" t="n">
        <v>50532.17</v>
      </c>
      <c r="F277" s="5" t="n">
        <v>5689</v>
      </c>
      <c r="G277" s="5" t="n">
        <v>0.052</v>
      </c>
      <c r="H277" s="5" t="n">
        <v>17</v>
      </c>
      <c r="I277" s="5" t="n">
        <v>85.6</v>
      </c>
      <c r="J277" s="5" t="n">
        <v>6.23</v>
      </c>
      <c r="K277" s="5" t="n">
        <v>0</v>
      </c>
      <c r="L277" s="5" t="n">
        <v>3.3</v>
      </c>
      <c r="M277" s="5" t="n">
        <v>645039.97</v>
      </c>
      <c r="N277" s="5" t="n">
        <v>83093.33</v>
      </c>
    </row>
    <row r="278" customFormat="false" ht="15" hidden="false" customHeight="true" outlineLevel="0" collapsed="false">
      <c r="A278" s="5" t="s">
        <v>92</v>
      </c>
      <c r="B278" s="6" t="n">
        <v>45689</v>
      </c>
      <c r="C278" s="5" t="s">
        <v>29</v>
      </c>
      <c r="D278" s="5" t="s">
        <v>20</v>
      </c>
      <c r="E278" s="5" t="n">
        <v>17562.57</v>
      </c>
      <c r="F278" s="5" t="n">
        <v>3326</v>
      </c>
      <c r="G278" s="5" t="n">
        <v>0.153</v>
      </c>
      <c r="H278" s="5" t="n">
        <v>14</v>
      </c>
      <c r="I278" s="5" t="n">
        <v>88.1</v>
      </c>
      <c r="J278" s="5" t="n">
        <v>1.04</v>
      </c>
      <c r="K278" s="5" t="n">
        <v>0</v>
      </c>
      <c r="L278" s="5" t="n">
        <v>3.1</v>
      </c>
      <c r="M278" s="5" t="n">
        <v>561597.33</v>
      </c>
      <c r="N278" s="5" t="n">
        <v>75072.75</v>
      </c>
    </row>
    <row r="279" customFormat="false" ht="15" hidden="false" customHeight="true" outlineLevel="0" collapsed="false">
      <c r="A279" s="5" t="s">
        <v>92</v>
      </c>
      <c r="B279" s="6" t="n">
        <v>45717</v>
      </c>
      <c r="C279" s="5" t="s">
        <v>29</v>
      </c>
      <c r="D279" s="5" t="s">
        <v>20</v>
      </c>
      <c r="E279" s="5" t="n">
        <v>47648.71</v>
      </c>
      <c r="F279" s="5" t="n">
        <v>5767</v>
      </c>
      <c r="G279" s="5" t="n">
        <v>0.141</v>
      </c>
      <c r="H279" s="5" t="n">
        <v>17</v>
      </c>
      <c r="I279" s="5" t="n">
        <v>89.8</v>
      </c>
      <c r="J279" s="5" t="n">
        <v>1.76</v>
      </c>
      <c r="K279" s="5" t="n">
        <v>0</v>
      </c>
      <c r="L279" s="5" t="n">
        <v>3.1</v>
      </c>
      <c r="M279" s="5" t="n">
        <v>635837.74</v>
      </c>
      <c r="N279" s="5" t="n">
        <v>114740.64</v>
      </c>
    </row>
    <row r="280" customFormat="false" ht="15" hidden="false" customHeight="true" outlineLevel="0" collapsed="false">
      <c r="A280" s="5" t="s">
        <v>92</v>
      </c>
      <c r="B280" s="6" t="n">
        <v>45748</v>
      </c>
      <c r="C280" s="5" t="s">
        <v>29</v>
      </c>
      <c r="D280" s="5" t="s">
        <v>20</v>
      </c>
      <c r="E280" s="5" t="n">
        <v>38297.58</v>
      </c>
      <c r="F280" s="5" t="n">
        <v>5893</v>
      </c>
      <c r="G280" s="5" t="n">
        <v>0.247</v>
      </c>
      <c r="H280" s="5" t="n">
        <v>18</v>
      </c>
      <c r="I280" s="5" t="n">
        <v>77.6</v>
      </c>
      <c r="J280" s="5" t="n">
        <v>2.86</v>
      </c>
      <c r="K280" s="5" t="n">
        <v>0</v>
      </c>
      <c r="L280" s="5" t="n">
        <v>3</v>
      </c>
      <c r="M280" s="5" t="n">
        <v>686737.87</v>
      </c>
      <c r="N280" s="5" t="n">
        <v>83839.67</v>
      </c>
    </row>
    <row r="281" customFormat="false" ht="15" hidden="false" customHeight="true" outlineLevel="0" collapsed="false">
      <c r="A281" s="5" t="s">
        <v>93</v>
      </c>
      <c r="B281" s="6" t="n">
        <v>45658</v>
      </c>
      <c r="C281" s="5" t="s">
        <v>26</v>
      </c>
      <c r="D281" s="5" t="s">
        <v>18</v>
      </c>
      <c r="E281" s="5" t="n">
        <v>61784.11</v>
      </c>
      <c r="F281" s="5" t="n">
        <v>8564</v>
      </c>
      <c r="G281" s="5" t="n">
        <v>0.13</v>
      </c>
      <c r="H281" s="5" t="n">
        <v>17</v>
      </c>
      <c r="I281" s="5" t="n">
        <v>87.4</v>
      </c>
      <c r="J281" s="5" t="n">
        <v>18.14</v>
      </c>
      <c r="K281" s="5" t="n">
        <v>1</v>
      </c>
      <c r="L281" s="5" t="n">
        <v>3.4</v>
      </c>
      <c r="M281" s="5" t="n">
        <v>673076.34</v>
      </c>
      <c r="N281" s="5" t="n">
        <v>93899.76</v>
      </c>
    </row>
    <row r="282" customFormat="false" ht="15" hidden="false" customHeight="true" outlineLevel="0" collapsed="false">
      <c r="A282" s="5" t="s">
        <v>93</v>
      </c>
      <c r="B282" s="6" t="n">
        <v>45689</v>
      </c>
      <c r="C282" s="5" t="s">
        <v>26</v>
      </c>
      <c r="D282" s="5" t="s">
        <v>18</v>
      </c>
      <c r="E282" s="5" t="n">
        <v>36832.33</v>
      </c>
      <c r="F282" s="5" t="n">
        <v>8001</v>
      </c>
      <c r="G282" s="5" t="n">
        <v>0</v>
      </c>
      <c r="H282" s="5" t="n">
        <v>19</v>
      </c>
      <c r="I282" s="5" t="n">
        <v>88.7</v>
      </c>
      <c r="J282" s="5" t="n">
        <v>3.39</v>
      </c>
      <c r="K282" s="5" t="n">
        <v>0</v>
      </c>
      <c r="L282" s="5" t="n">
        <v>4</v>
      </c>
      <c r="M282" s="5" t="n">
        <v>738548.42</v>
      </c>
      <c r="N282" s="5" t="n">
        <v>134282.77</v>
      </c>
    </row>
    <row r="283" customFormat="false" ht="15" hidden="false" customHeight="true" outlineLevel="0" collapsed="false">
      <c r="A283" s="5" t="s">
        <v>93</v>
      </c>
      <c r="B283" s="6" t="n">
        <v>45717</v>
      </c>
      <c r="C283" s="5" t="s">
        <v>26</v>
      </c>
      <c r="D283" s="5" t="s">
        <v>18</v>
      </c>
      <c r="E283" s="5" t="n">
        <v>48609.41</v>
      </c>
      <c r="F283" s="5" t="n">
        <v>9324</v>
      </c>
      <c r="G283" s="5" t="n">
        <v>0.213</v>
      </c>
      <c r="H283" s="5" t="n">
        <v>18</v>
      </c>
      <c r="I283" s="5" t="n">
        <v>86.5</v>
      </c>
      <c r="J283" s="5" t="n">
        <v>1.44</v>
      </c>
      <c r="K283" s="5" t="n">
        <v>0</v>
      </c>
      <c r="L283" s="5" t="n">
        <v>3.9</v>
      </c>
      <c r="M283" s="5" t="n">
        <v>756619.77</v>
      </c>
      <c r="N283" s="5" t="n">
        <v>112057.69</v>
      </c>
    </row>
    <row r="284" customFormat="false" ht="15" hidden="false" customHeight="true" outlineLevel="0" collapsed="false">
      <c r="A284" s="5" t="s">
        <v>93</v>
      </c>
      <c r="B284" s="6" t="n">
        <v>45748</v>
      </c>
      <c r="C284" s="5" t="s">
        <v>26</v>
      </c>
      <c r="D284" s="5" t="s">
        <v>18</v>
      </c>
      <c r="E284" s="5" t="n">
        <v>70284.06</v>
      </c>
      <c r="F284" s="5" t="n">
        <v>9109</v>
      </c>
      <c r="G284" s="5" t="n">
        <v>0.004</v>
      </c>
      <c r="H284" s="5" t="n">
        <v>23</v>
      </c>
      <c r="I284" s="5" t="n">
        <v>87</v>
      </c>
      <c r="J284" s="5" t="n">
        <v>3.65</v>
      </c>
      <c r="K284" s="5" t="n">
        <v>0</v>
      </c>
      <c r="L284" s="5" t="n">
        <v>3.7</v>
      </c>
      <c r="M284" s="5" t="n">
        <v>761122.42</v>
      </c>
      <c r="N284" s="5" t="n">
        <v>149802.04</v>
      </c>
    </row>
    <row r="285" customFormat="false" ht="15" hidden="false" customHeight="true" outlineLevel="0" collapsed="false">
      <c r="A285" s="5" t="s">
        <v>94</v>
      </c>
      <c r="B285" s="6" t="n">
        <v>45658</v>
      </c>
      <c r="C285" s="5" t="s">
        <v>26</v>
      </c>
      <c r="D285" s="5" t="s">
        <v>20</v>
      </c>
      <c r="E285" s="5" t="n">
        <v>45940.39</v>
      </c>
      <c r="F285" s="5" t="n">
        <v>4022</v>
      </c>
      <c r="G285" s="5" t="n">
        <v>0.069</v>
      </c>
      <c r="H285" s="5" t="n">
        <v>10</v>
      </c>
      <c r="I285" s="5" t="n">
        <v>83</v>
      </c>
      <c r="J285" s="5" t="n">
        <v>1.23</v>
      </c>
      <c r="K285" s="5" t="n">
        <v>1</v>
      </c>
      <c r="L285" s="5" t="n">
        <v>3.8</v>
      </c>
      <c r="M285" s="5" t="n">
        <v>524899.57</v>
      </c>
      <c r="N285" s="5" t="n">
        <v>63619.98</v>
      </c>
    </row>
    <row r="286" customFormat="false" ht="15" hidden="false" customHeight="true" outlineLevel="0" collapsed="false">
      <c r="A286" s="5" t="s">
        <v>94</v>
      </c>
      <c r="B286" s="6" t="n">
        <v>45689</v>
      </c>
      <c r="C286" s="5" t="s">
        <v>26</v>
      </c>
      <c r="D286" s="5" t="s">
        <v>20</v>
      </c>
      <c r="E286" s="5" t="n">
        <v>34771.26</v>
      </c>
      <c r="F286" s="5" t="n">
        <v>4355</v>
      </c>
      <c r="G286" s="5" t="n">
        <v>0.051</v>
      </c>
      <c r="H286" s="5" t="n">
        <v>15</v>
      </c>
      <c r="I286" s="5" t="n">
        <v>87.9</v>
      </c>
      <c r="J286" s="5" t="n">
        <v>3.09</v>
      </c>
      <c r="K286" s="5" t="n">
        <v>0</v>
      </c>
      <c r="L286" s="5" t="n">
        <v>4</v>
      </c>
      <c r="M286" s="5" t="n">
        <v>555557.77</v>
      </c>
      <c r="N286" s="5" t="n">
        <v>86475.51</v>
      </c>
    </row>
    <row r="287" customFormat="false" ht="15" hidden="false" customHeight="true" outlineLevel="0" collapsed="false">
      <c r="A287" s="5" t="s">
        <v>94</v>
      </c>
      <c r="B287" s="6" t="n">
        <v>45717</v>
      </c>
      <c r="C287" s="5" t="s">
        <v>26</v>
      </c>
      <c r="D287" s="5" t="s">
        <v>20</v>
      </c>
      <c r="E287" s="5" t="n">
        <v>66104.19</v>
      </c>
      <c r="F287" s="5" t="n">
        <v>5745</v>
      </c>
      <c r="G287" s="5" t="n">
        <v>0.07</v>
      </c>
      <c r="H287" s="5" t="n">
        <v>17</v>
      </c>
      <c r="I287" s="5" t="n">
        <v>95.8</v>
      </c>
      <c r="J287" s="5" t="n">
        <v>3.15</v>
      </c>
      <c r="K287" s="5" t="n">
        <v>0</v>
      </c>
      <c r="L287" s="5" t="n">
        <v>4</v>
      </c>
      <c r="M287" s="5" t="n">
        <v>714083.68</v>
      </c>
      <c r="N287" s="5" t="n">
        <v>127231.74</v>
      </c>
    </row>
    <row r="288" customFormat="false" ht="15" hidden="false" customHeight="true" outlineLevel="0" collapsed="false">
      <c r="A288" s="5" t="s">
        <v>94</v>
      </c>
      <c r="B288" s="6" t="n">
        <v>45748</v>
      </c>
      <c r="C288" s="5" t="s">
        <v>26</v>
      </c>
      <c r="D288" s="5" t="s">
        <v>20</v>
      </c>
      <c r="E288" s="5" t="n">
        <v>18599.21</v>
      </c>
      <c r="F288" s="5" t="n">
        <v>3027</v>
      </c>
      <c r="G288" s="5" t="n">
        <v>0.122</v>
      </c>
      <c r="H288" s="5" t="n">
        <v>11</v>
      </c>
      <c r="I288" s="5" t="n">
        <v>80.9</v>
      </c>
      <c r="J288" s="5" t="n">
        <v>6.44</v>
      </c>
      <c r="K288" s="5" t="n">
        <v>0</v>
      </c>
      <c r="L288" s="5" t="n">
        <v>4.2</v>
      </c>
      <c r="M288" s="5" t="n">
        <v>497439.82</v>
      </c>
      <c r="N288" s="5" t="n">
        <v>93372.75</v>
      </c>
    </row>
    <row r="289" customFormat="false" ht="15" hidden="false" customHeight="true" outlineLevel="0" collapsed="false">
      <c r="A289" s="5" t="s">
        <v>95</v>
      </c>
      <c r="B289" s="6" t="n">
        <v>45658</v>
      </c>
      <c r="C289" s="5" t="s">
        <v>29</v>
      </c>
      <c r="D289" s="5" t="s">
        <v>18</v>
      </c>
      <c r="E289" s="5" t="n">
        <v>60183.06</v>
      </c>
      <c r="F289" s="5" t="n">
        <v>5562</v>
      </c>
      <c r="G289" s="5" t="n">
        <v>0.009</v>
      </c>
      <c r="H289" s="5" t="n">
        <v>13</v>
      </c>
      <c r="I289" s="5" t="n">
        <v>86.3</v>
      </c>
      <c r="J289" s="5" t="n">
        <v>0.2</v>
      </c>
      <c r="K289" s="5" t="n">
        <v>1</v>
      </c>
      <c r="L289" s="5" t="n">
        <v>4.5</v>
      </c>
      <c r="M289" s="5" t="n">
        <v>636775.66</v>
      </c>
      <c r="N289" s="5" t="n">
        <v>122636.86</v>
      </c>
    </row>
    <row r="290" customFormat="false" ht="15" hidden="false" customHeight="true" outlineLevel="0" collapsed="false">
      <c r="A290" s="5" t="s">
        <v>95</v>
      </c>
      <c r="B290" s="6" t="n">
        <v>45689</v>
      </c>
      <c r="C290" s="5" t="s">
        <v>29</v>
      </c>
      <c r="D290" s="5" t="s">
        <v>18</v>
      </c>
      <c r="E290" s="5" t="n">
        <v>74539.14</v>
      </c>
      <c r="F290" s="5" t="n">
        <v>4487</v>
      </c>
      <c r="G290" s="5" t="n">
        <v>0.14</v>
      </c>
      <c r="H290" s="5" t="n">
        <v>10</v>
      </c>
      <c r="I290" s="5" t="n">
        <v>90.4</v>
      </c>
      <c r="J290" s="5" t="n">
        <v>0.59</v>
      </c>
      <c r="K290" s="5" t="n">
        <v>0</v>
      </c>
      <c r="L290" s="5" t="n">
        <v>4.5</v>
      </c>
      <c r="M290" s="5" t="n">
        <v>633009.53</v>
      </c>
      <c r="N290" s="5" t="n">
        <v>123782.67</v>
      </c>
    </row>
    <row r="291" customFormat="false" ht="15" hidden="false" customHeight="true" outlineLevel="0" collapsed="false">
      <c r="A291" s="5" t="s">
        <v>95</v>
      </c>
      <c r="B291" s="6" t="n">
        <v>45717</v>
      </c>
      <c r="C291" s="5" t="s">
        <v>29</v>
      </c>
      <c r="D291" s="5" t="s">
        <v>18</v>
      </c>
      <c r="E291" s="5" t="n">
        <v>55371.97</v>
      </c>
      <c r="F291" s="5" t="n">
        <v>4162</v>
      </c>
      <c r="G291" s="5" t="n">
        <v>0.183</v>
      </c>
      <c r="H291" s="5" t="n">
        <v>11</v>
      </c>
      <c r="I291" s="5" t="n">
        <v>92</v>
      </c>
      <c r="J291" s="5" t="n">
        <v>0.2</v>
      </c>
      <c r="K291" s="5" t="n">
        <v>1</v>
      </c>
      <c r="L291" s="5" t="n">
        <v>4.2</v>
      </c>
      <c r="M291" s="5" t="n">
        <v>609949</v>
      </c>
      <c r="N291" s="5" t="n">
        <v>126789.25</v>
      </c>
    </row>
    <row r="292" customFormat="false" ht="15" hidden="false" customHeight="true" outlineLevel="0" collapsed="false">
      <c r="A292" s="5" t="s">
        <v>95</v>
      </c>
      <c r="B292" s="6" t="n">
        <v>45748</v>
      </c>
      <c r="C292" s="5" t="s">
        <v>29</v>
      </c>
      <c r="D292" s="5" t="s">
        <v>18</v>
      </c>
      <c r="E292" s="5" t="n">
        <v>40928.69</v>
      </c>
      <c r="F292" s="5" t="n">
        <v>4094</v>
      </c>
      <c r="G292" s="5" t="n">
        <v>0.174</v>
      </c>
      <c r="H292" s="5" t="n">
        <v>13</v>
      </c>
      <c r="I292" s="5" t="n">
        <v>82.4</v>
      </c>
      <c r="J292" s="5" t="n">
        <v>1.36</v>
      </c>
      <c r="K292" s="5" t="n">
        <v>0</v>
      </c>
      <c r="L292" s="5" t="n">
        <v>4.8</v>
      </c>
      <c r="M292" s="5" t="n">
        <v>548103.7</v>
      </c>
      <c r="N292" s="5" t="n">
        <v>99905.52</v>
      </c>
    </row>
    <row r="293" customFormat="false" ht="15" hidden="false" customHeight="true" outlineLevel="0" collapsed="false">
      <c r="A293" s="5" t="s">
        <v>96</v>
      </c>
      <c r="B293" s="6" t="n">
        <v>45658</v>
      </c>
      <c r="C293" s="5" t="s">
        <v>17</v>
      </c>
      <c r="D293" s="5" t="s">
        <v>18</v>
      </c>
      <c r="E293" s="5" t="n">
        <v>70012.41</v>
      </c>
      <c r="F293" s="5" t="n">
        <v>8484</v>
      </c>
      <c r="G293" s="5" t="n">
        <v>0.273</v>
      </c>
      <c r="H293" s="5" t="n">
        <v>23</v>
      </c>
      <c r="I293" s="5" t="n">
        <v>72.9</v>
      </c>
      <c r="J293" s="5" t="n">
        <v>3.34</v>
      </c>
      <c r="K293" s="5" t="n">
        <v>0</v>
      </c>
      <c r="L293" s="5" t="n">
        <v>3.7</v>
      </c>
      <c r="M293" s="5" t="n">
        <v>729424.42</v>
      </c>
      <c r="N293" s="5" t="n">
        <v>75592.28</v>
      </c>
    </row>
    <row r="294" customFormat="false" ht="15" hidden="false" customHeight="true" outlineLevel="0" collapsed="false">
      <c r="A294" s="5" t="s">
        <v>96</v>
      </c>
      <c r="B294" s="6" t="n">
        <v>45689</v>
      </c>
      <c r="C294" s="5" t="s">
        <v>17</v>
      </c>
      <c r="D294" s="5" t="s">
        <v>18</v>
      </c>
      <c r="E294" s="5" t="n">
        <v>68909.26</v>
      </c>
      <c r="F294" s="5" t="n">
        <v>7794</v>
      </c>
      <c r="G294" s="5" t="n">
        <v>0.284</v>
      </c>
      <c r="H294" s="5" t="n">
        <v>22</v>
      </c>
      <c r="I294" s="5" t="n">
        <v>89</v>
      </c>
      <c r="J294" s="5" t="n">
        <v>0.33</v>
      </c>
      <c r="K294" s="5" t="n">
        <v>0</v>
      </c>
      <c r="L294" s="5" t="n">
        <v>4</v>
      </c>
      <c r="M294" s="5" t="n">
        <v>696261.49</v>
      </c>
      <c r="N294" s="5" t="n">
        <v>72455.35</v>
      </c>
    </row>
    <row r="295" customFormat="false" ht="15" hidden="false" customHeight="true" outlineLevel="0" collapsed="false">
      <c r="A295" s="5" t="s">
        <v>96</v>
      </c>
      <c r="B295" s="6" t="n">
        <v>45717</v>
      </c>
      <c r="C295" s="5" t="s">
        <v>17</v>
      </c>
      <c r="D295" s="5" t="s">
        <v>18</v>
      </c>
      <c r="E295" s="5" t="n">
        <v>56737.3</v>
      </c>
      <c r="F295" s="5" t="n">
        <v>8300</v>
      </c>
      <c r="G295" s="5" t="n">
        <v>0.032</v>
      </c>
      <c r="H295" s="5" t="n">
        <v>21</v>
      </c>
      <c r="I295" s="5" t="n">
        <v>83.2</v>
      </c>
      <c r="J295" s="5" t="n">
        <v>3.44</v>
      </c>
      <c r="K295" s="5" t="n">
        <v>1</v>
      </c>
      <c r="L295" s="5" t="n">
        <v>4.3</v>
      </c>
      <c r="M295" s="5" t="n">
        <v>813316.71</v>
      </c>
      <c r="N295" s="5" t="n">
        <v>110077.42</v>
      </c>
    </row>
    <row r="296" customFormat="false" ht="15" hidden="false" customHeight="true" outlineLevel="0" collapsed="false">
      <c r="A296" s="5" t="s">
        <v>96</v>
      </c>
      <c r="B296" s="6" t="n">
        <v>45748</v>
      </c>
      <c r="C296" s="5" t="s">
        <v>17</v>
      </c>
      <c r="D296" s="5" t="s">
        <v>18</v>
      </c>
      <c r="E296" s="5" t="n">
        <v>54080.91</v>
      </c>
      <c r="F296" s="5" t="n">
        <v>7083</v>
      </c>
      <c r="G296" s="5" t="n">
        <v>0</v>
      </c>
      <c r="H296" s="5" t="n">
        <v>15</v>
      </c>
      <c r="I296" s="5" t="n">
        <v>97</v>
      </c>
      <c r="J296" s="5" t="n">
        <v>5.33</v>
      </c>
      <c r="K296" s="5" t="n">
        <v>0</v>
      </c>
      <c r="L296" s="5" t="n">
        <v>4.1</v>
      </c>
      <c r="M296" s="5" t="n">
        <v>702068.92</v>
      </c>
      <c r="N296" s="5" t="n">
        <v>111266.63</v>
      </c>
    </row>
    <row r="297" customFormat="false" ht="15" hidden="false" customHeight="true" outlineLevel="0" collapsed="false">
      <c r="A297" s="5" t="s">
        <v>97</v>
      </c>
      <c r="B297" s="6" t="n">
        <v>45658</v>
      </c>
      <c r="C297" s="5" t="s">
        <v>29</v>
      </c>
      <c r="D297" s="5" t="s">
        <v>20</v>
      </c>
      <c r="E297" s="5" t="n">
        <v>51996.32</v>
      </c>
      <c r="F297" s="5" t="n">
        <v>3834</v>
      </c>
      <c r="G297" s="5" t="n">
        <v>0.096</v>
      </c>
      <c r="H297" s="5" t="n">
        <v>8</v>
      </c>
      <c r="I297" s="5" t="n">
        <v>86.7</v>
      </c>
      <c r="J297" s="5" t="n">
        <v>6.04</v>
      </c>
      <c r="K297" s="5" t="n">
        <v>0</v>
      </c>
      <c r="L297" s="5" t="n">
        <v>4.5</v>
      </c>
      <c r="M297" s="5" t="n">
        <v>546223.7</v>
      </c>
      <c r="N297" s="5" t="n">
        <v>100769.17</v>
      </c>
    </row>
    <row r="298" customFormat="false" ht="15" hidden="false" customHeight="true" outlineLevel="0" collapsed="false">
      <c r="A298" s="5" t="s">
        <v>97</v>
      </c>
      <c r="B298" s="6" t="n">
        <v>45689</v>
      </c>
      <c r="C298" s="5" t="s">
        <v>29</v>
      </c>
      <c r="D298" s="5" t="s">
        <v>20</v>
      </c>
      <c r="E298" s="5" t="n">
        <v>40102.88</v>
      </c>
      <c r="F298" s="5" t="n">
        <v>2358</v>
      </c>
      <c r="G298" s="5" t="n">
        <v>0.119</v>
      </c>
      <c r="H298" s="5" t="n">
        <v>9</v>
      </c>
      <c r="I298" s="5" t="n">
        <v>88.7</v>
      </c>
      <c r="J298" s="5" t="n">
        <v>1.6</v>
      </c>
      <c r="K298" s="5" t="n">
        <v>0</v>
      </c>
      <c r="L298" s="5" t="n">
        <v>4.2</v>
      </c>
      <c r="M298" s="5" t="n">
        <v>533121.26</v>
      </c>
      <c r="N298" s="5" t="n">
        <v>55063.39</v>
      </c>
    </row>
    <row r="299" customFormat="false" ht="15" hidden="false" customHeight="true" outlineLevel="0" collapsed="false">
      <c r="A299" s="5" t="s">
        <v>97</v>
      </c>
      <c r="B299" s="6" t="n">
        <v>45717</v>
      </c>
      <c r="C299" s="5" t="s">
        <v>29</v>
      </c>
      <c r="D299" s="5" t="s">
        <v>20</v>
      </c>
      <c r="E299" s="5" t="n">
        <v>59825.51</v>
      </c>
      <c r="F299" s="5" t="n">
        <v>1231</v>
      </c>
      <c r="G299" s="5" t="n">
        <v>0.214</v>
      </c>
      <c r="H299" s="5" t="n">
        <v>10</v>
      </c>
      <c r="I299" s="5" t="n">
        <v>84.8</v>
      </c>
      <c r="J299" s="5" t="n">
        <v>8.96</v>
      </c>
      <c r="K299" s="5" t="n">
        <v>0</v>
      </c>
      <c r="L299" s="5" t="n">
        <v>4.7</v>
      </c>
      <c r="M299" s="5" t="n">
        <v>498970.32</v>
      </c>
      <c r="N299" s="5" t="n">
        <v>69656.7</v>
      </c>
    </row>
    <row r="300" customFormat="false" ht="15" hidden="false" customHeight="true" outlineLevel="0" collapsed="false">
      <c r="A300" s="5" t="s">
        <v>97</v>
      </c>
      <c r="B300" s="6" t="n">
        <v>45748</v>
      </c>
      <c r="C300" s="5" t="s">
        <v>29</v>
      </c>
      <c r="D300" s="5" t="s">
        <v>20</v>
      </c>
      <c r="E300" s="5" t="n">
        <v>27398.28</v>
      </c>
      <c r="F300" s="5" t="n">
        <v>1723</v>
      </c>
      <c r="G300" s="5" t="n">
        <v>0.171</v>
      </c>
      <c r="H300" s="5" t="n">
        <v>9</v>
      </c>
      <c r="I300" s="5" t="n">
        <v>81</v>
      </c>
      <c r="J300" s="5" t="n">
        <v>0.74</v>
      </c>
      <c r="K300" s="5" t="n">
        <v>0</v>
      </c>
      <c r="L300" s="5" t="n">
        <v>4.6</v>
      </c>
      <c r="M300" s="5" t="n">
        <v>487738.26</v>
      </c>
      <c r="N300" s="5" t="n">
        <v>96435.6</v>
      </c>
    </row>
    <row r="301" customFormat="false" ht="15" hidden="false" customHeight="true" outlineLevel="0" collapsed="false">
      <c r="A301" s="5" t="s">
        <v>98</v>
      </c>
      <c r="B301" s="6" t="n">
        <v>45658</v>
      </c>
      <c r="C301" s="5" t="s">
        <v>29</v>
      </c>
      <c r="D301" s="5" t="s">
        <v>20</v>
      </c>
      <c r="E301" s="5" t="n">
        <v>55599.56</v>
      </c>
      <c r="F301" s="5" t="n">
        <v>5896</v>
      </c>
      <c r="G301" s="5" t="n">
        <v>0.036</v>
      </c>
      <c r="H301" s="5" t="n">
        <v>12</v>
      </c>
      <c r="I301" s="5" t="n">
        <v>93.1</v>
      </c>
      <c r="J301" s="5" t="n">
        <v>6.13</v>
      </c>
      <c r="K301" s="5" t="n">
        <v>0</v>
      </c>
      <c r="L301" s="5" t="n">
        <v>3.3</v>
      </c>
      <c r="M301" s="5" t="n">
        <v>668459.37</v>
      </c>
      <c r="N301" s="5" t="n">
        <v>126435.42</v>
      </c>
    </row>
    <row r="302" customFormat="false" ht="15" hidden="false" customHeight="true" outlineLevel="0" collapsed="false">
      <c r="A302" s="5" t="s">
        <v>98</v>
      </c>
      <c r="B302" s="6" t="n">
        <v>45689</v>
      </c>
      <c r="C302" s="5" t="s">
        <v>29</v>
      </c>
      <c r="D302" s="5" t="s">
        <v>20</v>
      </c>
      <c r="E302" s="5" t="n">
        <v>55477.61</v>
      </c>
      <c r="F302" s="5" t="n">
        <v>5903</v>
      </c>
      <c r="G302" s="5" t="n">
        <v>0.102</v>
      </c>
      <c r="H302" s="5" t="n">
        <v>14</v>
      </c>
      <c r="I302" s="5" t="n">
        <v>96.2</v>
      </c>
      <c r="J302" s="5" t="n">
        <v>1.41</v>
      </c>
      <c r="K302" s="5" t="n">
        <v>0</v>
      </c>
      <c r="L302" s="5" t="n">
        <v>3.3</v>
      </c>
      <c r="M302" s="5" t="n">
        <v>763162.45</v>
      </c>
      <c r="N302" s="5" t="n">
        <v>162524.05</v>
      </c>
    </row>
    <row r="303" customFormat="false" ht="15" hidden="false" customHeight="true" outlineLevel="0" collapsed="false">
      <c r="A303" s="5" t="s">
        <v>98</v>
      </c>
      <c r="B303" s="6" t="n">
        <v>45717</v>
      </c>
      <c r="C303" s="5" t="s">
        <v>29</v>
      </c>
      <c r="D303" s="5" t="s">
        <v>20</v>
      </c>
      <c r="E303" s="5" t="n">
        <v>46174.7</v>
      </c>
      <c r="F303" s="5" t="n">
        <v>4898</v>
      </c>
      <c r="G303" s="5" t="n">
        <v>0.114</v>
      </c>
      <c r="H303" s="5" t="n">
        <v>11</v>
      </c>
      <c r="I303" s="5" t="n">
        <v>91.7</v>
      </c>
      <c r="J303" s="5" t="n">
        <v>3.75</v>
      </c>
      <c r="K303" s="5" t="n">
        <v>0</v>
      </c>
      <c r="L303" s="5" t="n">
        <v>3.1</v>
      </c>
      <c r="M303" s="5" t="n">
        <v>599017.33</v>
      </c>
      <c r="N303" s="5" t="n">
        <v>134009.92</v>
      </c>
    </row>
    <row r="304" customFormat="false" ht="15" hidden="false" customHeight="true" outlineLevel="0" collapsed="false">
      <c r="A304" s="5" t="s">
        <v>98</v>
      </c>
      <c r="B304" s="6" t="n">
        <v>45748</v>
      </c>
      <c r="C304" s="5" t="s">
        <v>29</v>
      </c>
      <c r="D304" s="5" t="s">
        <v>20</v>
      </c>
      <c r="E304" s="5" t="n">
        <v>24362.98</v>
      </c>
      <c r="F304" s="5" t="n">
        <v>1462</v>
      </c>
      <c r="G304" s="5" t="n">
        <v>0.117</v>
      </c>
      <c r="H304" s="5" t="n">
        <v>6</v>
      </c>
      <c r="I304" s="5" t="n">
        <v>89.3</v>
      </c>
      <c r="J304" s="5" t="n">
        <v>15.06</v>
      </c>
      <c r="K304" s="5" t="n">
        <v>0</v>
      </c>
      <c r="L304" s="5" t="n">
        <v>3.2</v>
      </c>
      <c r="M304" s="5" t="n">
        <v>401582.58</v>
      </c>
      <c r="N304" s="5" t="n">
        <v>68454.93</v>
      </c>
    </row>
    <row r="305" customFormat="false" ht="15" hidden="false" customHeight="true" outlineLevel="0" collapsed="false">
      <c r="A305" s="5" t="s">
        <v>99</v>
      </c>
      <c r="B305" s="6" t="n">
        <v>45658</v>
      </c>
      <c r="C305" s="5" t="s">
        <v>22</v>
      </c>
      <c r="D305" s="5" t="s">
        <v>30</v>
      </c>
      <c r="E305" s="5" t="n">
        <v>40647.67</v>
      </c>
      <c r="F305" s="5" t="n">
        <v>8252</v>
      </c>
      <c r="G305" s="5" t="n">
        <v>0.141</v>
      </c>
      <c r="H305" s="5" t="n">
        <v>22</v>
      </c>
      <c r="I305" s="5" t="n">
        <v>88.2</v>
      </c>
      <c r="J305" s="5" t="n">
        <v>5.07</v>
      </c>
      <c r="K305" s="5" t="n">
        <v>1</v>
      </c>
      <c r="L305" s="5" t="n">
        <v>4.1</v>
      </c>
      <c r="M305" s="5" t="n">
        <v>703812.99</v>
      </c>
      <c r="N305" s="5" t="n">
        <v>133577.98</v>
      </c>
    </row>
    <row r="306" customFormat="false" ht="15" hidden="false" customHeight="true" outlineLevel="0" collapsed="false">
      <c r="A306" s="5" t="s">
        <v>99</v>
      </c>
      <c r="B306" s="6" t="n">
        <v>45689</v>
      </c>
      <c r="C306" s="5" t="s">
        <v>22</v>
      </c>
      <c r="D306" s="5" t="s">
        <v>30</v>
      </c>
      <c r="E306" s="5" t="n">
        <v>63986.98</v>
      </c>
      <c r="F306" s="5" t="n">
        <v>7989</v>
      </c>
      <c r="G306" s="5" t="n">
        <v>0.074</v>
      </c>
      <c r="H306" s="5" t="n">
        <v>20</v>
      </c>
      <c r="I306" s="5" t="n">
        <v>83.3</v>
      </c>
      <c r="J306" s="5" t="n">
        <v>3.6</v>
      </c>
      <c r="K306" s="5" t="n">
        <v>0</v>
      </c>
      <c r="L306" s="5" t="n">
        <v>3.7</v>
      </c>
      <c r="M306" s="5" t="n">
        <v>724346.73</v>
      </c>
      <c r="N306" s="5" t="n">
        <v>155013.91</v>
      </c>
    </row>
    <row r="307" customFormat="false" ht="15" hidden="false" customHeight="true" outlineLevel="0" collapsed="false">
      <c r="A307" s="5" t="s">
        <v>99</v>
      </c>
      <c r="B307" s="6" t="n">
        <v>45717</v>
      </c>
      <c r="C307" s="5" t="s">
        <v>22</v>
      </c>
      <c r="D307" s="5" t="s">
        <v>30</v>
      </c>
      <c r="E307" s="5" t="n">
        <v>52843.75</v>
      </c>
      <c r="F307" s="5" t="n">
        <v>8268</v>
      </c>
      <c r="G307" s="5" t="n">
        <v>0.138</v>
      </c>
      <c r="H307" s="5" t="n">
        <v>19</v>
      </c>
      <c r="I307" s="5" t="n">
        <v>87.3</v>
      </c>
      <c r="J307" s="5" t="n">
        <v>4.39</v>
      </c>
      <c r="K307" s="5" t="n">
        <v>1</v>
      </c>
      <c r="L307" s="5" t="n">
        <v>4.7</v>
      </c>
      <c r="M307" s="5" t="n">
        <v>730890.01</v>
      </c>
      <c r="N307" s="5" t="n">
        <v>105502.56</v>
      </c>
    </row>
    <row r="308" customFormat="false" ht="15" hidden="false" customHeight="true" outlineLevel="0" collapsed="false">
      <c r="A308" s="5" t="s">
        <v>99</v>
      </c>
      <c r="B308" s="6" t="n">
        <v>45748</v>
      </c>
      <c r="C308" s="5" t="s">
        <v>22</v>
      </c>
      <c r="D308" s="5" t="s">
        <v>30</v>
      </c>
      <c r="E308" s="5" t="n">
        <v>31997.25</v>
      </c>
      <c r="F308" s="5" t="n">
        <v>8183</v>
      </c>
      <c r="G308" s="5" t="n">
        <v>0.198</v>
      </c>
      <c r="H308" s="5" t="n">
        <v>18</v>
      </c>
      <c r="I308" s="5" t="n">
        <v>93</v>
      </c>
      <c r="J308" s="5" t="n">
        <v>2.79</v>
      </c>
      <c r="K308" s="5" t="n">
        <v>0</v>
      </c>
      <c r="L308" s="5" t="n">
        <v>4.2</v>
      </c>
      <c r="M308" s="5" t="n">
        <v>780580.95</v>
      </c>
      <c r="N308" s="5" t="n">
        <v>138144.46</v>
      </c>
    </row>
    <row r="309" customFormat="false" ht="15" hidden="false" customHeight="true" outlineLevel="0" collapsed="false">
      <c r="A309" s="5" t="s">
        <v>100</v>
      </c>
      <c r="B309" s="6" t="n">
        <v>45658</v>
      </c>
      <c r="C309" s="5" t="s">
        <v>26</v>
      </c>
      <c r="D309" s="5" t="s">
        <v>18</v>
      </c>
      <c r="E309" s="5" t="n">
        <v>54948.02</v>
      </c>
      <c r="F309" s="5" t="n">
        <v>6534</v>
      </c>
      <c r="G309" s="5" t="n">
        <v>0.183</v>
      </c>
      <c r="H309" s="5" t="n">
        <v>14</v>
      </c>
      <c r="I309" s="5" t="n">
        <v>94.5</v>
      </c>
      <c r="J309" s="5" t="n">
        <v>1.56</v>
      </c>
      <c r="K309" s="5" t="n">
        <v>0</v>
      </c>
      <c r="L309" s="5" t="n">
        <v>4</v>
      </c>
      <c r="M309" s="5" t="n">
        <v>727957.48</v>
      </c>
      <c r="N309" s="5" t="n">
        <v>74805.23</v>
      </c>
    </row>
    <row r="310" customFormat="false" ht="15" hidden="false" customHeight="true" outlineLevel="0" collapsed="false">
      <c r="A310" s="5" t="s">
        <v>100</v>
      </c>
      <c r="B310" s="6" t="n">
        <v>45689</v>
      </c>
      <c r="C310" s="5" t="s">
        <v>26</v>
      </c>
      <c r="D310" s="5" t="s">
        <v>18</v>
      </c>
      <c r="E310" s="5" t="n">
        <v>46146.24</v>
      </c>
      <c r="F310" s="5" t="n">
        <v>5804</v>
      </c>
      <c r="G310" s="5" t="n">
        <v>0.047</v>
      </c>
      <c r="H310" s="5" t="n">
        <v>16</v>
      </c>
      <c r="I310" s="5" t="n">
        <v>86.9</v>
      </c>
      <c r="J310" s="5" t="n">
        <v>15.82</v>
      </c>
      <c r="K310" s="5" t="n">
        <v>0</v>
      </c>
      <c r="L310" s="5" t="n">
        <v>3.8</v>
      </c>
      <c r="M310" s="5" t="n">
        <v>538376</v>
      </c>
      <c r="N310" s="5" t="n">
        <v>87605.62</v>
      </c>
    </row>
    <row r="311" customFormat="false" ht="15" hidden="false" customHeight="true" outlineLevel="0" collapsed="false">
      <c r="A311" s="5" t="s">
        <v>100</v>
      </c>
      <c r="B311" s="6" t="n">
        <v>45717</v>
      </c>
      <c r="C311" s="5" t="s">
        <v>26</v>
      </c>
      <c r="D311" s="5" t="s">
        <v>18</v>
      </c>
      <c r="E311" s="5" t="n">
        <v>22387.26</v>
      </c>
      <c r="F311" s="5" t="n">
        <v>6301</v>
      </c>
      <c r="G311" s="5" t="n">
        <v>0.146</v>
      </c>
      <c r="H311" s="5" t="n">
        <v>14</v>
      </c>
      <c r="I311" s="5" t="n">
        <v>85.9</v>
      </c>
      <c r="J311" s="5" t="n">
        <v>1.17</v>
      </c>
      <c r="K311" s="5" t="n">
        <v>1</v>
      </c>
      <c r="L311" s="5" t="n">
        <v>3.7</v>
      </c>
      <c r="M311" s="5" t="n">
        <v>665342.49</v>
      </c>
      <c r="N311" s="5" t="n">
        <v>93441.81</v>
      </c>
    </row>
    <row r="312" customFormat="false" ht="15" hidden="false" customHeight="true" outlineLevel="0" collapsed="false">
      <c r="A312" s="5" t="s">
        <v>100</v>
      </c>
      <c r="B312" s="6" t="n">
        <v>45748</v>
      </c>
      <c r="C312" s="5" t="s">
        <v>26</v>
      </c>
      <c r="D312" s="5" t="s">
        <v>18</v>
      </c>
      <c r="E312" s="5" t="n">
        <v>60684.05</v>
      </c>
      <c r="F312" s="5" t="n">
        <v>6399</v>
      </c>
      <c r="G312" s="5" t="n">
        <v>0.075</v>
      </c>
      <c r="H312" s="5" t="n">
        <v>16</v>
      </c>
      <c r="I312" s="5" t="n">
        <v>99</v>
      </c>
      <c r="J312" s="5" t="n">
        <v>3.82</v>
      </c>
      <c r="K312" s="5" t="n">
        <v>0</v>
      </c>
      <c r="L312" s="5" t="n">
        <v>3.5</v>
      </c>
      <c r="M312" s="5" t="n">
        <v>651164.18</v>
      </c>
      <c r="N312" s="5" t="n">
        <v>109466.5</v>
      </c>
    </row>
    <row r="313" customFormat="false" ht="15" hidden="false" customHeight="true" outlineLevel="0" collapsed="false">
      <c r="A313" s="5" t="s">
        <v>101</v>
      </c>
      <c r="B313" s="6" t="n">
        <v>45658</v>
      </c>
      <c r="C313" s="5" t="s">
        <v>26</v>
      </c>
      <c r="D313" s="5" t="s">
        <v>20</v>
      </c>
      <c r="E313" s="5" t="n">
        <v>48465.6</v>
      </c>
      <c r="F313" s="5" t="n">
        <v>5759</v>
      </c>
      <c r="G313" s="5" t="n">
        <v>0.154</v>
      </c>
      <c r="H313" s="5" t="n">
        <v>13</v>
      </c>
      <c r="I313" s="5" t="n">
        <v>87.5</v>
      </c>
      <c r="J313" s="5" t="n">
        <v>4.14</v>
      </c>
      <c r="K313" s="5" t="n">
        <v>0</v>
      </c>
      <c r="L313" s="5" t="n">
        <v>4</v>
      </c>
      <c r="M313" s="5" t="n">
        <v>628538.3</v>
      </c>
      <c r="N313" s="5" t="n">
        <v>112509.15</v>
      </c>
    </row>
    <row r="314" customFormat="false" ht="15" hidden="false" customHeight="true" outlineLevel="0" collapsed="false">
      <c r="A314" s="5" t="s">
        <v>101</v>
      </c>
      <c r="B314" s="6" t="n">
        <v>45689</v>
      </c>
      <c r="C314" s="5" t="s">
        <v>26</v>
      </c>
      <c r="D314" s="5" t="s">
        <v>20</v>
      </c>
      <c r="E314" s="5" t="n">
        <v>23702.38</v>
      </c>
      <c r="F314" s="5" t="n">
        <v>5285</v>
      </c>
      <c r="G314" s="5" t="n">
        <v>0.167</v>
      </c>
      <c r="H314" s="5" t="n">
        <v>14</v>
      </c>
      <c r="I314" s="5" t="n">
        <v>79.7</v>
      </c>
      <c r="J314" s="5" t="n">
        <v>1.1</v>
      </c>
      <c r="K314" s="5" t="n">
        <v>0</v>
      </c>
      <c r="L314" s="5" t="n">
        <v>4.3</v>
      </c>
      <c r="M314" s="5" t="n">
        <v>536524.84</v>
      </c>
      <c r="N314" s="5" t="n">
        <v>92752.94</v>
      </c>
    </row>
    <row r="315" customFormat="false" ht="15" hidden="false" customHeight="true" outlineLevel="0" collapsed="false">
      <c r="A315" s="5" t="s">
        <v>101</v>
      </c>
      <c r="B315" s="6" t="n">
        <v>45717</v>
      </c>
      <c r="C315" s="5" t="s">
        <v>26</v>
      </c>
      <c r="D315" s="5" t="s">
        <v>20</v>
      </c>
      <c r="E315" s="5" t="n">
        <v>54322.94</v>
      </c>
      <c r="F315" s="5" t="n">
        <v>5434</v>
      </c>
      <c r="G315" s="5" t="n">
        <v>0.2</v>
      </c>
      <c r="H315" s="5" t="n">
        <v>13</v>
      </c>
      <c r="I315" s="5" t="n">
        <v>85.7</v>
      </c>
      <c r="J315" s="5" t="n">
        <v>10.6</v>
      </c>
      <c r="K315" s="5" t="n">
        <v>0</v>
      </c>
      <c r="L315" s="5" t="n">
        <v>4.2</v>
      </c>
      <c r="M315" s="5" t="n">
        <v>621677.3</v>
      </c>
      <c r="N315" s="5" t="n">
        <v>105192.52</v>
      </c>
    </row>
    <row r="316" customFormat="false" ht="15" hidden="false" customHeight="true" outlineLevel="0" collapsed="false">
      <c r="A316" s="5" t="s">
        <v>101</v>
      </c>
      <c r="B316" s="6" t="n">
        <v>45748</v>
      </c>
      <c r="C316" s="5" t="s">
        <v>26</v>
      </c>
      <c r="D316" s="5" t="s">
        <v>20</v>
      </c>
      <c r="E316" s="5" t="n">
        <v>86026.58</v>
      </c>
      <c r="F316" s="5" t="n">
        <v>7479</v>
      </c>
      <c r="G316" s="5" t="n">
        <v>0.142</v>
      </c>
      <c r="H316" s="5" t="n">
        <v>20</v>
      </c>
      <c r="I316" s="5" t="n">
        <v>89</v>
      </c>
      <c r="J316" s="5" t="n">
        <v>0.9</v>
      </c>
      <c r="K316" s="5" t="n">
        <v>0</v>
      </c>
      <c r="L316" s="5"/>
      <c r="M316" s="5" t="n">
        <v>771129.07</v>
      </c>
      <c r="N316" s="5" t="n">
        <v>116851.13</v>
      </c>
    </row>
    <row r="317" customFormat="false" ht="15" hidden="false" customHeight="true" outlineLevel="0" collapsed="false">
      <c r="A317" s="5" t="s">
        <v>102</v>
      </c>
      <c r="B317" s="6" t="n">
        <v>45658</v>
      </c>
      <c r="C317" s="5" t="s">
        <v>22</v>
      </c>
      <c r="D317" s="5" t="s">
        <v>18</v>
      </c>
      <c r="E317" s="5" t="n">
        <v>78967.52</v>
      </c>
      <c r="F317" s="5" t="n">
        <v>6164</v>
      </c>
      <c r="G317" s="5" t="n">
        <v>0.021</v>
      </c>
      <c r="H317" s="5" t="n">
        <v>16</v>
      </c>
      <c r="I317" s="5" t="n">
        <v>85.5</v>
      </c>
      <c r="J317" s="5" t="n">
        <v>0.2</v>
      </c>
      <c r="K317" s="5" t="n">
        <v>0</v>
      </c>
      <c r="L317" s="5" t="n">
        <v>3.4</v>
      </c>
      <c r="M317" s="5" t="n">
        <v>702052.47</v>
      </c>
      <c r="N317" s="5" t="n">
        <v>121732.51</v>
      </c>
    </row>
    <row r="318" customFormat="false" ht="15" hidden="false" customHeight="true" outlineLevel="0" collapsed="false">
      <c r="A318" s="5" t="s">
        <v>102</v>
      </c>
      <c r="B318" s="6" t="n">
        <v>45689</v>
      </c>
      <c r="C318" s="5" t="s">
        <v>22</v>
      </c>
      <c r="D318" s="5" t="s">
        <v>18</v>
      </c>
      <c r="E318" s="5" t="n">
        <v>46767.99</v>
      </c>
      <c r="F318" s="5" t="n">
        <v>7973</v>
      </c>
      <c r="G318" s="5" t="n">
        <v>0.183</v>
      </c>
      <c r="H318" s="5" t="n">
        <v>18</v>
      </c>
      <c r="I318" s="5" t="n">
        <v>94.8</v>
      </c>
      <c r="J318" s="5" t="n">
        <v>4.67</v>
      </c>
      <c r="K318" s="5" t="n">
        <v>0</v>
      </c>
      <c r="L318" s="5"/>
      <c r="M318" s="5" t="n">
        <v>688368.46</v>
      </c>
      <c r="N318" s="5" t="n">
        <v>93588.42</v>
      </c>
    </row>
    <row r="319" customFormat="false" ht="15" hidden="false" customHeight="true" outlineLevel="0" collapsed="false">
      <c r="A319" s="5" t="s">
        <v>102</v>
      </c>
      <c r="B319" s="6" t="n">
        <v>45717</v>
      </c>
      <c r="C319" s="5" t="s">
        <v>22</v>
      </c>
      <c r="D319" s="5" t="s">
        <v>18</v>
      </c>
      <c r="E319" s="5" t="n">
        <v>62507.16</v>
      </c>
      <c r="F319" s="5" t="n">
        <v>6000</v>
      </c>
      <c r="G319" s="5" t="n">
        <v>0.091</v>
      </c>
      <c r="H319" s="5" t="n">
        <v>14</v>
      </c>
      <c r="I319" s="5" t="n">
        <v>98.2</v>
      </c>
      <c r="J319" s="5" t="n">
        <v>4.38</v>
      </c>
      <c r="K319" s="5" t="n">
        <v>1</v>
      </c>
      <c r="L319" s="5" t="n">
        <v>3.9</v>
      </c>
      <c r="M319" s="5" t="n">
        <v>712375.77</v>
      </c>
      <c r="N319" s="5" t="n">
        <v>104171.53</v>
      </c>
    </row>
    <row r="320" customFormat="false" ht="15" hidden="false" customHeight="true" outlineLevel="0" collapsed="false">
      <c r="A320" s="5" t="s">
        <v>102</v>
      </c>
      <c r="B320" s="6" t="n">
        <v>45748</v>
      </c>
      <c r="C320" s="5" t="s">
        <v>22</v>
      </c>
      <c r="D320" s="5" t="s">
        <v>18</v>
      </c>
      <c r="E320" s="5" t="n">
        <v>66456.28</v>
      </c>
      <c r="F320" s="5" t="n">
        <v>9967</v>
      </c>
      <c r="G320" s="5" t="n">
        <v>0.108</v>
      </c>
      <c r="H320" s="5" t="n">
        <v>20</v>
      </c>
      <c r="I320" s="5" t="n">
        <v>94.7</v>
      </c>
      <c r="J320" s="5" t="n">
        <v>4.48</v>
      </c>
      <c r="K320" s="5" t="n">
        <v>0</v>
      </c>
      <c r="L320" s="5" t="n">
        <v>4.2</v>
      </c>
      <c r="M320" s="5" t="n">
        <v>844710.67</v>
      </c>
      <c r="N320" s="5" t="n">
        <v>137140.18</v>
      </c>
    </row>
    <row r="321" customFormat="false" ht="15" hidden="false" customHeight="true" outlineLevel="0" collapsed="false">
      <c r="A321" s="5" t="s">
        <v>103</v>
      </c>
      <c r="B321" s="6" t="n">
        <v>45658</v>
      </c>
      <c r="C321" s="5" t="s">
        <v>17</v>
      </c>
      <c r="D321" s="5" t="s">
        <v>18</v>
      </c>
      <c r="E321" s="5" t="n">
        <v>76614.32</v>
      </c>
      <c r="F321" s="5" t="n">
        <v>5639</v>
      </c>
      <c r="G321" s="5" t="n">
        <v>0.174</v>
      </c>
      <c r="H321" s="5" t="n">
        <v>15</v>
      </c>
      <c r="I321" s="5" t="n">
        <v>92.9</v>
      </c>
      <c r="J321" s="5" t="n">
        <v>1.02</v>
      </c>
      <c r="K321" s="5" t="n">
        <v>1</v>
      </c>
      <c r="L321" s="5" t="n">
        <v>4</v>
      </c>
      <c r="M321" s="5" t="n">
        <v>620264.2</v>
      </c>
      <c r="N321" s="5" t="n">
        <v>91365.64</v>
      </c>
    </row>
    <row r="322" customFormat="false" ht="15" hidden="false" customHeight="true" outlineLevel="0" collapsed="false">
      <c r="A322" s="5" t="s">
        <v>103</v>
      </c>
      <c r="B322" s="6" t="n">
        <v>45689</v>
      </c>
      <c r="C322" s="5" t="s">
        <v>17</v>
      </c>
      <c r="D322" s="5" t="s">
        <v>18</v>
      </c>
      <c r="E322" s="5" t="n">
        <v>24088.06</v>
      </c>
      <c r="F322" s="5" t="n">
        <v>3466</v>
      </c>
      <c r="G322" s="5" t="n">
        <v>0</v>
      </c>
      <c r="H322" s="5" t="n">
        <v>11</v>
      </c>
      <c r="I322" s="5" t="n">
        <v>88</v>
      </c>
      <c r="J322" s="5" t="n">
        <v>0.2</v>
      </c>
      <c r="K322" s="5" t="n">
        <v>0</v>
      </c>
      <c r="L322" s="5" t="n">
        <v>3.8</v>
      </c>
      <c r="M322" s="5" t="n">
        <v>536845.42</v>
      </c>
      <c r="N322" s="5" t="n">
        <v>107473.75</v>
      </c>
    </row>
    <row r="323" customFormat="false" ht="15" hidden="false" customHeight="true" outlineLevel="0" collapsed="false">
      <c r="A323" s="5" t="s">
        <v>103</v>
      </c>
      <c r="B323" s="6" t="n">
        <v>45717</v>
      </c>
      <c r="C323" s="5" t="s">
        <v>17</v>
      </c>
      <c r="D323" s="5" t="s">
        <v>18</v>
      </c>
      <c r="E323" s="5" t="n">
        <v>81902.58</v>
      </c>
      <c r="F323" s="5" t="n">
        <v>7775</v>
      </c>
      <c r="G323" s="5" t="n">
        <v>0.215</v>
      </c>
      <c r="H323" s="5" t="n">
        <v>20</v>
      </c>
      <c r="I323" s="5" t="n">
        <v>85.2</v>
      </c>
      <c r="J323" s="5" t="n">
        <v>4.89</v>
      </c>
      <c r="K323" s="5" t="n">
        <v>1</v>
      </c>
      <c r="L323" s="5" t="n">
        <v>4.2</v>
      </c>
      <c r="M323" s="5" t="n">
        <v>726776.22</v>
      </c>
      <c r="N323" s="5" t="n">
        <v>90804.49</v>
      </c>
    </row>
    <row r="324" customFormat="false" ht="15" hidden="false" customHeight="true" outlineLevel="0" collapsed="false">
      <c r="A324" s="5" t="s">
        <v>103</v>
      </c>
      <c r="B324" s="6" t="n">
        <v>45748</v>
      </c>
      <c r="C324" s="5" t="s">
        <v>17</v>
      </c>
      <c r="D324" s="5" t="s">
        <v>18</v>
      </c>
      <c r="E324" s="5" t="n">
        <v>40553.11</v>
      </c>
      <c r="F324" s="5" t="n">
        <v>5317</v>
      </c>
      <c r="G324" s="5" t="n">
        <v>0.165</v>
      </c>
      <c r="H324" s="5" t="n">
        <v>17</v>
      </c>
      <c r="I324" s="5" t="n">
        <v>84.3</v>
      </c>
      <c r="J324" s="5" t="n">
        <v>11.82</v>
      </c>
      <c r="K324" s="5" t="n">
        <v>0</v>
      </c>
      <c r="L324" s="5" t="n">
        <v>4.1</v>
      </c>
      <c r="M324" s="5" t="n">
        <v>559660.84</v>
      </c>
      <c r="N324" s="5" t="n">
        <v>71443.61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9"/>
    <col collapsed="false" customWidth="true" hidden="false" outlineLevel="0" max="7" min="7" style="1" width="13"/>
    <col collapsed="false" customWidth="true" hidden="false" outlineLevel="0" max="8" min="8" style="1" width="10"/>
    <col collapsed="false" customWidth="true" hidden="false" outlineLevel="0" max="9" min="9" style="1" width="17"/>
    <col collapsed="false" customWidth="true" hidden="false" outlineLevel="0" max="10" min="10" style="1" width="18"/>
    <col collapsed="false" customWidth="true" hidden="false" outlineLevel="0" max="11" min="11" style="1" width="11"/>
    <col collapsed="false" customWidth="true" hidden="false" outlineLevel="0" max="13" min="12" style="1" width="13"/>
    <col collapsed="false" customWidth="true" hidden="false" outlineLevel="0" max="14" min="14" style="1" width="14"/>
  </cols>
  <sheetData>
    <row r="1" customFormat="false" ht="15.75" hidden="false" customHeight="true" outlineLevel="0" collapsed="false">
      <c r="A1" s="2" t="s">
        <v>104</v>
      </c>
    </row>
    <row r="2" customFormat="false" ht="15" hidden="false" customHeight="true" outlineLevel="0" collapsed="false">
      <c r="A2" s="3" t="s">
        <v>105</v>
      </c>
    </row>
    <row r="4" customFormat="false" ht="23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</row>
    <row r="5" customFormat="false" ht="15" hidden="false" customHeight="true" outlineLevel="0" collapsed="false">
      <c r="A5" s="5" t="s">
        <v>16</v>
      </c>
      <c r="B5" s="5" t="s">
        <v>106</v>
      </c>
      <c r="C5" s="5" t="s">
        <v>17</v>
      </c>
      <c r="D5" s="5" t="s">
        <v>18</v>
      </c>
      <c r="E5" s="5" t="n">
        <v>70389.11</v>
      </c>
      <c r="F5" s="5" t="n">
        <v>8302</v>
      </c>
      <c r="G5" s="5" t="n">
        <v>0.042</v>
      </c>
      <c r="H5" s="5" t="n">
        <v>17</v>
      </c>
      <c r="I5" s="5" t="n">
        <v>75</v>
      </c>
      <c r="J5" s="5" t="n">
        <v>5.28</v>
      </c>
      <c r="K5" s="5" t="n">
        <v>1</v>
      </c>
      <c r="L5" s="5" t="n">
        <v>3.1</v>
      </c>
      <c r="M5" s="5" t="n">
        <v>658832.62</v>
      </c>
      <c r="N5" s="5" t="n">
        <v>84349.93</v>
      </c>
    </row>
    <row r="6" customFormat="false" ht="15" hidden="false" customHeight="true" outlineLevel="0" collapsed="false">
      <c r="A6" s="5" t="s">
        <v>16</v>
      </c>
      <c r="B6" s="5" t="s">
        <v>107</v>
      </c>
      <c r="C6" s="5" t="s">
        <v>17</v>
      </c>
      <c r="D6" s="5" t="s">
        <v>18</v>
      </c>
      <c r="E6" s="5" t="n">
        <v>43827.89</v>
      </c>
      <c r="F6" s="5" t="n">
        <v>8487</v>
      </c>
      <c r="G6" s="5" t="n">
        <v>0.168</v>
      </c>
      <c r="H6" s="5" t="n">
        <v>23</v>
      </c>
      <c r="I6" s="5" t="n">
        <v>84.4</v>
      </c>
      <c r="J6" s="5" t="n">
        <v>4.31</v>
      </c>
      <c r="K6" s="5" t="n">
        <v>0</v>
      </c>
      <c r="L6" s="5" t="n">
        <v>2.8</v>
      </c>
      <c r="M6" s="5" t="n">
        <v>634436</v>
      </c>
      <c r="N6" s="5" t="n">
        <v>106130.54</v>
      </c>
    </row>
    <row r="7" customFormat="false" ht="15" hidden="false" customHeight="true" outlineLevel="0" collapsed="false">
      <c r="A7" s="5" t="s">
        <v>16</v>
      </c>
      <c r="B7" s="5" t="s">
        <v>108</v>
      </c>
      <c r="C7" s="5" t="s">
        <v>17</v>
      </c>
      <c r="D7" s="5" t="s">
        <v>18</v>
      </c>
      <c r="E7" s="5" t="n">
        <v>59921.75</v>
      </c>
      <c r="F7" s="5" t="n">
        <v>9113</v>
      </c>
      <c r="G7" s="5" t="n">
        <v>0.133</v>
      </c>
      <c r="H7" s="5" t="n">
        <v>20</v>
      </c>
      <c r="I7" s="5" t="n">
        <v>88</v>
      </c>
      <c r="J7" s="5" t="n">
        <v>12</v>
      </c>
      <c r="K7" s="5" t="n">
        <v>0</v>
      </c>
      <c r="L7" s="5" t="n">
        <v>3.2</v>
      </c>
      <c r="M7" s="5" t="n">
        <v>678722.06</v>
      </c>
      <c r="N7" s="5" t="n">
        <v>101883.86</v>
      </c>
    </row>
    <row r="8" customFormat="false" ht="15" hidden="false" customHeight="true" outlineLevel="0" collapsed="false">
      <c r="A8" s="5" t="s">
        <v>16</v>
      </c>
      <c r="B8" s="5" t="s">
        <v>109</v>
      </c>
      <c r="C8" s="5" t="s">
        <v>17</v>
      </c>
      <c r="D8" s="5" t="s">
        <v>18</v>
      </c>
      <c r="E8" s="5" t="n">
        <v>56856.63</v>
      </c>
      <c r="F8" s="5" t="n">
        <v>9431</v>
      </c>
      <c r="G8" s="5" t="n">
        <v>0.142</v>
      </c>
      <c r="H8" s="5" t="n">
        <v>23</v>
      </c>
      <c r="I8" s="5" t="n">
        <v>86.9</v>
      </c>
      <c r="J8" s="5" t="n">
        <v>4.97</v>
      </c>
      <c r="K8" s="5" t="n">
        <v>0</v>
      </c>
      <c r="L8" s="5" t="n">
        <v>3.4</v>
      </c>
      <c r="M8" s="5" t="n">
        <v>658920.3</v>
      </c>
      <c r="N8" s="5" t="n">
        <v>97910.37</v>
      </c>
    </row>
    <row r="9" customFormat="false" ht="15" hidden="false" customHeight="true" outlineLevel="0" collapsed="false">
      <c r="A9" s="5" t="s">
        <v>19</v>
      </c>
      <c r="B9" s="5" t="s">
        <v>106</v>
      </c>
      <c r="C9" s="5" t="s">
        <v>17</v>
      </c>
      <c r="D9" s="5" t="s">
        <v>20</v>
      </c>
      <c r="E9" s="5" t="n">
        <v>48412.64</v>
      </c>
      <c r="F9" s="5" t="n">
        <v>9545</v>
      </c>
      <c r="G9" s="5" t="n">
        <v>0.231</v>
      </c>
      <c r="H9" s="5" t="n">
        <v>21</v>
      </c>
      <c r="I9" s="5" t="n">
        <v>97.6</v>
      </c>
      <c r="J9" s="5" t="n">
        <v>6.94</v>
      </c>
      <c r="K9" s="5" t="n">
        <v>1</v>
      </c>
      <c r="L9" s="5" t="n">
        <v>4.2</v>
      </c>
      <c r="M9" s="5" t="n">
        <v>741341.44</v>
      </c>
      <c r="N9" s="5" t="n">
        <v>119208.17</v>
      </c>
    </row>
    <row r="10" customFormat="false" ht="15" hidden="false" customHeight="true" outlineLevel="0" collapsed="false">
      <c r="A10" s="5" t="s">
        <v>19</v>
      </c>
      <c r="B10" s="5" t="s">
        <v>107</v>
      </c>
      <c r="C10" s="5" t="s">
        <v>17</v>
      </c>
      <c r="D10" s="5" t="s">
        <v>20</v>
      </c>
      <c r="E10" s="5" t="n">
        <v>64811.21</v>
      </c>
      <c r="F10" s="5" t="n">
        <v>9792</v>
      </c>
      <c r="G10" s="5" t="n">
        <v>0.112</v>
      </c>
      <c r="H10" s="5" t="n">
        <v>20</v>
      </c>
      <c r="I10" s="5" t="n">
        <v>84.2</v>
      </c>
      <c r="J10" s="5" t="n">
        <v>2.88</v>
      </c>
      <c r="K10" s="5" t="n">
        <v>0</v>
      </c>
      <c r="L10" s="5" t="n">
        <v>4.2</v>
      </c>
      <c r="M10" s="5" t="n">
        <v>761835.34</v>
      </c>
      <c r="N10" s="5" t="n">
        <v>149602.23</v>
      </c>
    </row>
    <row r="11" customFormat="false" ht="15" hidden="false" customHeight="true" outlineLevel="0" collapsed="false">
      <c r="A11" s="5" t="s">
        <v>19</v>
      </c>
      <c r="B11" s="5" t="s">
        <v>108</v>
      </c>
      <c r="C11" s="5" t="s">
        <v>17</v>
      </c>
      <c r="D11" s="5" t="s">
        <v>20</v>
      </c>
      <c r="E11" s="5" t="n">
        <v>46213.45</v>
      </c>
      <c r="F11" s="5" t="n">
        <v>10616</v>
      </c>
      <c r="G11" s="5" t="n">
        <v>0.122</v>
      </c>
      <c r="H11" s="5" t="n">
        <v>22</v>
      </c>
      <c r="I11" s="5" t="n">
        <v>85.2</v>
      </c>
      <c r="J11" s="5" t="n">
        <v>0.2</v>
      </c>
      <c r="K11" s="5" t="n">
        <v>1</v>
      </c>
      <c r="L11" s="5" t="n">
        <v>4.1</v>
      </c>
      <c r="M11" s="5" t="n">
        <v>806615.54</v>
      </c>
      <c r="N11" s="5" t="n">
        <v>131364.62</v>
      </c>
    </row>
    <row r="12" customFormat="false" ht="15" hidden="false" customHeight="true" outlineLevel="0" collapsed="false">
      <c r="A12" s="5" t="s">
        <v>19</v>
      </c>
      <c r="B12" s="5" t="s">
        <v>109</v>
      </c>
      <c r="C12" s="5" t="s">
        <v>17</v>
      </c>
      <c r="D12" s="5" t="s">
        <v>20</v>
      </c>
      <c r="E12" s="5" t="n">
        <v>68148.52</v>
      </c>
      <c r="F12" s="5" t="n">
        <v>8567</v>
      </c>
      <c r="G12" s="5" t="n">
        <v>0.127</v>
      </c>
      <c r="H12" s="5" t="n">
        <v>23</v>
      </c>
      <c r="I12" s="5" t="n">
        <v>95.6</v>
      </c>
      <c r="J12" s="5" t="n">
        <v>0.8</v>
      </c>
      <c r="K12" s="5" t="n">
        <v>0</v>
      </c>
      <c r="L12" s="5" t="n">
        <v>3.9</v>
      </c>
      <c r="M12" s="5" t="n">
        <v>850164.26</v>
      </c>
      <c r="N12" s="5" t="n">
        <v>149262.75</v>
      </c>
    </row>
    <row r="13" customFormat="false" ht="15" hidden="false" customHeight="true" outlineLevel="0" collapsed="false">
      <c r="A13" s="5" t="s">
        <v>21</v>
      </c>
      <c r="B13" s="5" t="s">
        <v>106</v>
      </c>
      <c r="C13" s="5" t="s">
        <v>22</v>
      </c>
      <c r="D13" s="5" t="s">
        <v>23</v>
      </c>
      <c r="E13" s="5" t="n">
        <v>71838.86</v>
      </c>
      <c r="F13" s="5" t="n">
        <v>10979</v>
      </c>
      <c r="G13" s="5" t="n">
        <v>0.215</v>
      </c>
      <c r="H13" s="5" t="n">
        <v>26</v>
      </c>
      <c r="I13" s="5" t="n">
        <v>88.6</v>
      </c>
      <c r="J13" s="5" t="n">
        <v>7.7</v>
      </c>
      <c r="K13" s="5" t="n">
        <v>1</v>
      </c>
      <c r="L13" s="5" t="n">
        <v>3.8</v>
      </c>
      <c r="M13" s="5" t="n">
        <v>930581.7</v>
      </c>
      <c r="N13" s="5" t="n">
        <v>136207.98</v>
      </c>
    </row>
    <row r="14" customFormat="false" ht="15" hidden="false" customHeight="true" outlineLevel="0" collapsed="false">
      <c r="A14" s="5" t="s">
        <v>21</v>
      </c>
      <c r="B14" s="5" t="s">
        <v>107</v>
      </c>
      <c r="C14" s="5" t="s">
        <v>22</v>
      </c>
      <c r="D14" s="5" t="s">
        <v>23</v>
      </c>
      <c r="E14" s="5" t="n">
        <v>68133.44</v>
      </c>
      <c r="F14" s="5" t="n">
        <v>9459</v>
      </c>
      <c r="G14" s="5" t="n">
        <v>0.22</v>
      </c>
      <c r="H14" s="5" t="n">
        <v>21</v>
      </c>
      <c r="I14" s="5" t="n">
        <v>85</v>
      </c>
      <c r="J14" s="5" t="n">
        <v>1.91</v>
      </c>
      <c r="K14" s="5" t="n">
        <v>0</v>
      </c>
      <c r="L14" s="5" t="n">
        <v>4.2</v>
      </c>
      <c r="M14" s="5" t="n">
        <v>779010.94</v>
      </c>
      <c r="N14" s="5" t="n">
        <v>106328.09</v>
      </c>
    </row>
    <row r="15" customFormat="false" ht="15" hidden="false" customHeight="true" outlineLevel="0" collapsed="false">
      <c r="A15" s="5" t="s">
        <v>21</v>
      </c>
      <c r="B15" s="5" t="s">
        <v>108</v>
      </c>
      <c r="C15" s="5" t="s">
        <v>22</v>
      </c>
      <c r="D15" s="5" t="s">
        <v>23</v>
      </c>
      <c r="E15" s="5" t="n">
        <v>34285.21</v>
      </c>
      <c r="F15" s="5" t="n">
        <v>9172</v>
      </c>
      <c r="G15" s="5" t="n">
        <v>0.213</v>
      </c>
      <c r="H15" s="5" t="n">
        <v>22</v>
      </c>
      <c r="I15" s="5" t="n">
        <v>88.3</v>
      </c>
      <c r="J15" s="5" t="n">
        <v>10.46</v>
      </c>
      <c r="K15" s="5" t="n">
        <v>1</v>
      </c>
      <c r="L15" s="5" t="n">
        <v>3.8</v>
      </c>
      <c r="M15" s="5" t="n">
        <v>723060.76</v>
      </c>
      <c r="N15" s="5" t="n">
        <v>123131.24</v>
      </c>
    </row>
    <row r="16" customFormat="false" ht="15" hidden="false" customHeight="true" outlineLevel="0" collapsed="false">
      <c r="A16" s="5" t="s">
        <v>21</v>
      </c>
      <c r="B16" s="5" t="s">
        <v>109</v>
      </c>
      <c r="C16" s="5" t="s">
        <v>22</v>
      </c>
      <c r="D16" s="5" t="s">
        <v>23</v>
      </c>
      <c r="E16" s="5" t="n">
        <v>67979.88</v>
      </c>
      <c r="F16" s="5" t="n">
        <v>11230</v>
      </c>
      <c r="G16" s="5" t="n">
        <v>0.002</v>
      </c>
      <c r="H16" s="5" t="n">
        <v>28</v>
      </c>
      <c r="I16" s="5" t="n">
        <v>85.3</v>
      </c>
      <c r="J16" s="5" t="n">
        <v>7.16</v>
      </c>
      <c r="K16" s="5" t="n">
        <v>0</v>
      </c>
      <c r="L16" s="5" t="n">
        <v>3.8</v>
      </c>
      <c r="M16" s="5" t="n">
        <v>910791.94</v>
      </c>
      <c r="N16" s="5" t="n">
        <v>158891.28</v>
      </c>
    </row>
    <row r="17" customFormat="false" ht="15" hidden="false" customHeight="true" outlineLevel="0" collapsed="false">
      <c r="A17" s="5" t="s">
        <v>24</v>
      </c>
      <c r="B17" s="5" t="s">
        <v>106</v>
      </c>
      <c r="C17" s="5" t="s">
        <v>17</v>
      </c>
      <c r="D17" s="5" t="s">
        <v>18</v>
      </c>
      <c r="E17" s="5" t="n">
        <v>71828.26</v>
      </c>
      <c r="F17" s="5" t="n">
        <v>12775</v>
      </c>
      <c r="G17" s="5" t="n">
        <v>0.116</v>
      </c>
      <c r="H17" s="5" t="n">
        <v>30</v>
      </c>
      <c r="I17" s="5" t="n">
        <v>81.7</v>
      </c>
      <c r="J17" s="5" t="n">
        <v>4.24</v>
      </c>
      <c r="K17" s="5" t="n">
        <v>1</v>
      </c>
      <c r="L17" s="5" t="n">
        <v>4.2</v>
      </c>
      <c r="M17" s="5" t="n">
        <v>922168.6</v>
      </c>
      <c r="N17" s="5" t="n">
        <v>107494.53</v>
      </c>
    </row>
    <row r="18" customFormat="false" ht="15" hidden="false" customHeight="true" outlineLevel="0" collapsed="false">
      <c r="A18" s="5" t="s">
        <v>24</v>
      </c>
      <c r="B18" s="5" t="s">
        <v>107</v>
      </c>
      <c r="C18" s="5" t="s">
        <v>17</v>
      </c>
      <c r="D18" s="5" t="s">
        <v>18</v>
      </c>
      <c r="E18" s="5" t="n">
        <v>55716.82</v>
      </c>
      <c r="F18" s="5" t="n">
        <v>10054</v>
      </c>
      <c r="G18" s="5" t="n">
        <v>0.146</v>
      </c>
      <c r="H18" s="5" t="n">
        <v>24</v>
      </c>
      <c r="I18" s="5" t="n">
        <v>84.9</v>
      </c>
      <c r="J18" s="5" t="n">
        <v>1.06</v>
      </c>
      <c r="K18" s="5" t="n">
        <v>0</v>
      </c>
      <c r="L18" s="5" t="n">
        <v>4.3</v>
      </c>
      <c r="M18" s="5" t="n">
        <v>726606.28</v>
      </c>
      <c r="N18" s="5" t="n">
        <v>122729.29</v>
      </c>
    </row>
    <row r="19" customFormat="false" ht="15" hidden="false" customHeight="true" outlineLevel="0" collapsed="false">
      <c r="A19" s="5" t="s">
        <v>24</v>
      </c>
      <c r="B19" s="5" t="s">
        <v>108</v>
      </c>
      <c r="C19" s="5" t="s">
        <v>17</v>
      </c>
      <c r="D19" s="5" t="s">
        <v>18</v>
      </c>
      <c r="E19" s="5" t="n">
        <v>59909.51</v>
      </c>
      <c r="F19" s="5" t="n">
        <v>8895</v>
      </c>
      <c r="G19" s="5" t="n">
        <v>0.228</v>
      </c>
      <c r="H19" s="5" t="n">
        <v>23</v>
      </c>
      <c r="I19" s="5" t="n">
        <v>88.8</v>
      </c>
      <c r="J19" s="5" t="n">
        <v>0.27</v>
      </c>
      <c r="K19" s="5" t="n">
        <v>0</v>
      </c>
      <c r="L19" s="5" t="n">
        <v>4.3</v>
      </c>
      <c r="M19" s="5" t="n">
        <v>746501.09</v>
      </c>
      <c r="N19" s="5" t="n">
        <v>136816.72</v>
      </c>
    </row>
    <row r="20" customFormat="false" ht="15" hidden="false" customHeight="true" outlineLevel="0" collapsed="false">
      <c r="A20" s="5" t="s">
        <v>24</v>
      </c>
      <c r="B20" s="5" t="s">
        <v>109</v>
      </c>
      <c r="C20" s="5" t="s">
        <v>17</v>
      </c>
      <c r="D20" s="5" t="s">
        <v>18</v>
      </c>
      <c r="E20" s="5" t="n">
        <v>75305.71</v>
      </c>
      <c r="F20" s="5" t="n">
        <v>10940</v>
      </c>
      <c r="G20" s="5" t="n">
        <v>0.006</v>
      </c>
      <c r="H20" s="5" t="n">
        <v>26</v>
      </c>
      <c r="I20" s="5" t="n">
        <v>76.5</v>
      </c>
      <c r="J20" s="5" t="n">
        <v>1.32</v>
      </c>
      <c r="K20" s="5" t="n">
        <v>0</v>
      </c>
      <c r="L20" s="5" t="n">
        <v>4.5</v>
      </c>
      <c r="M20" s="5" t="n">
        <v>834017.02</v>
      </c>
      <c r="N20" s="5" t="n">
        <v>114745.03</v>
      </c>
    </row>
    <row r="21" customFormat="false" ht="15" hidden="false" customHeight="true" outlineLevel="0" collapsed="false">
      <c r="A21" s="5" t="s">
        <v>25</v>
      </c>
      <c r="B21" s="5" t="s">
        <v>106</v>
      </c>
      <c r="C21" s="5" t="s">
        <v>26</v>
      </c>
      <c r="D21" s="5" t="s">
        <v>18</v>
      </c>
      <c r="E21" s="5" t="n">
        <v>48804.22</v>
      </c>
      <c r="F21" s="5" t="n">
        <v>7057</v>
      </c>
      <c r="G21" s="5" t="n">
        <v>0.005</v>
      </c>
      <c r="H21" s="5" t="n">
        <v>15</v>
      </c>
      <c r="I21" s="5" t="n">
        <v>87.7</v>
      </c>
      <c r="J21" s="5" t="n">
        <v>1.22</v>
      </c>
      <c r="K21" s="5" t="n">
        <v>0</v>
      </c>
      <c r="L21" s="5" t="n">
        <v>3.7</v>
      </c>
      <c r="M21" s="5" t="n">
        <v>666152.52</v>
      </c>
      <c r="N21" s="5" t="n">
        <v>107490.58</v>
      </c>
    </row>
    <row r="22" customFormat="false" ht="15" hidden="false" customHeight="true" outlineLevel="0" collapsed="false">
      <c r="A22" s="5" t="s">
        <v>25</v>
      </c>
      <c r="B22" s="5" t="s">
        <v>107</v>
      </c>
      <c r="C22" s="5" t="s">
        <v>26</v>
      </c>
      <c r="D22" s="5" t="s">
        <v>18</v>
      </c>
      <c r="E22" s="5" t="n">
        <v>59117.9</v>
      </c>
      <c r="F22" s="5" t="n">
        <v>4263</v>
      </c>
      <c r="G22" s="5" t="n">
        <v>0.119</v>
      </c>
      <c r="H22" s="5" t="n">
        <v>9</v>
      </c>
      <c r="I22" s="5" t="n">
        <v>87.6</v>
      </c>
      <c r="J22" s="5" t="n">
        <v>4.01</v>
      </c>
      <c r="K22" s="5" t="n">
        <v>0</v>
      </c>
      <c r="L22" s="5" t="n">
        <v>3.6</v>
      </c>
      <c r="M22" s="5" t="n">
        <v>573155.19</v>
      </c>
      <c r="N22" s="5" t="n">
        <v>83680.75</v>
      </c>
    </row>
    <row r="23" customFormat="false" ht="15" hidden="false" customHeight="true" outlineLevel="0" collapsed="false">
      <c r="A23" s="5" t="s">
        <v>25</v>
      </c>
      <c r="B23" s="5" t="s">
        <v>108</v>
      </c>
      <c r="C23" s="5" t="s">
        <v>26</v>
      </c>
      <c r="D23" s="5" t="s">
        <v>18</v>
      </c>
      <c r="E23" s="5" t="n">
        <v>78831.12</v>
      </c>
      <c r="F23" s="5" t="n">
        <v>5538</v>
      </c>
      <c r="G23" s="5" t="n">
        <v>0</v>
      </c>
      <c r="H23" s="5" t="n">
        <v>15</v>
      </c>
      <c r="I23" s="5" t="n">
        <v>94.1</v>
      </c>
      <c r="J23" s="5" t="n">
        <v>0.2</v>
      </c>
      <c r="K23" s="5" t="n">
        <v>0</v>
      </c>
      <c r="L23" s="5" t="n">
        <v>3.9</v>
      </c>
      <c r="M23" s="5" t="n">
        <v>666573.2</v>
      </c>
      <c r="N23" s="5" t="n">
        <v>140641.02</v>
      </c>
    </row>
    <row r="24" customFormat="false" ht="15" hidden="false" customHeight="true" outlineLevel="0" collapsed="false">
      <c r="A24" s="5" t="s">
        <v>25</v>
      </c>
      <c r="B24" s="5" t="s">
        <v>109</v>
      </c>
      <c r="C24" s="5" t="s">
        <v>26</v>
      </c>
      <c r="D24" s="5" t="s">
        <v>18</v>
      </c>
      <c r="E24" s="5" t="n">
        <v>41441.93</v>
      </c>
      <c r="F24" s="5" t="n">
        <v>4865</v>
      </c>
      <c r="G24" s="5" t="n">
        <v>0.158</v>
      </c>
      <c r="H24" s="5" t="n">
        <v>16</v>
      </c>
      <c r="I24" s="5" t="n">
        <v>88.3</v>
      </c>
      <c r="J24" s="5" t="n">
        <v>0.5</v>
      </c>
      <c r="K24" s="5" t="n">
        <v>0</v>
      </c>
      <c r="L24" s="5" t="n">
        <v>4</v>
      </c>
      <c r="M24" s="5" t="n">
        <v>591619.95</v>
      </c>
      <c r="N24" s="5" t="n">
        <v>99521.35</v>
      </c>
    </row>
    <row r="25" customFormat="false" ht="15" hidden="false" customHeight="true" outlineLevel="0" collapsed="false">
      <c r="A25" s="5" t="s">
        <v>27</v>
      </c>
      <c r="B25" s="5" t="s">
        <v>106</v>
      </c>
      <c r="C25" s="5" t="s">
        <v>22</v>
      </c>
      <c r="D25" s="5" t="s">
        <v>18</v>
      </c>
      <c r="E25" s="5" t="n">
        <v>30356.28</v>
      </c>
      <c r="F25" s="5" t="n">
        <v>2822</v>
      </c>
      <c r="G25" s="5" t="n">
        <v>0.231</v>
      </c>
      <c r="H25" s="5" t="n">
        <v>9</v>
      </c>
      <c r="I25" s="5" t="n">
        <v>84.8</v>
      </c>
      <c r="J25" s="5" t="n">
        <v>6.95</v>
      </c>
      <c r="K25" s="5" t="n">
        <v>0</v>
      </c>
      <c r="L25" s="5" t="n">
        <v>5</v>
      </c>
      <c r="M25" s="5" t="n">
        <v>415721.82</v>
      </c>
      <c r="N25" s="5" t="n">
        <v>61179.15</v>
      </c>
    </row>
    <row r="26" customFormat="false" ht="15" hidden="false" customHeight="true" outlineLevel="0" collapsed="false">
      <c r="A26" s="5" t="s">
        <v>27</v>
      </c>
      <c r="B26" s="5" t="s">
        <v>107</v>
      </c>
      <c r="C26" s="5" t="s">
        <v>22</v>
      </c>
      <c r="D26" s="5" t="s">
        <v>18</v>
      </c>
      <c r="E26" s="5" t="n">
        <v>33518.88</v>
      </c>
      <c r="F26" s="5" t="n">
        <v>2121</v>
      </c>
      <c r="G26" s="5" t="n">
        <v>0.176</v>
      </c>
      <c r="H26" s="5" t="n">
        <v>8</v>
      </c>
      <c r="I26" s="5" t="n">
        <v>88.5</v>
      </c>
      <c r="J26" s="5" t="n">
        <v>0.2</v>
      </c>
      <c r="K26" s="5" t="n">
        <v>0</v>
      </c>
      <c r="L26" s="5" t="n">
        <v>5</v>
      </c>
      <c r="M26" s="5" t="n">
        <v>491905.13</v>
      </c>
      <c r="N26" s="5" t="n">
        <v>79212.26</v>
      </c>
    </row>
    <row r="27" customFormat="false" ht="15" hidden="false" customHeight="true" outlineLevel="0" collapsed="false">
      <c r="A27" s="5" t="s">
        <v>27</v>
      </c>
      <c r="B27" s="5" t="s">
        <v>108</v>
      </c>
      <c r="C27" s="5" t="s">
        <v>22</v>
      </c>
      <c r="D27" s="5" t="s">
        <v>18</v>
      </c>
      <c r="E27" s="5" t="n">
        <v>42267.37</v>
      </c>
      <c r="F27" s="5" t="n">
        <v>3364</v>
      </c>
      <c r="G27" s="5" t="n">
        <v>0.16</v>
      </c>
      <c r="H27" s="5" t="n">
        <v>13</v>
      </c>
      <c r="I27" s="5" t="n">
        <v>82</v>
      </c>
      <c r="J27" s="5" t="n">
        <v>1.61</v>
      </c>
      <c r="K27" s="5" t="n">
        <v>1</v>
      </c>
      <c r="L27" s="5" t="n">
        <v>4.6</v>
      </c>
      <c r="M27" s="5" t="n">
        <v>555929.4</v>
      </c>
      <c r="N27" s="5" t="n">
        <v>115201.76</v>
      </c>
    </row>
    <row r="28" customFormat="false" ht="15" hidden="false" customHeight="true" outlineLevel="0" collapsed="false">
      <c r="A28" s="5" t="s">
        <v>27</v>
      </c>
      <c r="B28" s="5" t="s">
        <v>109</v>
      </c>
      <c r="C28" s="5" t="s">
        <v>22</v>
      </c>
      <c r="D28" s="5" t="s">
        <v>18</v>
      </c>
      <c r="E28" s="5" t="n">
        <v>62060.43</v>
      </c>
      <c r="F28" s="5" t="n">
        <v>2613</v>
      </c>
      <c r="G28" s="5" t="n">
        <v>0.216</v>
      </c>
      <c r="H28" s="5" t="n">
        <v>12</v>
      </c>
      <c r="I28" s="5" t="n">
        <v>92.1</v>
      </c>
      <c r="J28" s="5" t="n">
        <v>1.55</v>
      </c>
      <c r="K28" s="5" t="n">
        <v>0</v>
      </c>
      <c r="L28" s="5" t="n">
        <v>4.7</v>
      </c>
      <c r="M28" s="5" t="n">
        <v>565810.99</v>
      </c>
      <c r="N28" s="5" t="n">
        <v>77825.46</v>
      </c>
    </row>
    <row r="29" customFormat="false" ht="15" hidden="false" customHeight="true" outlineLevel="0" collapsed="false">
      <c r="A29" s="5" t="s">
        <v>28</v>
      </c>
      <c r="B29" s="5" t="s">
        <v>106</v>
      </c>
      <c r="C29" s="5" t="s">
        <v>29</v>
      </c>
      <c r="D29" s="5" t="s">
        <v>30</v>
      </c>
      <c r="E29" s="5" t="n">
        <v>57696.69</v>
      </c>
      <c r="F29" s="5" t="n">
        <v>10218</v>
      </c>
      <c r="G29" s="5" t="n">
        <v>0.121</v>
      </c>
      <c r="H29" s="5" t="n">
        <v>25</v>
      </c>
      <c r="I29" s="5" t="n">
        <v>94.8</v>
      </c>
      <c r="J29" s="5" t="n">
        <v>2.99</v>
      </c>
      <c r="K29" s="5" t="n">
        <v>0</v>
      </c>
      <c r="L29" s="5" t="n">
        <v>3.5</v>
      </c>
      <c r="M29" s="5" t="n">
        <v>811771.14</v>
      </c>
      <c r="N29" s="5" t="n">
        <v>148756.24</v>
      </c>
    </row>
    <row r="30" customFormat="false" ht="15" hidden="false" customHeight="true" outlineLevel="0" collapsed="false">
      <c r="A30" s="5" t="s">
        <v>28</v>
      </c>
      <c r="B30" s="5" t="s">
        <v>107</v>
      </c>
      <c r="C30" s="5" t="s">
        <v>29</v>
      </c>
      <c r="D30" s="5" t="s">
        <v>30</v>
      </c>
      <c r="E30" s="5" t="n">
        <v>172415.52</v>
      </c>
      <c r="F30" s="5" t="n">
        <v>8927</v>
      </c>
      <c r="G30" s="5" t="n">
        <v>0.14</v>
      </c>
      <c r="H30" s="5" t="n">
        <v>22</v>
      </c>
      <c r="I30" s="5" t="n">
        <v>86.2</v>
      </c>
      <c r="J30" s="5" t="n">
        <v>7.04</v>
      </c>
      <c r="K30" s="5" t="n">
        <v>0</v>
      </c>
      <c r="L30" s="5" t="n">
        <v>3.9</v>
      </c>
      <c r="M30" s="5" t="n">
        <v>800451.94</v>
      </c>
      <c r="N30" s="5" t="n">
        <v>111572.29</v>
      </c>
    </row>
    <row r="31" customFormat="false" ht="15" hidden="false" customHeight="true" outlineLevel="0" collapsed="false">
      <c r="A31" s="5" t="s">
        <v>28</v>
      </c>
      <c r="B31" s="5" t="s">
        <v>108</v>
      </c>
      <c r="C31" s="5" t="s">
        <v>29</v>
      </c>
      <c r="D31" s="5" t="s">
        <v>30</v>
      </c>
      <c r="E31" s="5" t="n">
        <v>55270.52</v>
      </c>
      <c r="F31" s="5" t="n">
        <v>9315</v>
      </c>
      <c r="G31" s="5" t="n">
        <v>0.169</v>
      </c>
      <c r="H31" s="5" t="n">
        <v>23</v>
      </c>
      <c r="I31" s="5" t="n">
        <v>91.9</v>
      </c>
      <c r="J31" s="5" t="n">
        <v>4.94</v>
      </c>
      <c r="K31" s="5" t="n">
        <v>0</v>
      </c>
      <c r="L31" s="5" t="n">
        <v>4</v>
      </c>
      <c r="M31" s="5" t="n">
        <v>783672.82</v>
      </c>
      <c r="N31" s="5" t="n">
        <v>112577.14</v>
      </c>
    </row>
    <row r="32" customFormat="false" ht="15" hidden="false" customHeight="true" outlineLevel="0" collapsed="false">
      <c r="A32" s="5" t="s">
        <v>28</v>
      </c>
      <c r="B32" s="5" t="s">
        <v>109</v>
      </c>
      <c r="C32" s="5" t="s">
        <v>29</v>
      </c>
      <c r="D32" s="5" t="s">
        <v>30</v>
      </c>
      <c r="E32" s="5" t="n">
        <v>52715.1</v>
      </c>
      <c r="F32" s="5" t="n">
        <v>7223</v>
      </c>
      <c r="G32" s="5" t="n">
        <v>0.122</v>
      </c>
      <c r="H32" s="5" t="n">
        <v>16</v>
      </c>
      <c r="I32" s="5" t="n">
        <v>84.2</v>
      </c>
      <c r="J32" s="5" t="n">
        <v>16.15</v>
      </c>
      <c r="K32" s="5" t="n">
        <v>0</v>
      </c>
      <c r="L32" s="5" t="n">
        <v>3.7</v>
      </c>
      <c r="M32" s="5" t="n">
        <v>701641.97</v>
      </c>
      <c r="N32" s="5" t="n">
        <v>106111.86</v>
      </c>
    </row>
    <row r="33" customFormat="false" ht="15" hidden="false" customHeight="true" outlineLevel="0" collapsed="false">
      <c r="A33" s="5" t="s">
        <v>31</v>
      </c>
      <c r="B33" s="5" t="s">
        <v>106</v>
      </c>
      <c r="C33" s="5" t="s">
        <v>17</v>
      </c>
      <c r="D33" s="5" t="s">
        <v>18</v>
      </c>
      <c r="E33" s="5" t="n">
        <v>68600.62</v>
      </c>
      <c r="F33" s="5" t="n">
        <v>3988</v>
      </c>
      <c r="G33" s="5" t="n">
        <v>0.124</v>
      </c>
      <c r="H33" s="5" t="n">
        <v>11</v>
      </c>
      <c r="I33" s="5" t="n">
        <v>85</v>
      </c>
      <c r="J33" s="5" t="n">
        <v>0.48</v>
      </c>
      <c r="K33" s="5" t="n">
        <v>0</v>
      </c>
      <c r="L33" s="5" t="n">
        <v>3.6</v>
      </c>
      <c r="M33" s="5" t="n">
        <v>511844.41</v>
      </c>
      <c r="N33" s="5" t="n">
        <v>72774.44</v>
      </c>
    </row>
    <row r="34" customFormat="false" ht="15" hidden="false" customHeight="true" outlineLevel="0" collapsed="false">
      <c r="A34" s="5" t="s">
        <v>31</v>
      </c>
      <c r="B34" s="5" t="s">
        <v>107</v>
      </c>
      <c r="C34" s="5" t="s">
        <v>17</v>
      </c>
      <c r="D34" s="5" t="s">
        <v>18</v>
      </c>
      <c r="E34" s="5" t="n">
        <v>63176.73</v>
      </c>
      <c r="F34" s="5" t="n">
        <v>2390</v>
      </c>
      <c r="G34" s="5" t="n">
        <v>0.216</v>
      </c>
      <c r="H34" s="5" t="n">
        <v>9</v>
      </c>
      <c r="I34" s="5" t="n">
        <v>87.5</v>
      </c>
      <c r="J34" s="5" t="n">
        <v>0.31</v>
      </c>
      <c r="K34" s="5" t="n">
        <v>0</v>
      </c>
      <c r="L34" s="5" t="n">
        <v>3.1</v>
      </c>
      <c r="M34" s="5" t="n">
        <v>537383.79</v>
      </c>
      <c r="N34" s="5" t="n">
        <v>63773.27</v>
      </c>
    </row>
    <row r="35" customFormat="false" ht="15" hidden="false" customHeight="true" outlineLevel="0" collapsed="false">
      <c r="A35" s="5" t="s">
        <v>31</v>
      </c>
      <c r="B35" s="5" t="s">
        <v>108</v>
      </c>
      <c r="C35" s="5" t="s">
        <v>17</v>
      </c>
      <c r="D35" s="5" t="s">
        <v>18</v>
      </c>
      <c r="E35" s="5" t="n">
        <v>44970.08</v>
      </c>
      <c r="F35" s="5" t="n">
        <v>2471</v>
      </c>
      <c r="G35" s="5" t="n">
        <v>0.136</v>
      </c>
      <c r="H35" s="5" t="n">
        <v>11</v>
      </c>
      <c r="I35" s="5" t="n">
        <v>87.6</v>
      </c>
      <c r="J35" s="5" t="n">
        <v>3.01</v>
      </c>
      <c r="K35" s="5" t="n">
        <v>1</v>
      </c>
      <c r="L35" s="5" t="n">
        <v>3.7</v>
      </c>
      <c r="M35" s="5" t="n">
        <v>500173.02</v>
      </c>
      <c r="N35" s="5" t="n">
        <v>70982.05</v>
      </c>
    </row>
    <row r="36" customFormat="false" ht="15" hidden="false" customHeight="true" outlineLevel="0" collapsed="false">
      <c r="A36" s="5" t="s">
        <v>31</v>
      </c>
      <c r="B36" s="5" t="s">
        <v>109</v>
      </c>
      <c r="C36" s="5" t="s">
        <v>17</v>
      </c>
      <c r="D36" s="5" t="s">
        <v>18</v>
      </c>
      <c r="E36" s="5" t="n">
        <v>69816.35</v>
      </c>
      <c r="F36" s="5" t="n">
        <v>971</v>
      </c>
      <c r="G36" s="5" t="n">
        <v>0.168</v>
      </c>
      <c r="H36" s="5" t="n">
        <v>5</v>
      </c>
      <c r="I36" s="5" t="n">
        <v>89.9</v>
      </c>
      <c r="J36" s="5" t="n">
        <v>12.15</v>
      </c>
      <c r="K36" s="5" t="n">
        <v>0</v>
      </c>
      <c r="L36" s="5" t="n">
        <v>3.6</v>
      </c>
      <c r="M36" s="5" t="n">
        <v>427917.38</v>
      </c>
      <c r="N36" s="5" t="n">
        <v>81824.31</v>
      </c>
    </row>
    <row r="37" customFormat="false" ht="15" hidden="false" customHeight="true" outlineLevel="0" collapsed="false">
      <c r="A37" s="5" t="s">
        <v>32</v>
      </c>
      <c r="B37" s="5" t="s">
        <v>106</v>
      </c>
      <c r="C37" s="5" t="s">
        <v>22</v>
      </c>
      <c r="D37" s="5" t="s">
        <v>18</v>
      </c>
      <c r="E37" s="5" t="n">
        <v>54597.83</v>
      </c>
      <c r="F37" s="5" t="n">
        <v>9429</v>
      </c>
      <c r="G37" s="5" t="n">
        <v>0.188</v>
      </c>
      <c r="H37" s="5" t="n">
        <v>21</v>
      </c>
      <c r="I37" s="5" t="n">
        <v>83.3</v>
      </c>
      <c r="J37" s="5" t="n">
        <v>11.71</v>
      </c>
      <c r="K37" s="5" t="n">
        <v>0</v>
      </c>
      <c r="L37" s="5" t="n">
        <v>4.2</v>
      </c>
      <c r="M37" s="5" t="n">
        <v>641865.03</v>
      </c>
      <c r="N37" s="5" t="n">
        <v>81342.58</v>
      </c>
    </row>
    <row r="38" customFormat="false" ht="15" hidden="false" customHeight="true" outlineLevel="0" collapsed="false">
      <c r="A38" s="5" t="s">
        <v>32</v>
      </c>
      <c r="B38" s="5" t="s">
        <v>107</v>
      </c>
      <c r="C38" s="5" t="s">
        <v>22</v>
      </c>
      <c r="D38" s="5" t="s">
        <v>18</v>
      </c>
      <c r="E38" s="5" t="n">
        <v>73771.91</v>
      </c>
      <c r="F38" s="5" t="n">
        <v>11695</v>
      </c>
      <c r="G38" s="5" t="n">
        <v>0.07</v>
      </c>
      <c r="H38" s="5" t="n">
        <v>25</v>
      </c>
      <c r="I38" s="5" t="n">
        <v>84.7</v>
      </c>
      <c r="J38" s="5" t="n">
        <v>0.62</v>
      </c>
      <c r="K38" s="5" t="n">
        <v>0</v>
      </c>
      <c r="L38" s="5" t="n">
        <v>3.9</v>
      </c>
      <c r="M38" s="5" t="n">
        <v>799477.76</v>
      </c>
      <c r="N38" s="5" t="n">
        <v>164974.41</v>
      </c>
    </row>
    <row r="39" customFormat="false" ht="15" hidden="false" customHeight="true" outlineLevel="0" collapsed="false">
      <c r="A39" s="5" t="s">
        <v>32</v>
      </c>
      <c r="B39" s="5" t="s">
        <v>108</v>
      </c>
      <c r="C39" s="5" t="s">
        <v>22</v>
      </c>
      <c r="D39" s="5" t="s">
        <v>18</v>
      </c>
      <c r="E39" s="5" t="n">
        <v>74413.88</v>
      </c>
      <c r="F39" s="5" t="n">
        <v>9449</v>
      </c>
      <c r="G39" s="5" t="n">
        <v>0.039</v>
      </c>
      <c r="H39" s="5" t="n">
        <v>23</v>
      </c>
      <c r="I39" s="5" t="n">
        <v>92.1</v>
      </c>
      <c r="J39" s="5" t="n">
        <v>2.12</v>
      </c>
      <c r="K39" s="5" t="n">
        <v>0</v>
      </c>
      <c r="L39" s="5" t="n">
        <v>3.5</v>
      </c>
      <c r="M39" s="5" t="n">
        <v>798952.17</v>
      </c>
      <c r="N39" s="5" t="n">
        <v>161499.04</v>
      </c>
    </row>
    <row r="40" customFormat="false" ht="15" hidden="false" customHeight="true" outlineLevel="0" collapsed="false">
      <c r="A40" s="5" t="s">
        <v>32</v>
      </c>
      <c r="B40" s="5" t="s">
        <v>109</v>
      </c>
      <c r="C40" s="5" t="s">
        <v>22</v>
      </c>
      <c r="D40" s="5" t="s">
        <v>18</v>
      </c>
      <c r="E40" s="5" t="n">
        <v>52483.77</v>
      </c>
      <c r="F40" s="5" t="n">
        <v>10453</v>
      </c>
      <c r="G40" s="5" t="n">
        <v>0.247</v>
      </c>
      <c r="H40" s="5" t="n">
        <v>25</v>
      </c>
      <c r="I40" s="5" t="n">
        <v>99</v>
      </c>
      <c r="J40" s="5" t="n">
        <v>6.31</v>
      </c>
      <c r="K40" s="5" t="n">
        <v>0</v>
      </c>
      <c r="L40" s="5" t="n">
        <v>3.6</v>
      </c>
      <c r="M40" s="5" t="n">
        <v>800979.78</v>
      </c>
      <c r="N40" s="5" t="n">
        <v>149242.27</v>
      </c>
    </row>
    <row r="41" customFormat="false" ht="15" hidden="false" customHeight="true" outlineLevel="0" collapsed="false">
      <c r="A41" s="5" t="s">
        <v>33</v>
      </c>
      <c r="B41" s="5" t="s">
        <v>106</v>
      </c>
      <c r="C41" s="5" t="s">
        <v>22</v>
      </c>
      <c r="D41" s="5" t="s">
        <v>30</v>
      </c>
      <c r="E41" s="5" t="n">
        <v>75269.87</v>
      </c>
      <c r="F41" s="5" t="n">
        <v>8838</v>
      </c>
      <c r="G41" s="5" t="n">
        <v>0.092</v>
      </c>
      <c r="H41" s="5" t="n">
        <v>21</v>
      </c>
      <c r="I41" s="5" t="n">
        <v>83.1</v>
      </c>
      <c r="J41" s="5" t="n">
        <v>9.56</v>
      </c>
      <c r="K41" s="5" t="n">
        <v>1</v>
      </c>
      <c r="L41" s="5" t="n">
        <v>4.2</v>
      </c>
      <c r="M41" s="5" t="n">
        <v>820593.93</v>
      </c>
      <c r="N41" s="5" t="n">
        <v>115860.06</v>
      </c>
    </row>
    <row r="42" customFormat="false" ht="15" hidden="false" customHeight="true" outlineLevel="0" collapsed="false">
      <c r="A42" s="5" t="s">
        <v>33</v>
      </c>
      <c r="B42" s="5" t="s">
        <v>107</v>
      </c>
      <c r="C42" s="5" t="s">
        <v>22</v>
      </c>
      <c r="D42" s="5" t="s">
        <v>30</v>
      </c>
      <c r="E42" s="5" t="n">
        <v>61245.41</v>
      </c>
      <c r="F42" s="5" t="n">
        <v>8156</v>
      </c>
      <c r="G42" s="5" t="n">
        <v>0.156</v>
      </c>
      <c r="H42" s="5" t="n">
        <v>19</v>
      </c>
      <c r="I42" s="5" t="n">
        <v>92.9</v>
      </c>
      <c r="J42" s="5" t="n">
        <v>9.05</v>
      </c>
      <c r="K42" s="5" t="n">
        <v>0</v>
      </c>
      <c r="L42" s="5" t="n">
        <v>3.8</v>
      </c>
      <c r="M42" s="5" t="n">
        <v>718330.53</v>
      </c>
      <c r="N42" s="5" t="n">
        <v>93247.9</v>
      </c>
    </row>
    <row r="43" customFormat="false" ht="15" hidden="false" customHeight="true" outlineLevel="0" collapsed="false">
      <c r="A43" s="5" t="s">
        <v>33</v>
      </c>
      <c r="B43" s="5" t="s">
        <v>108</v>
      </c>
      <c r="C43" s="5" t="s">
        <v>22</v>
      </c>
      <c r="D43" s="5" t="s">
        <v>30</v>
      </c>
      <c r="E43" s="5" t="n">
        <v>93381.26</v>
      </c>
      <c r="F43" s="5" t="n">
        <v>7562</v>
      </c>
      <c r="G43" s="5" t="n">
        <v>0.198</v>
      </c>
      <c r="H43" s="5" t="n">
        <v>19</v>
      </c>
      <c r="I43" s="5" t="n">
        <v>82.9</v>
      </c>
      <c r="J43" s="5" t="n">
        <v>5.05</v>
      </c>
      <c r="K43" s="5" t="n">
        <v>0</v>
      </c>
      <c r="L43" s="5" t="n">
        <v>4</v>
      </c>
      <c r="M43" s="5" t="n">
        <v>736633.4</v>
      </c>
      <c r="N43" s="5" t="n">
        <v>115654.66</v>
      </c>
    </row>
    <row r="44" customFormat="false" ht="15" hidden="false" customHeight="true" outlineLevel="0" collapsed="false">
      <c r="A44" s="5" t="s">
        <v>33</v>
      </c>
      <c r="B44" s="5" t="s">
        <v>109</v>
      </c>
      <c r="C44" s="5" t="s">
        <v>22</v>
      </c>
      <c r="D44" s="5" t="s">
        <v>30</v>
      </c>
      <c r="E44" s="5" t="n">
        <v>65012.19</v>
      </c>
      <c r="F44" s="5" t="n">
        <v>9598</v>
      </c>
      <c r="G44" s="5" t="n">
        <v>0.085</v>
      </c>
      <c r="H44" s="5" t="n">
        <v>24</v>
      </c>
      <c r="I44" s="5" t="n">
        <v>98.3</v>
      </c>
      <c r="J44" s="5" t="n">
        <v>0.89</v>
      </c>
      <c r="K44" s="5" t="n">
        <v>0</v>
      </c>
      <c r="L44" s="5" t="n">
        <v>3.8</v>
      </c>
      <c r="M44" s="5" t="n">
        <v>828623.85</v>
      </c>
      <c r="N44" s="5" t="n">
        <v>167320.52</v>
      </c>
    </row>
    <row r="45" customFormat="false" ht="15" hidden="false" customHeight="true" outlineLevel="0" collapsed="false">
      <c r="A45" s="5" t="s">
        <v>34</v>
      </c>
      <c r="B45" s="5" t="s">
        <v>106</v>
      </c>
      <c r="C45" s="5" t="s">
        <v>17</v>
      </c>
      <c r="D45" s="5" t="s">
        <v>30</v>
      </c>
      <c r="E45" s="5" t="n">
        <v>40462.94</v>
      </c>
      <c r="F45" s="5" t="n">
        <v>3660</v>
      </c>
      <c r="G45" s="5" t="n">
        <v>0.218</v>
      </c>
      <c r="H45" s="5" t="n">
        <v>11</v>
      </c>
      <c r="I45" s="5" t="n">
        <v>95.2</v>
      </c>
      <c r="J45" s="5" t="n">
        <v>5.57</v>
      </c>
      <c r="K45" s="5" t="n">
        <v>0</v>
      </c>
      <c r="L45" s="5" t="n">
        <v>4.4</v>
      </c>
      <c r="M45" s="5" t="n">
        <v>592195.85</v>
      </c>
      <c r="N45" s="5" t="n">
        <v>92291.56</v>
      </c>
    </row>
    <row r="46" customFormat="false" ht="15" hidden="false" customHeight="true" outlineLevel="0" collapsed="false">
      <c r="A46" s="5" t="s">
        <v>34</v>
      </c>
      <c r="B46" s="5" t="s">
        <v>107</v>
      </c>
      <c r="C46" s="5" t="s">
        <v>17</v>
      </c>
      <c r="D46" s="5" t="s">
        <v>30</v>
      </c>
      <c r="E46" s="5" t="n">
        <v>46123.88</v>
      </c>
      <c r="F46" s="5" t="n">
        <v>3227</v>
      </c>
      <c r="G46" s="5" t="n">
        <v>0.143</v>
      </c>
      <c r="H46" s="5" t="n">
        <v>10</v>
      </c>
      <c r="I46" s="5" t="n">
        <v>75.4</v>
      </c>
      <c r="J46" s="5" t="n">
        <v>1.06</v>
      </c>
      <c r="K46" s="5" t="n">
        <v>0</v>
      </c>
      <c r="L46" s="5" t="n">
        <v>4.4</v>
      </c>
      <c r="M46" s="5" t="n">
        <v>532644.46</v>
      </c>
      <c r="N46" s="5" t="n">
        <v>60681.32</v>
      </c>
    </row>
    <row r="47" customFormat="false" ht="15" hidden="false" customHeight="true" outlineLevel="0" collapsed="false">
      <c r="A47" s="5" t="s">
        <v>34</v>
      </c>
      <c r="B47" s="5" t="s">
        <v>108</v>
      </c>
      <c r="C47" s="5" t="s">
        <v>17</v>
      </c>
      <c r="D47" s="5" t="s">
        <v>30</v>
      </c>
      <c r="E47" s="5" t="n">
        <v>68077.54</v>
      </c>
      <c r="F47" s="5" t="n">
        <v>3360</v>
      </c>
      <c r="G47" s="5" t="n">
        <v>0.128</v>
      </c>
      <c r="H47" s="5" t="n">
        <v>14</v>
      </c>
      <c r="I47" s="5" t="n">
        <v>88.2</v>
      </c>
      <c r="J47" s="5" t="n">
        <v>1.24</v>
      </c>
      <c r="K47" s="5" t="n">
        <v>1</v>
      </c>
      <c r="L47" s="5" t="n">
        <v>4</v>
      </c>
      <c r="M47" s="5" t="n">
        <v>657429.18</v>
      </c>
      <c r="N47" s="5" t="n">
        <v>88919.74</v>
      </c>
    </row>
    <row r="48" customFormat="false" ht="15" hidden="false" customHeight="true" outlineLevel="0" collapsed="false">
      <c r="A48" s="5" t="s">
        <v>34</v>
      </c>
      <c r="B48" s="5" t="s">
        <v>109</v>
      </c>
      <c r="C48" s="5" t="s">
        <v>17</v>
      </c>
      <c r="D48" s="5" t="s">
        <v>30</v>
      </c>
      <c r="E48" s="5" t="n">
        <v>64882.14</v>
      </c>
      <c r="F48" s="5" t="n">
        <v>3642</v>
      </c>
      <c r="G48" s="5" t="n">
        <v>0.019</v>
      </c>
      <c r="H48" s="5" t="n">
        <v>13</v>
      </c>
      <c r="I48" s="5" t="n">
        <v>87.8</v>
      </c>
      <c r="J48" s="5" t="n">
        <v>4.52</v>
      </c>
      <c r="K48" s="5" t="n">
        <v>0</v>
      </c>
      <c r="L48" s="5" t="n">
        <v>4.2</v>
      </c>
      <c r="M48" s="5" t="n">
        <v>605178</v>
      </c>
      <c r="N48" s="5" t="n">
        <v>106958.74</v>
      </c>
    </row>
    <row r="49" customFormat="false" ht="15" hidden="false" customHeight="true" outlineLevel="0" collapsed="false">
      <c r="A49" s="5" t="s">
        <v>35</v>
      </c>
      <c r="B49" s="5" t="s">
        <v>106</v>
      </c>
      <c r="C49" s="5" t="s">
        <v>29</v>
      </c>
      <c r="D49" s="5" t="s">
        <v>18</v>
      </c>
      <c r="E49" s="5" t="n">
        <v>138855.51</v>
      </c>
      <c r="F49" s="5" t="n">
        <v>5145</v>
      </c>
      <c r="G49" s="5" t="n">
        <v>0.06</v>
      </c>
      <c r="H49" s="5" t="n">
        <v>17</v>
      </c>
      <c r="I49" s="5" t="n">
        <v>88.2</v>
      </c>
      <c r="J49" s="5" t="n">
        <v>9.58</v>
      </c>
      <c r="K49" s="5" t="n">
        <v>0</v>
      </c>
      <c r="L49" s="5" t="n">
        <v>3.2</v>
      </c>
      <c r="M49" s="5" t="n">
        <v>595467.6</v>
      </c>
      <c r="N49" s="5" t="n">
        <v>104276.46</v>
      </c>
    </row>
    <row r="50" customFormat="false" ht="15" hidden="false" customHeight="true" outlineLevel="0" collapsed="false">
      <c r="A50" s="5" t="s">
        <v>35</v>
      </c>
      <c r="B50" s="5" t="s">
        <v>107</v>
      </c>
      <c r="C50" s="5" t="s">
        <v>29</v>
      </c>
      <c r="D50" s="5" t="s">
        <v>18</v>
      </c>
      <c r="E50" s="5" t="n">
        <v>63630.21</v>
      </c>
      <c r="F50" s="5" t="n">
        <v>4460</v>
      </c>
      <c r="G50" s="5" t="n">
        <v>0.235</v>
      </c>
      <c r="H50" s="5" t="n">
        <v>14</v>
      </c>
      <c r="I50" s="5" t="n">
        <v>98.6</v>
      </c>
      <c r="J50" s="5" t="n">
        <v>5.52</v>
      </c>
      <c r="K50" s="5" t="n">
        <v>0</v>
      </c>
      <c r="L50" s="5" t="n">
        <v>3.5</v>
      </c>
      <c r="M50" s="5" t="n">
        <v>599603.4</v>
      </c>
      <c r="N50" s="5" t="n">
        <v>112685.12</v>
      </c>
    </row>
    <row r="51" customFormat="false" ht="15" hidden="false" customHeight="true" outlineLevel="0" collapsed="false">
      <c r="A51" s="5" t="s">
        <v>35</v>
      </c>
      <c r="B51" s="5" t="s">
        <v>108</v>
      </c>
      <c r="C51" s="5" t="s">
        <v>29</v>
      </c>
      <c r="D51" s="5" t="s">
        <v>18</v>
      </c>
      <c r="E51" s="5" t="n">
        <v>50043.65</v>
      </c>
      <c r="F51" s="5" t="n">
        <v>3804</v>
      </c>
      <c r="G51" s="5" t="n">
        <v>0.113</v>
      </c>
      <c r="H51" s="5" t="n">
        <v>11</v>
      </c>
      <c r="I51" s="5" t="n">
        <v>90.9</v>
      </c>
      <c r="J51" s="5" t="n">
        <v>2.7</v>
      </c>
      <c r="K51" s="5" t="n">
        <v>1</v>
      </c>
      <c r="L51" s="5" t="n">
        <v>3.2</v>
      </c>
      <c r="M51" s="5" t="n">
        <v>614800.09</v>
      </c>
      <c r="N51" s="5" t="n">
        <v>100044.2</v>
      </c>
    </row>
    <row r="52" customFormat="false" ht="15" hidden="false" customHeight="true" outlineLevel="0" collapsed="false">
      <c r="A52" s="5" t="s">
        <v>35</v>
      </c>
      <c r="B52" s="5" t="s">
        <v>109</v>
      </c>
      <c r="C52" s="5" t="s">
        <v>29</v>
      </c>
      <c r="D52" s="5" t="s">
        <v>18</v>
      </c>
      <c r="E52" s="5" t="n">
        <v>42093.84</v>
      </c>
      <c r="F52" s="5" t="n">
        <v>4074</v>
      </c>
      <c r="G52" s="5" t="n">
        <v>0.155</v>
      </c>
      <c r="H52" s="5" t="n">
        <v>15</v>
      </c>
      <c r="I52" s="5" t="n">
        <v>88</v>
      </c>
      <c r="J52" s="5" t="n">
        <v>9.64</v>
      </c>
      <c r="K52" s="5" t="n">
        <v>0</v>
      </c>
      <c r="L52" s="5" t="n">
        <v>3.3</v>
      </c>
      <c r="M52" s="5" t="n">
        <v>585365.73</v>
      </c>
      <c r="N52" s="5" t="n">
        <v>81011.52</v>
      </c>
    </row>
    <row r="53" customFormat="false" ht="15" hidden="false" customHeight="true" outlineLevel="0" collapsed="false">
      <c r="A53" s="5" t="s">
        <v>36</v>
      </c>
      <c r="B53" s="5" t="s">
        <v>106</v>
      </c>
      <c r="C53" s="5" t="s">
        <v>22</v>
      </c>
      <c r="D53" s="5" t="s">
        <v>30</v>
      </c>
      <c r="E53" s="5" t="n">
        <v>46624.05</v>
      </c>
      <c r="F53" s="5" t="n">
        <v>5104</v>
      </c>
      <c r="G53" s="5" t="n">
        <v>0.109</v>
      </c>
      <c r="H53" s="5" t="n">
        <v>11</v>
      </c>
      <c r="I53" s="5" t="n">
        <v>97.3</v>
      </c>
      <c r="J53" s="5" t="n">
        <v>3.49</v>
      </c>
      <c r="K53" s="5" t="n">
        <v>1</v>
      </c>
      <c r="L53" s="5" t="n">
        <v>4.7</v>
      </c>
      <c r="M53" s="5" t="n">
        <v>622811.74</v>
      </c>
      <c r="N53" s="5" t="n">
        <v>109978.35</v>
      </c>
    </row>
    <row r="54" customFormat="false" ht="15" hidden="false" customHeight="true" outlineLevel="0" collapsed="false">
      <c r="A54" s="5" t="s">
        <v>36</v>
      </c>
      <c r="B54" s="5" t="s">
        <v>107</v>
      </c>
      <c r="C54" s="5" t="s">
        <v>22</v>
      </c>
      <c r="D54" s="5" t="s">
        <v>30</v>
      </c>
      <c r="E54" s="5" t="n">
        <v>49710.29</v>
      </c>
      <c r="F54" s="5" t="n">
        <v>5559</v>
      </c>
      <c r="G54" s="5" t="n">
        <v>0.218</v>
      </c>
      <c r="H54" s="5" t="n">
        <v>14</v>
      </c>
      <c r="I54" s="5" t="n">
        <v>71</v>
      </c>
      <c r="J54" s="5" t="n">
        <v>9.11</v>
      </c>
      <c r="K54" s="5" t="n">
        <v>0</v>
      </c>
      <c r="L54" s="5" t="n">
        <v>4.6</v>
      </c>
      <c r="M54" s="5" t="n">
        <v>603297.57</v>
      </c>
      <c r="N54" s="5" t="n">
        <v>60592.26</v>
      </c>
    </row>
    <row r="55" customFormat="false" ht="15" hidden="false" customHeight="true" outlineLevel="0" collapsed="false">
      <c r="A55" s="5" t="s">
        <v>36</v>
      </c>
      <c r="B55" s="5" t="s">
        <v>108</v>
      </c>
      <c r="C55" s="5" t="s">
        <v>22</v>
      </c>
      <c r="D55" s="5" t="s">
        <v>30</v>
      </c>
      <c r="E55" s="5" t="n">
        <v>48287.85</v>
      </c>
      <c r="F55" s="5" t="n">
        <v>5150</v>
      </c>
      <c r="G55" s="5" t="n">
        <v>0.008</v>
      </c>
      <c r="H55" s="5" t="n">
        <v>12</v>
      </c>
      <c r="I55" s="5" t="n">
        <v>80.4</v>
      </c>
      <c r="J55" s="5" t="n">
        <v>7.4</v>
      </c>
      <c r="K55" s="5" t="n">
        <v>0</v>
      </c>
      <c r="L55" s="5" t="n">
        <v>4.5</v>
      </c>
      <c r="M55" s="5" t="n">
        <v>625672.86</v>
      </c>
      <c r="N55" s="5" t="n">
        <v>118020.12</v>
      </c>
    </row>
    <row r="56" customFormat="false" ht="15" hidden="false" customHeight="true" outlineLevel="0" collapsed="false">
      <c r="A56" s="5" t="s">
        <v>36</v>
      </c>
      <c r="B56" s="5" t="s">
        <v>109</v>
      </c>
      <c r="C56" s="5" t="s">
        <v>22</v>
      </c>
      <c r="D56" s="5" t="s">
        <v>30</v>
      </c>
      <c r="E56" s="5" t="n">
        <v>65312.49</v>
      </c>
      <c r="F56" s="5" t="n">
        <v>7189</v>
      </c>
      <c r="G56" s="5" t="n">
        <v>0.05</v>
      </c>
      <c r="H56" s="5" t="n">
        <v>19</v>
      </c>
      <c r="I56" s="5" t="n">
        <v>93.7</v>
      </c>
      <c r="J56" s="5" t="n">
        <v>7.16</v>
      </c>
      <c r="K56" s="5" t="n">
        <v>0</v>
      </c>
      <c r="L56" s="5" t="n">
        <v>4.6</v>
      </c>
      <c r="M56" s="5" t="n">
        <v>773815.14</v>
      </c>
      <c r="N56" s="5" t="n">
        <v>133948.39</v>
      </c>
    </row>
    <row r="57" customFormat="false" ht="15" hidden="false" customHeight="true" outlineLevel="0" collapsed="false">
      <c r="A57" s="5" t="s">
        <v>37</v>
      </c>
      <c r="B57" s="5" t="s">
        <v>106</v>
      </c>
      <c r="C57" s="5" t="s">
        <v>29</v>
      </c>
      <c r="D57" s="5" t="s">
        <v>20</v>
      </c>
      <c r="E57" s="5" t="n">
        <v>53015.46</v>
      </c>
      <c r="F57" s="5" t="n">
        <v>3279</v>
      </c>
      <c r="G57" s="5" t="n">
        <v>0.087</v>
      </c>
      <c r="H57" s="5" t="n">
        <v>9</v>
      </c>
      <c r="I57" s="5" t="n">
        <v>84.3</v>
      </c>
      <c r="J57" s="5" t="n">
        <v>22.02</v>
      </c>
      <c r="K57" s="5" t="n">
        <v>0</v>
      </c>
      <c r="L57" s="5" t="n">
        <v>3.9</v>
      </c>
      <c r="M57" s="5" t="n">
        <v>463534.25</v>
      </c>
      <c r="N57" s="5" t="n">
        <v>81834.54</v>
      </c>
    </row>
    <row r="58" customFormat="false" ht="15" hidden="false" customHeight="true" outlineLevel="0" collapsed="false">
      <c r="A58" s="5" t="s">
        <v>37</v>
      </c>
      <c r="B58" s="5" t="s">
        <v>107</v>
      </c>
      <c r="C58" s="5" t="s">
        <v>29</v>
      </c>
      <c r="D58" s="5" t="s">
        <v>20</v>
      </c>
      <c r="E58" s="5" t="n">
        <v>99874.01</v>
      </c>
      <c r="F58" s="5" t="n">
        <v>5887</v>
      </c>
      <c r="G58" s="5" t="n">
        <v>0.262</v>
      </c>
      <c r="H58" s="5" t="n">
        <v>14</v>
      </c>
      <c r="I58" s="5" t="n">
        <v>88.7</v>
      </c>
      <c r="J58" s="5" t="n">
        <v>6.18</v>
      </c>
      <c r="K58" s="5" t="n">
        <v>0</v>
      </c>
      <c r="L58" s="5" t="n">
        <v>4.7</v>
      </c>
      <c r="M58" s="5" t="n">
        <v>746677.75</v>
      </c>
      <c r="N58" s="5" t="n">
        <v>122437.84</v>
      </c>
    </row>
    <row r="59" customFormat="false" ht="15" hidden="false" customHeight="true" outlineLevel="0" collapsed="false">
      <c r="A59" s="5" t="s">
        <v>37</v>
      </c>
      <c r="B59" s="5" t="s">
        <v>108</v>
      </c>
      <c r="C59" s="5" t="s">
        <v>29</v>
      </c>
      <c r="D59" s="5" t="s">
        <v>20</v>
      </c>
      <c r="E59" s="5" t="n">
        <v>81195.5</v>
      </c>
      <c r="F59" s="5" t="n">
        <v>5516</v>
      </c>
      <c r="G59" s="5" t="n">
        <v>0.106</v>
      </c>
      <c r="H59" s="5" t="n">
        <v>14</v>
      </c>
      <c r="I59" s="5" t="n">
        <v>88</v>
      </c>
      <c r="J59" s="5" t="n">
        <v>1.76</v>
      </c>
      <c r="K59" s="5" t="n">
        <v>0</v>
      </c>
      <c r="L59" s="5" t="n">
        <v>4.3</v>
      </c>
      <c r="M59" s="5" t="n">
        <v>720852.5</v>
      </c>
      <c r="N59" s="5" t="n">
        <v>98565.62</v>
      </c>
    </row>
    <row r="60" customFormat="false" ht="15" hidden="false" customHeight="true" outlineLevel="0" collapsed="false">
      <c r="A60" s="5" t="s">
        <v>37</v>
      </c>
      <c r="B60" s="5" t="s">
        <v>109</v>
      </c>
      <c r="C60" s="5" t="s">
        <v>29</v>
      </c>
      <c r="D60" s="5" t="s">
        <v>20</v>
      </c>
      <c r="E60" s="5" t="n">
        <v>27808.6</v>
      </c>
      <c r="F60" s="5" t="n">
        <v>2863</v>
      </c>
      <c r="G60" s="5" t="n">
        <v>0.08</v>
      </c>
      <c r="H60" s="5" t="n">
        <v>13</v>
      </c>
      <c r="I60" s="5" t="n">
        <v>89.3</v>
      </c>
      <c r="J60" s="5" t="n">
        <v>0.47</v>
      </c>
      <c r="K60" s="5" t="n">
        <v>0</v>
      </c>
      <c r="L60" s="5" t="n">
        <v>4.1</v>
      </c>
      <c r="M60" s="5" t="n">
        <v>487464.91</v>
      </c>
      <c r="N60" s="5" t="n">
        <v>64562.26</v>
      </c>
    </row>
    <row r="61" customFormat="false" ht="15" hidden="false" customHeight="true" outlineLevel="0" collapsed="false">
      <c r="A61" s="5" t="s">
        <v>38</v>
      </c>
      <c r="B61" s="5" t="s">
        <v>106</v>
      </c>
      <c r="C61" s="5" t="s">
        <v>17</v>
      </c>
      <c r="D61" s="5" t="s">
        <v>23</v>
      </c>
      <c r="E61" s="5" t="n">
        <v>19365.06</v>
      </c>
      <c r="F61" s="5" t="n">
        <v>2378</v>
      </c>
      <c r="G61" s="5" t="n">
        <v>0</v>
      </c>
      <c r="H61" s="5" t="n">
        <v>12</v>
      </c>
      <c r="I61" s="5" t="n">
        <v>94.8</v>
      </c>
      <c r="J61" s="5" t="n">
        <v>0.2</v>
      </c>
      <c r="K61" s="5" t="n">
        <v>0</v>
      </c>
      <c r="L61" s="5" t="n">
        <v>3.5</v>
      </c>
      <c r="M61" s="5" t="n">
        <v>518049.26</v>
      </c>
      <c r="N61" s="5" t="n">
        <v>108592.49</v>
      </c>
    </row>
    <row r="62" customFormat="false" ht="15" hidden="false" customHeight="true" outlineLevel="0" collapsed="false">
      <c r="A62" s="5" t="s">
        <v>38</v>
      </c>
      <c r="B62" s="5" t="s">
        <v>107</v>
      </c>
      <c r="C62" s="5" t="s">
        <v>17</v>
      </c>
      <c r="D62" s="5" t="s">
        <v>23</v>
      </c>
      <c r="E62" s="5" t="n">
        <v>59405.68</v>
      </c>
      <c r="F62" s="5" t="n">
        <v>2515</v>
      </c>
      <c r="G62" s="5" t="n">
        <v>0.039</v>
      </c>
      <c r="H62" s="5" t="n">
        <v>12</v>
      </c>
      <c r="I62" s="5" t="n">
        <v>76</v>
      </c>
      <c r="J62" s="5" t="n">
        <v>5.11</v>
      </c>
      <c r="K62" s="5" t="n">
        <v>0</v>
      </c>
      <c r="L62" s="5" t="n">
        <v>3.7</v>
      </c>
      <c r="M62" s="5" t="n">
        <v>500298.48</v>
      </c>
      <c r="N62" s="5" t="n">
        <v>73461.32</v>
      </c>
    </row>
    <row r="63" customFormat="false" ht="15" hidden="false" customHeight="true" outlineLevel="0" collapsed="false">
      <c r="A63" s="5" t="s">
        <v>38</v>
      </c>
      <c r="B63" s="5" t="s">
        <v>108</v>
      </c>
      <c r="C63" s="5" t="s">
        <v>17</v>
      </c>
      <c r="D63" s="5" t="s">
        <v>23</v>
      </c>
      <c r="E63" s="5" t="n">
        <v>118910.48</v>
      </c>
      <c r="F63" s="5" t="n">
        <v>4022</v>
      </c>
      <c r="G63" s="5" t="n">
        <v>0.137</v>
      </c>
      <c r="H63" s="5" t="n">
        <v>11</v>
      </c>
      <c r="I63" s="5" t="n">
        <v>87.1</v>
      </c>
      <c r="J63" s="5" t="n">
        <v>0.2</v>
      </c>
      <c r="K63" s="5" t="n">
        <v>0</v>
      </c>
      <c r="L63" s="5" t="n">
        <v>3.1</v>
      </c>
      <c r="M63" s="5" t="n">
        <v>617291.15</v>
      </c>
      <c r="N63" s="5" t="n">
        <v>117782</v>
      </c>
    </row>
    <row r="64" customFormat="false" ht="15" hidden="false" customHeight="true" outlineLevel="0" collapsed="false">
      <c r="A64" s="5" t="s">
        <v>38</v>
      </c>
      <c r="B64" s="5" t="s">
        <v>109</v>
      </c>
      <c r="C64" s="5" t="s">
        <v>17</v>
      </c>
      <c r="D64" s="5" t="s">
        <v>23</v>
      </c>
      <c r="E64" s="5" t="n">
        <v>52952.12</v>
      </c>
      <c r="F64" s="5" t="n">
        <v>4377</v>
      </c>
      <c r="G64" s="5" t="n">
        <v>0.092</v>
      </c>
      <c r="H64" s="5" t="n">
        <v>14</v>
      </c>
      <c r="I64" s="5" t="n">
        <v>88.6</v>
      </c>
      <c r="J64" s="5" t="n">
        <v>13.59</v>
      </c>
      <c r="K64" s="5" t="n">
        <v>0</v>
      </c>
      <c r="L64" s="5" t="n">
        <v>3.1</v>
      </c>
      <c r="M64" s="5" t="n">
        <v>553756.43</v>
      </c>
      <c r="N64" s="5" t="n">
        <v>86166.77</v>
      </c>
    </row>
    <row r="65" customFormat="false" ht="15" hidden="false" customHeight="true" outlineLevel="0" collapsed="false">
      <c r="A65" s="5" t="s">
        <v>39</v>
      </c>
      <c r="B65" s="5" t="s">
        <v>106</v>
      </c>
      <c r="C65" s="5" t="s">
        <v>26</v>
      </c>
      <c r="D65" s="5" t="s">
        <v>20</v>
      </c>
      <c r="E65" s="5" t="n">
        <v>74907.98</v>
      </c>
      <c r="F65" s="5" t="n">
        <v>5306</v>
      </c>
      <c r="G65" s="5" t="n">
        <v>0.062</v>
      </c>
      <c r="H65" s="5" t="n">
        <v>16</v>
      </c>
      <c r="I65" s="5" t="n">
        <v>95.6</v>
      </c>
      <c r="J65" s="5" t="n">
        <v>1.02</v>
      </c>
      <c r="K65" s="5" t="n">
        <v>0</v>
      </c>
      <c r="L65" s="5" t="n">
        <v>3.7</v>
      </c>
      <c r="M65" s="5" t="n">
        <v>749559.71</v>
      </c>
      <c r="N65" s="5" t="n">
        <v>144522.53</v>
      </c>
    </row>
    <row r="66" customFormat="false" ht="15" hidden="false" customHeight="true" outlineLevel="0" collapsed="false">
      <c r="A66" s="5" t="s">
        <v>39</v>
      </c>
      <c r="B66" s="5" t="s">
        <v>107</v>
      </c>
      <c r="C66" s="5" t="s">
        <v>26</v>
      </c>
      <c r="D66" s="5" t="s">
        <v>20</v>
      </c>
      <c r="E66" s="5" t="n">
        <v>37284.66</v>
      </c>
      <c r="F66" s="5" t="n">
        <v>3928</v>
      </c>
      <c r="G66" s="5" t="n">
        <v>0.074</v>
      </c>
      <c r="H66" s="5" t="n">
        <v>12</v>
      </c>
      <c r="I66" s="5" t="n">
        <v>86.5</v>
      </c>
      <c r="J66" s="5" t="n">
        <v>1.64</v>
      </c>
      <c r="K66" s="5" t="n">
        <v>0</v>
      </c>
      <c r="L66" s="5" t="n">
        <v>3.8</v>
      </c>
      <c r="M66" s="5" t="n">
        <v>615966.48</v>
      </c>
      <c r="N66" s="5" t="n">
        <v>91509.38</v>
      </c>
    </row>
    <row r="67" customFormat="false" ht="15" hidden="false" customHeight="true" outlineLevel="0" collapsed="false">
      <c r="A67" s="5" t="s">
        <v>39</v>
      </c>
      <c r="B67" s="5" t="s">
        <v>108</v>
      </c>
      <c r="C67" s="5" t="s">
        <v>26</v>
      </c>
      <c r="D67" s="5" t="s">
        <v>20</v>
      </c>
      <c r="E67" s="5" t="n">
        <v>50343.19</v>
      </c>
      <c r="F67" s="5" t="n">
        <v>3845</v>
      </c>
      <c r="G67" s="5" t="n">
        <v>0.113</v>
      </c>
      <c r="H67" s="5" t="n">
        <v>9</v>
      </c>
      <c r="I67" s="5" t="n">
        <v>88.7</v>
      </c>
      <c r="J67" s="5" t="n">
        <v>5.15</v>
      </c>
      <c r="K67" s="5" t="n">
        <v>0</v>
      </c>
      <c r="L67" s="5" t="n">
        <v>3.3</v>
      </c>
      <c r="M67" s="5" t="n">
        <v>572011.2</v>
      </c>
      <c r="N67" s="5" t="n">
        <v>101409.68</v>
      </c>
    </row>
    <row r="68" customFormat="false" ht="15" hidden="false" customHeight="true" outlineLevel="0" collapsed="false">
      <c r="A68" s="5" t="s">
        <v>39</v>
      </c>
      <c r="B68" s="5" t="s">
        <v>109</v>
      </c>
      <c r="C68" s="5" t="s">
        <v>26</v>
      </c>
      <c r="D68" s="5" t="s">
        <v>20</v>
      </c>
      <c r="E68" s="5" t="n">
        <v>74954.47</v>
      </c>
      <c r="F68" s="5" t="n">
        <v>6620</v>
      </c>
      <c r="G68" s="5" t="n">
        <v>0.054</v>
      </c>
      <c r="H68" s="5" t="n">
        <v>17</v>
      </c>
      <c r="I68" s="5" t="n">
        <v>91.1</v>
      </c>
      <c r="J68" s="5" t="n">
        <v>1.11</v>
      </c>
      <c r="K68" s="5" t="n">
        <v>0</v>
      </c>
      <c r="L68" s="5" t="n">
        <v>3.5</v>
      </c>
      <c r="M68" s="5" t="n">
        <v>761860.19</v>
      </c>
      <c r="N68" s="5" t="n">
        <v>133279.38</v>
      </c>
    </row>
    <row r="69" customFormat="false" ht="15" hidden="false" customHeight="true" outlineLevel="0" collapsed="false">
      <c r="A69" s="5" t="s">
        <v>40</v>
      </c>
      <c r="B69" s="5" t="s">
        <v>106</v>
      </c>
      <c r="C69" s="5" t="s">
        <v>29</v>
      </c>
      <c r="D69" s="5" t="s">
        <v>20</v>
      </c>
      <c r="E69" s="5" t="n">
        <v>70040.31</v>
      </c>
      <c r="F69" s="5" t="n">
        <v>9175</v>
      </c>
      <c r="G69" s="5" t="n">
        <v>0.107</v>
      </c>
      <c r="H69" s="5" t="n">
        <v>23</v>
      </c>
      <c r="I69" s="5" t="n">
        <v>95.1</v>
      </c>
      <c r="J69" s="5" t="n">
        <v>6.08</v>
      </c>
      <c r="K69" s="5" t="n">
        <v>1</v>
      </c>
      <c r="L69" s="5" t="n">
        <v>3.4</v>
      </c>
      <c r="M69" s="5" t="n">
        <v>784502.68</v>
      </c>
      <c r="N69" s="5" t="n">
        <v>129519.72</v>
      </c>
    </row>
    <row r="70" customFormat="false" ht="15" hidden="false" customHeight="true" outlineLevel="0" collapsed="false">
      <c r="A70" s="5" t="s">
        <v>40</v>
      </c>
      <c r="B70" s="5" t="s">
        <v>107</v>
      </c>
      <c r="C70" s="5" t="s">
        <v>29</v>
      </c>
      <c r="D70" s="5" t="s">
        <v>20</v>
      </c>
      <c r="E70" s="5" t="n">
        <v>51148.69</v>
      </c>
      <c r="F70" s="5" t="n">
        <v>7940</v>
      </c>
      <c r="G70" s="5" t="n">
        <v>0.156</v>
      </c>
      <c r="H70" s="5" t="n">
        <v>18</v>
      </c>
      <c r="I70" s="5" t="n">
        <v>93.3</v>
      </c>
      <c r="J70" s="5" t="n">
        <v>10.91</v>
      </c>
      <c r="K70" s="5" t="n">
        <v>0</v>
      </c>
      <c r="L70" s="5" t="n">
        <v>3.6</v>
      </c>
      <c r="M70" s="5" t="n">
        <v>717141.55</v>
      </c>
      <c r="N70" s="5" t="n">
        <v>134013.61</v>
      </c>
    </row>
    <row r="71" customFormat="false" ht="15" hidden="false" customHeight="true" outlineLevel="0" collapsed="false">
      <c r="A71" s="5" t="s">
        <v>40</v>
      </c>
      <c r="B71" s="5" t="s">
        <v>108</v>
      </c>
      <c r="C71" s="5" t="s">
        <v>29</v>
      </c>
      <c r="D71" s="5" t="s">
        <v>20</v>
      </c>
      <c r="E71" s="5" t="n">
        <v>79346.1</v>
      </c>
      <c r="F71" s="5" t="n">
        <v>9628</v>
      </c>
      <c r="G71" s="5" t="n">
        <v>0.102</v>
      </c>
      <c r="H71" s="5" t="n">
        <v>20</v>
      </c>
      <c r="I71" s="5" t="n">
        <v>99</v>
      </c>
      <c r="J71" s="5" t="n">
        <v>19.01</v>
      </c>
      <c r="K71" s="5" t="n">
        <v>1</v>
      </c>
      <c r="L71" s="5" t="n">
        <v>3.2</v>
      </c>
      <c r="M71" s="5" t="n">
        <v>685379.08</v>
      </c>
      <c r="N71" s="5" t="n">
        <v>106898.82</v>
      </c>
    </row>
    <row r="72" customFormat="false" ht="15" hidden="false" customHeight="true" outlineLevel="0" collapsed="false">
      <c r="A72" s="5" t="s">
        <v>40</v>
      </c>
      <c r="B72" s="5" t="s">
        <v>109</v>
      </c>
      <c r="C72" s="5" t="s">
        <v>29</v>
      </c>
      <c r="D72" s="5" t="s">
        <v>20</v>
      </c>
      <c r="E72" s="5" t="n">
        <v>42018.4</v>
      </c>
      <c r="F72" s="5" t="n">
        <v>8296</v>
      </c>
      <c r="G72" s="5" t="n">
        <v>0.115</v>
      </c>
      <c r="H72" s="5" t="n">
        <v>17</v>
      </c>
      <c r="I72" s="5" t="n">
        <v>91.8</v>
      </c>
      <c r="J72" s="5" t="n">
        <v>0.77</v>
      </c>
      <c r="K72" s="5" t="n">
        <v>0</v>
      </c>
      <c r="L72" s="5" t="n">
        <v>3.4</v>
      </c>
      <c r="M72" s="5" t="n">
        <v>740496.65</v>
      </c>
      <c r="N72" s="5" t="n">
        <v>128020.9</v>
      </c>
    </row>
    <row r="73" customFormat="false" ht="15" hidden="false" customHeight="true" outlineLevel="0" collapsed="false">
      <c r="A73" s="5" t="s">
        <v>41</v>
      </c>
      <c r="B73" s="5" t="s">
        <v>106</v>
      </c>
      <c r="C73" s="5" t="s">
        <v>17</v>
      </c>
      <c r="D73" s="5" t="s">
        <v>20</v>
      </c>
      <c r="E73" s="5" t="n">
        <v>70937.24</v>
      </c>
      <c r="F73" s="5" t="n">
        <v>3595</v>
      </c>
      <c r="G73" s="5" t="n">
        <v>0.141</v>
      </c>
      <c r="H73" s="5" t="n">
        <v>11</v>
      </c>
      <c r="I73" s="5" t="n">
        <v>88.9</v>
      </c>
      <c r="J73" s="5" t="n">
        <v>2.83</v>
      </c>
      <c r="K73" s="5" t="n">
        <v>1</v>
      </c>
      <c r="L73" s="5" t="n">
        <v>3.3</v>
      </c>
      <c r="M73" s="5" t="n">
        <v>661927.14</v>
      </c>
      <c r="N73" s="5" t="n">
        <v>79218.57</v>
      </c>
    </row>
    <row r="74" customFormat="false" ht="15" hidden="false" customHeight="true" outlineLevel="0" collapsed="false">
      <c r="A74" s="5" t="s">
        <v>41</v>
      </c>
      <c r="B74" s="5" t="s">
        <v>107</v>
      </c>
      <c r="C74" s="5" t="s">
        <v>17</v>
      </c>
      <c r="D74" s="5" t="s">
        <v>20</v>
      </c>
      <c r="E74" s="5" t="n">
        <v>36813.45</v>
      </c>
      <c r="F74" s="5" t="n">
        <v>2834</v>
      </c>
      <c r="G74" s="5" t="n">
        <v>0.191</v>
      </c>
      <c r="H74" s="5" t="n">
        <v>11</v>
      </c>
      <c r="I74" s="5" t="n">
        <v>81.8</v>
      </c>
      <c r="J74" s="5" t="n">
        <v>2.33</v>
      </c>
      <c r="K74" s="5" t="n">
        <v>0</v>
      </c>
      <c r="L74" s="5" t="n">
        <v>3.3</v>
      </c>
      <c r="M74" s="5" t="n">
        <v>479050.5</v>
      </c>
      <c r="N74" s="5" t="n">
        <v>53651.11</v>
      </c>
    </row>
    <row r="75" customFormat="false" ht="15" hidden="false" customHeight="true" outlineLevel="0" collapsed="false">
      <c r="A75" s="5" t="s">
        <v>41</v>
      </c>
      <c r="B75" s="5" t="s">
        <v>108</v>
      </c>
      <c r="C75" s="5" t="s">
        <v>17</v>
      </c>
      <c r="D75" s="5" t="s">
        <v>20</v>
      </c>
      <c r="E75" s="5" t="n">
        <v>60571.82</v>
      </c>
      <c r="F75" s="5" t="n">
        <v>3193</v>
      </c>
      <c r="G75" s="5" t="n">
        <v>0.197</v>
      </c>
      <c r="H75" s="5" t="n">
        <v>7</v>
      </c>
      <c r="I75" s="5" t="n">
        <v>99</v>
      </c>
      <c r="J75" s="5" t="n">
        <v>1.43</v>
      </c>
      <c r="K75" s="5" t="n">
        <v>0</v>
      </c>
      <c r="L75" s="5" t="n">
        <v>3.2</v>
      </c>
      <c r="M75" s="5" t="n">
        <v>605023.87</v>
      </c>
      <c r="N75" s="5" t="n">
        <v>98545.81</v>
      </c>
    </row>
    <row r="76" customFormat="false" ht="15" hidden="false" customHeight="true" outlineLevel="0" collapsed="false">
      <c r="A76" s="5" t="s">
        <v>41</v>
      </c>
      <c r="B76" s="5" t="s">
        <v>109</v>
      </c>
      <c r="C76" s="5" t="s">
        <v>17</v>
      </c>
      <c r="D76" s="5" t="s">
        <v>20</v>
      </c>
      <c r="E76" s="5" t="n">
        <v>55081.16</v>
      </c>
      <c r="F76" s="5" t="n">
        <v>5485</v>
      </c>
      <c r="G76" s="5" t="n">
        <v>0.036</v>
      </c>
      <c r="H76" s="5" t="n">
        <v>12</v>
      </c>
      <c r="I76" s="5" t="n">
        <v>88</v>
      </c>
      <c r="J76" s="5" t="n">
        <v>3.365</v>
      </c>
      <c r="K76" s="5" t="n">
        <v>0</v>
      </c>
      <c r="L76" s="5" t="n">
        <v>3.5</v>
      </c>
      <c r="M76" s="5" t="n">
        <v>674774.09</v>
      </c>
      <c r="N76" s="5" t="n">
        <v>141917.59</v>
      </c>
    </row>
    <row r="77" customFormat="false" ht="15" hidden="false" customHeight="true" outlineLevel="0" collapsed="false">
      <c r="A77" s="5" t="s">
        <v>42</v>
      </c>
      <c r="B77" s="5" t="s">
        <v>106</v>
      </c>
      <c r="C77" s="5" t="s">
        <v>17</v>
      </c>
      <c r="D77" s="5" t="s">
        <v>18</v>
      </c>
      <c r="E77" s="5" t="n">
        <v>46201.46</v>
      </c>
      <c r="F77" s="5" t="n">
        <v>5918</v>
      </c>
      <c r="G77" s="5" t="n">
        <v>0.277</v>
      </c>
      <c r="H77" s="5" t="n">
        <v>13</v>
      </c>
      <c r="I77" s="5" t="n">
        <v>78.8</v>
      </c>
      <c r="J77" s="5" t="n">
        <v>4.91</v>
      </c>
      <c r="K77" s="5" t="n">
        <v>0</v>
      </c>
      <c r="L77" s="5" t="n">
        <v>4.5</v>
      </c>
      <c r="M77" s="5" t="n">
        <v>616069.41</v>
      </c>
      <c r="N77" s="5" t="n">
        <v>54453.99</v>
      </c>
    </row>
    <row r="78" customFormat="false" ht="15" hidden="false" customHeight="true" outlineLevel="0" collapsed="false">
      <c r="A78" s="5" t="s">
        <v>42</v>
      </c>
      <c r="B78" s="5" t="s">
        <v>107</v>
      </c>
      <c r="C78" s="5" t="s">
        <v>17</v>
      </c>
      <c r="D78" s="5" t="s">
        <v>18</v>
      </c>
      <c r="E78" s="5" t="n">
        <v>53762.92</v>
      </c>
      <c r="F78" s="5" t="n">
        <v>6821</v>
      </c>
      <c r="G78" s="5" t="n">
        <v>0.066</v>
      </c>
      <c r="H78" s="5" t="n">
        <v>19</v>
      </c>
      <c r="I78" s="5" t="n">
        <v>94.6</v>
      </c>
      <c r="J78" s="5" t="n">
        <v>7.03</v>
      </c>
      <c r="K78" s="5" t="n">
        <v>0</v>
      </c>
      <c r="L78" s="5" t="n">
        <v>4.4</v>
      </c>
      <c r="M78" s="5" t="n">
        <v>630829.94</v>
      </c>
      <c r="N78" s="5" t="n">
        <v>117090.02</v>
      </c>
    </row>
    <row r="79" customFormat="false" ht="15" hidden="false" customHeight="true" outlineLevel="0" collapsed="false">
      <c r="A79" s="5" t="s">
        <v>42</v>
      </c>
      <c r="B79" s="5" t="s">
        <v>108</v>
      </c>
      <c r="C79" s="5" t="s">
        <v>17</v>
      </c>
      <c r="D79" s="5" t="s">
        <v>18</v>
      </c>
      <c r="E79" s="5" t="n">
        <v>70144.78</v>
      </c>
      <c r="F79" s="5" t="n">
        <v>6806</v>
      </c>
      <c r="G79" s="5" t="n">
        <v>0.178</v>
      </c>
      <c r="H79" s="5" t="n">
        <v>20</v>
      </c>
      <c r="I79" s="5" t="n">
        <v>93.1</v>
      </c>
      <c r="J79" s="5" t="n">
        <v>0.28</v>
      </c>
      <c r="K79" s="5" t="n">
        <v>1</v>
      </c>
      <c r="L79" s="5" t="n">
        <v>4.3</v>
      </c>
      <c r="M79" s="5" t="n">
        <v>788087.68</v>
      </c>
      <c r="N79" s="5" t="n">
        <v>116803.42</v>
      </c>
    </row>
    <row r="80" customFormat="false" ht="15" hidden="false" customHeight="true" outlineLevel="0" collapsed="false">
      <c r="A80" s="5" t="s">
        <v>42</v>
      </c>
      <c r="B80" s="5" t="s">
        <v>109</v>
      </c>
      <c r="C80" s="5" t="s">
        <v>17</v>
      </c>
      <c r="D80" s="5" t="s">
        <v>18</v>
      </c>
      <c r="E80" s="5" t="n">
        <v>58749.63</v>
      </c>
      <c r="F80" s="5" t="n">
        <v>8252</v>
      </c>
      <c r="G80" s="5" t="n">
        <v>0.203</v>
      </c>
      <c r="H80" s="5" t="n">
        <v>20</v>
      </c>
      <c r="I80" s="5" t="n">
        <v>85.2</v>
      </c>
      <c r="J80" s="5" t="n">
        <v>3.61</v>
      </c>
      <c r="K80" s="5" t="n">
        <v>0</v>
      </c>
      <c r="L80" s="5" t="n">
        <v>4.5</v>
      </c>
      <c r="M80" s="5" t="n">
        <v>680840.36</v>
      </c>
      <c r="N80" s="5" t="n">
        <v>68007.68</v>
      </c>
    </row>
    <row r="81" customFormat="false" ht="15" hidden="false" customHeight="true" outlineLevel="0" collapsed="false">
      <c r="A81" s="5" t="s">
        <v>43</v>
      </c>
      <c r="B81" s="5" t="s">
        <v>106</v>
      </c>
      <c r="C81" s="5" t="s">
        <v>26</v>
      </c>
      <c r="D81" s="5" t="s">
        <v>20</v>
      </c>
      <c r="E81" s="5" t="n">
        <v>56973.18</v>
      </c>
      <c r="F81" s="5" t="n">
        <v>6662</v>
      </c>
      <c r="G81" s="5" t="n">
        <v>0.1</v>
      </c>
      <c r="H81" s="5" t="n">
        <v>15</v>
      </c>
      <c r="I81" s="5" t="n">
        <v>77.7</v>
      </c>
      <c r="J81" s="5" t="n">
        <v>7.52</v>
      </c>
      <c r="K81" s="5" t="n">
        <v>1</v>
      </c>
      <c r="L81" s="5" t="n">
        <v>3.2</v>
      </c>
      <c r="M81" s="5" t="n">
        <v>643657.47</v>
      </c>
      <c r="N81" s="5" t="n">
        <v>87022.45</v>
      </c>
    </row>
    <row r="82" customFormat="false" ht="15" hidden="false" customHeight="true" outlineLevel="0" collapsed="false">
      <c r="A82" s="5" t="s">
        <v>43</v>
      </c>
      <c r="B82" s="5" t="s">
        <v>107</v>
      </c>
      <c r="C82" s="5" t="s">
        <v>26</v>
      </c>
      <c r="D82" s="5" t="s">
        <v>20</v>
      </c>
      <c r="E82" s="5" t="n">
        <v>54872.82</v>
      </c>
      <c r="F82" s="5" t="n">
        <v>5962</v>
      </c>
      <c r="G82" s="5" t="n">
        <v>0.064</v>
      </c>
      <c r="H82" s="5" t="n">
        <v>12</v>
      </c>
      <c r="I82" s="5" t="n">
        <v>85.4</v>
      </c>
      <c r="J82" s="5" t="n">
        <v>2.58</v>
      </c>
      <c r="K82" s="5" t="n">
        <v>0</v>
      </c>
      <c r="L82" s="5" t="n">
        <v>2.9</v>
      </c>
      <c r="M82" s="5" t="n">
        <v>691112.6</v>
      </c>
      <c r="N82" s="5" t="n">
        <v>109212.83</v>
      </c>
    </row>
    <row r="83" customFormat="false" ht="15" hidden="false" customHeight="true" outlineLevel="0" collapsed="false">
      <c r="A83" s="5" t="s">
        <v>43</v>
      </c>
      <c r="B83" s="5" t="s">
        <v>108</v>
      </c>
      <c r="C83" s="5" t="s">
        <v>26</v>
      </c>
      <c r="D83" s="5" t="s">
        <v>20</v>
      </c>
      <c r="E83" s="5" t="n">
        <v>80562.81</v>
      </c>
      <c r="F83" s="5" t="n">
        <v>7470</v>
      </c>
      <c r="G83" s="5" t="n">
        <v>0.172</v>
      </c>
      <c r="H83" s="5" t="n">
        <v>16</v>
      </c>
      <c r="I83" s="5" t="n">
        <v>83.5</v>
      </c>
      <c r="J83" s="5" t="n">
        <v>2.29</v>
      </c>
      <c r="K83" s="5" t="n">
        <v>0</v>
      </c>
      <c r="L83" s="5" t="n">
        <v>3.3</v>
      </c>
      <c r="M83" s="5" t="n">
        <v>776922.17</v>
      </c>
      <c r="N83" s="5" t="n">
        <v>150701.93</v>
      </c>
    </row>
    <row r="84" customFormat="false" ht="15" hidden="false" customHeight="true" outlineLevel="0" collapsed="false">
      <c r="A84" s="5" t="s">
        <v>43</v>
      </c>
      <c r="B84" s="5" t="s">
        <v>109</v>
      </c>
      <c r="C84" s="5" t="s">
        <v>26</v>
      </c>
      <c r="D84" s="5" t="s">
        <v>20</v>
      </c>
      <c r="E84" s="5" t="n">
        <v>77999.9</v>
      </c>
      <c r="F84" s="5" t="n">
        <v>5974</v>
      </c>
      <c r="G84" s="5" t="n">
        <v>0.252</v>
      </c>
      <c r="H84" s="5" t="n">
        <v>14</v>
      </c>
      <c r="I84" s="5" t="n">
        <v>81.3</v>
      </c>
      <c r="J84" s="5" t="n">
        <v>2.39</v>
      </c>
      <c r="K84" s="5" t="n">
        <v>0</v>
      </c>
      <c r="L84" s="5" t="n">
        <v>3.2</v>
      </c>
      <c r="M84" s="5" t="n">
        <v>636561.34</v>
      </c>
      <c r="N84" s="5" t="n">
        <v>93861.06</v>
      </c>
    </row>
    <row r="85" customFormat="false" ht="15" hidden="false" customHeight="true" outlineLevel="0" collapsed="false">
      <c r="A85" s="5" t="s">
        <v>44</v>
      </c>
      <c r="B85" s="5" t="s">
        <v>106</v>
      </c>
      <c r="C85" s="5" t="s">
        <v>29</v>
      </c>
      <c r="D85" s="5" t="s">
        <v>30</v>
      </c>
      <c r="E85" s="5" t="n">
        <v>60881.01</v>
      </c>
      <c r="F85" s="5" t="n">
        <v>5410</v>
      </c>
      <c r="G85" s="5" t="n">
        <v>0.179</v>
      </c>
      <c r="H85" s="5" t="n">
        <v>15</v>
      </c>
      <c r="I85" s="5" t="n">
        <v>83.9</v>
      </c>
      <c r="J85" s="5" t="n">
        <v>5.24</v>
      </c>
      <c r="K85" s="5" t="n">
        <v>0</v>
      </c>
      <c r="L85" s="5" t="n">
        <v>4.6</v>
      </c>
      <c r="M85" s="5" t="n">
        <v>621369.58</v>
      </c>
      <c r="N85" s="5" t="n">
        <v>85493.64</v>
      </c>
    </row>
    <row r="86" customFormat="false" ht="15" hidden="false" customHeight="true" outlineLevel="0" collapsed="false">
      <c r="A86" s="5" t="s">
        <v>44</v>
      </c>
      <c r="B86" s="5" t="s">
        <v>107</v>
      </c>
      <c r="C86" s="5" t="s">
        <v>29</v>
      </c>
      <c r="D86" s="5" t="s">
        <v>30</v>
      </c>
      <c r="E86" s="5" t="n">
        <v>60628.38</v>
      </c>
      <c r="F86" s="5" t="n">
        <v>4451</v>
      </c>
      <c r="G86" s="5" t="n">
        <v>0.095</v>
      </c>
      <c r="H86" s="5" t="n">
        <v>10</v>
      </c>
      <c r="I86" s="5" t="n">
        <v>89.6</v>
      </c>
      <c r="J86" s="5" t="n">
        <v>3.17</v>
      </c>
      <c r="K86" s="5" t="n">
        <v>0</v>
      </c>
      <c r="L86" s="5" t="n">
        <v>4.6</v>
      </c>
      <c r="M86" s="5" t="n">
        <v>682208.01</v>
      </c>
      <c r="N86" s="5" t="n">
        <v>110318.84</v>
      </c>
    </row>
    <row r="87" customFormat="false" ht="15" hidden="false" customHeight="true" outlineLevel="0" collapsed="false">
      <c r="A87" s="5" t="s">
        <v>44</v>
      </c>
      <c r="B87" s="5" t="s">
        <v>108</v>
      </c>
      <c r="C87" s="5" t="s">
        <v>29</v>
      </c>
      <c r="D87" s="5" t="s">
        <v>30</v>
      </c>
      <c r="E87" s="5" t="n">
        <v>72731.14</v>
      </c>
      <c r="F87" s="5" t="n">
        <v>4644</v>
      </c>
      <c r="G87" s="5" t="n">
        <v>0.084</v>
      </c>
      <c r="H87" s="5" t="n">
        <v>15</v>
      </c>
      <c r="I87" s="5" t="n">
        <v>87.1</v>
      </c>
      <c r="J87" s="5" t="n">
        <v>2.66</v>
      </c>
      <c r="K87" s="5" t="n">
        <v>0</v>
      </c>
      <c r="L87" s="5" t="n">
        <v>4.6</v>
      </c>
      <c r="M87" s="5" t="n">
        <v>727241.86</v>
      </c>
      <c r="N87" s="5" t="n">
        <v>155810.3</v>
      </c>
    </row>
    <row r="88" customFormat="false" ht="15" hidden="false" customHeight="true" outlineLevel="0" collapsed="false">
      <c r="A88" s="5" t="s">
        <v>44</v>
      </c>
      <c r="B88" s="5" t="s">
        <v>109</v>
      </c>
      <c r="C88" s="5" t="s">
        <v>29</v>
      </c>
      <c r="D88" s="5" t="s">
        <v>30</v>
      </c>
      <c r="E88" s="5" t="n">
        <v>36475.71</v>
      </c>
      <c r="F88" s="5" t="n">
        <v>3559</v>
      </c>
      <c r="G88" s="5" t="n">
        <v>0.03</v>
      </c>
      <c r="H88" s="5" t="n">
        <v>8</v>
      </c>
      <c r="I88" s="5" t="n">
        <v>83.6</v>
      </c>
      <c r="J88" s="5" t="n">
        <v>1.41</v>
      </c>
      <c r="K88" s="5" t="n">
        <v>0</v>
      </c>
      <c r="L88" s="5" t="n">
        <v>4.2</v>
      </c>
      <c r="M88" s="5" t="n">
        <v>569100.78</v>
      </c>
      <c r="N88" s="5" t="n">
        <v>104808.78</v>
      </c>
    </row>
    <row r="89" customFormat="false" ht="15" hidden="false" customHeight="true" outlineLevel="0" collapsed="false">
      <c r="A89" s="5" t="s">
        <v>45</v>
      </c>
      <c r="B89" s="5" t="s">
        <v>106</v>
      </c>
      <c r="C89" s="5" t="s">
        <v>29</v>
      </c>
      <c r="D89" s="5" t="s">
        <v>20</v>
      </c>
      <c r="E89" s="5" t="n">
        <v>55388.11</v>
      </c>
      <c r="F89" s="5" t="n">
        <v>3091</v>
      </c>
      <c r="G89" s="5" t="n">
        <v>0.108</v>
      </c>
      <c r="H89" s="5" t="n">
        <v>7</v>
      </c>
      <c r="I89" s="5" t="n">
        <v>85.4</v>
      </c>
      <c r="J89" s="5" t="n">
        <v>7.34</v>
      </c>
      <c r="K89" s="5" t="n">
        <v>0</v>
      </c>
      <c r="L89" s="5" t="n">
        <v>4.9</v>
      </c>
      <c r="M89" s="5" t="n">
        <v>574436.29</v>
      </c>
      <c r="N89" s="5" t="n">
        <v>80271.99</v>
      </c>
    </row>
    <row r="90" customFormat="false" ht="15" hidden="false" customHeight="true" outlineLevel="0" collapsed="false">
      <c r="A90" s="5" t="s">
        <v>45</v>
      </c>
      <c r="B90" s="5" t="s">
        <v>107</v>
      </c>
      <c r="C90" s="5" t="s">
        <v>29</v>
      </c>
      <c r="D90" s="5" t="s">
        <v>20</v>
      </c>
      <c r="E90" s="5" t="n">
        <v>88443.77</v>
      </c>
      <c r="F90" s="5" t="n">
        <v>4004</v>
      </c>
      <c r="G90" s="5" t="n">
        <v>0.206</v>
      </c>
      <c r="H90" s="5" t="n">
        <v>11</v>
      </c>
      <c r="I90" s="5" t="n">
        <v>91.9</v>
      </c>
      <c r="J90" s="5" t="n">
        <v>5.95</v>
      </c>
      <c r="K90" s="5" t="n">
        <v>0</v>
      </c>
      <c r="L90" s="5" t="n">
        <v>3.9</v>
      </c>
      <c r="M90" s="5" t="n">
        <v>611766.72</v>
      </c>
      <c r="N90" s="5" t="n">
        <v>88275.61</v>
      </c>
    </row>
    <row r="91" customFormat="false" ht="15" hidden="false" customHeight="true" outlineLevel="0" collapsed="false">
      <c r="A91" s="5" t="s">
        <v>45</v>
      </c>
      <c r="B91" s="5" t="s">
        <v>108</v>
      </c>
      <c r="C91" s="5" t="s">
        <v>29</v>
      </c>
      <c r="D91" s="5" t="s">
        <v>20</v>
      </c>
      <c r="E91" s="5" t="n">
        <v>78231.91</v>
      </c>
      <c r="F91" s="5" t="n">
        <v>3788</v>
      </c>
      <c r="G91" s="5" t="n">
        <v>0.059</v>
      </c>
      <c r="H91" s="5" t="n">
        <v>11</v>
      </c>
      <c r="I91" s="5" t="n">
        <v>88.5</v>
      </c>
      <c r="J91" s="5" t="n">
        <v>15.51</v>
      </c>
      <c r="K91" s="5" t="n">
        <v>0</v>
      </c>
      <c r="L91" s="5" t="n">
        <v>4.3</v>
      </c>
      <c r="M91" s="5" t="n">
        <v>614596.32</v>
      </c>
      <c r="N91" s="5" t="n">
        <v>131199.41</v>
      </c>
    </row>
    <row r="92" customFormat="false" ht="15" hidden="false" customHeight="true" outlineLevel="0" collapsed="false">
      <c r="A92" s="5" t="s">
        <v>45</v>
      </c>
      <c r="B92" s="5" t="s">
        <v>109</v>
      </c>
      <c r="C92" s="5" t="s">
        <v>29</v>
      </c>
      <c r="D92" s="5" t="s">
        <v>20</v>
      </c>
      <c r="E92" s="5" t="n">
        <v>18996.32</v>
      </c>
      <c r="F92" s="5" t="n">
        <v>1260</v>
      </c>
      <c r="G92" s="5" t="n">
        <v>0.145</v>
      </c>
      <c r="H92" s="5" t="n">
        <v>9</v>
      </c>
      <c r="I92" s="5" t="n">
        <v>86.4</v>
      </c>
      <c r="J92" s="5" t="n">
        <v>4.31</v>
      </c>
      <c r="K92" s="5" t="n">
        <v>0</v>
      </c>
      <c r="L92" s="5" t="n">
        <v>4.6</v>
      </c>
      <c r="M92" s="5" t="n">
        <v>450711.92</v>
      </c>
      <c r="N92" s="5" t="n">
        <v>90043.76</v>
      </c>
    </row>
    <row r="93" customFormat="false" ht="15" hidden="false" customHeight="true" outlineLevel="0" collapsed="false">
      <c r="A93" s="5" t="s">
        <v>46</v>
      </c>
      <c r="B93" s="5" t="s">
        <v>106</v>
      </c>
      <c r="C93" s="5" t="s">
        <v>26</v>
      </c>
      <c r="D93" s="5" t="s">
        <v>30</v>
      </c>
      <c r="E93" s="5" t="n">
        <v>50517.94</v>
      </c>
      <c r="F93" s="5" t="n">
        <v>7024</v>
      </c>
      <c r="G93" s="5" t="n">
        <v>0.029</v>
      </c>
      <c r="H93" s="5" t="n">
        <v>18</v>
      </c>
      <c r="I93" s="5" t="n">
        <v>79.2</v>
      </c>
      <c r="J93" s="5" t="n">
        <v>6.61</v>
      </c>
      <c r="K93" s="5" t="n">
        <v>1</v>
      </c>
      <c r="L93" s="5" t="n">
        <v>4.1</v>
      </c>
      <c r="M93" s="5" t="n">
        <v>711213.46</v>
      </c>
      <c r="N93" s="5" t="n">
        <v>105863.26</v>
      </c>
    </row>
    <row r="94" customFormat="false" ht="15" hidden="false" customHeight="true" outlineLevel="0" collapsed="false">
      <c r="A94" s="5" t="s">
        <v>46</v>
      </c>
      <c r="B94" s="5" t="s">
        <v>107</v>
      </c>
      <c r="C94" s="5" t="s">
        <v>26</v>
      </c>
      <c r="D94" s="5" t="s">
        <v>30</v>
      </c>
      <c r="E94" s="5" t="n">
        <v>141540.29</v>
      </c>
      <c r="F94" s="5" t="n">
        <v>5400</v>
      </c>
      <c r="G94" s="5" t="n">
        <v>0.013</v>
      </c>
      <c r="H94" s="5" t="n">
        <v>12</v>
      </c>
      <c r="I94" s="5" t="n">
        <v>87</v>
      </c>
      <c r="J94" s="5" t="n">
        <v>4.26</v>
      </c>
      <c r="K94" s="5" t="n">
        <v>0</v>
      </c>
      <c r="L94" s="5" t="n">
        <v>4.5</v>
      </c>
      <c r="M94" s="5" t="n">
        <v>627171.9</v>
      </c>
      <c r="N94" s="5" t="n">
        <v>105772.75</v>
      </c>
    </row>
    <row r="95" customFormat="false" ht="15" hidden="false" customHeight="true" outlineLevel="0" collapsed="false">
      <c r="A95" s="5" t="s">
        <v>46</v>
      </c>
      <c r="B95" s="5" t="s">
        <v>108</v>
      </c>
      <c r="C95" s="5" t="s">
        <v>26</v>
      </c>
      <c r="D95" s="5" t="s">
        <v>30</v>
      </c>
      <c r="E95" s="5" t="n">
        <v>82116.19</v>
      </c>
      <c r="F95" s="5" t="n">
        <v>5988</v>
      </c>
      <c r="G95" s="5" t="n">
        <v>0.04</v>
      </c>
      <c r="H95" s="5" t="n">
        <v>17</v>
      </c>
      <c r="I95" s="5" t="n">
        <v>91.8</v>
      </c>
      <c r="J95" s="5" t="n">
        <v>5.75</v>
      </c>
      <c r="K95" s="5" t="n">
        <v>0</v>
      </c>
      <c r="L95" s="5" t="n">
        <v>4.7</v>
      </c>
      <c r="M95" s="5" t="n">
        <v>739852.58</v>
      </c>
      <c r="N95" s="5" t="n">
        <v>129386.43</v>
      </c>
    </row>
    <row r="96" customFormat="false" ht="15" hidden="false" customHeight="true" outlineLevel="0" collapsed="false">
      <c r="A96" s="5" t="s">
        <v>46</v>
      </c>
      <c r="B96" s="5" t="s">
        <v>109</v>
      </c>
      <c r="C96" s="5" t="s">
        <v>26</v>
      </c>
      <c r="D96" s="5" t="s">
        <v>30</v>
      </c>
      <c r="E96" s="5" t="n">
        <v>31207.51</v>
      </c>
      <c r="F96" s="5" t="n">
        <v>3701</v>
      </c>
      <c r="G96" s="5" t="n">
        <v>0.043</v>
      </c>
      <c r="H96" s="5" t="n">
        <v>11</v>
      </c>
      <c r="I96" s="5" t="n">
        <v>84.7</v>
      </c>
      <c r="J96" s="5" t="n">
        <v>0.33</v>
      </c>
      <c r="K96" s="5" t="n">
        <v>0</v>
      </c>
      <c r="L96" s="5" t="n">
        <v>4.3</v>
      </c>
      <c r="M96" s="5" t="n">
        <v>586307.22</v>
      </c>
      <c r="N96" s="5" t="n">
        <v>73927.85</v>
      </c>
    </row>
    <row r="97" customFormat="false" ht="15" hidden="false" customHeight="true" outlineLevel="0" collapsed="false">
      <c r="A97" s="5" t="s">
        <v>47</v>
      </c>
      <c r="B97" s="5" t="s">
        <v>106</v>
      </c>
      <c r="C97" s="5" t="s">
        <v>29</v>
      </c>
      <c r="D97" s="5" t="s">
        <v>18</v>
      </c>
      <c r="E97" s="5" t="n">
        <v>38966.59</v>
      </c>
      <c r="F97" s="5" t="n">
        <v>4509</v>
      </c>
      <c r="G97" s="5" t="n">
        <v>0.194</v>
      </c>
      <c r="H97" s="5" t="n">
        <v>14</v>
      </c>
      <c r="I97" s="5" t="n">
        <v>91.1</v>
      </c>
      <c r="J97" s="5" t="n">
        <v>2.92</v>
      </c>
      <c r="K97" s="5" t="n">
        <v>0</v>
      </c>
      <c r="L97" s="5" t="n">
        <v>4.6</v>
      </c>
      <c r="M97" s="5" t="n">
        <v>585937.48</v>
      </c>
      <c r="N97" s="5" t="n">
        <v>82624.2</v>
      </c>
    </row>
    <row r="98" customFormat="false" ht="15" hidden="false" customHeight="true" outlineLevel="0" collapsed="false">
      <c r="A98" s="5" t="s">
        <v>47</v>
      </c>
      <c r="B98" s="5" t="s">
        <v>107</v>
      </c>
      <c r="C98" s="5" t="s">
        <v>29</v>
      </c>
      <c r="D98" s="5" t="s">
        <v>18</v>
      </c>
      <c r="E98" s="5" t="n">
        <v>67439.3</v>
      </c>
      <c r="F98" s="5" t="n">
        <v>6477</v>
      </c>
      <c r="G98" s="5" t="n">
        <v>0</v>
      </c>
      <c r="H98" s="5" t="n">
        <v>16</v>
      </c>
      <c r="I98" s="5" t="n">
        <v>90.9</v>
      </c>
      <c r="J98" s="5" t="n">
        <v>1.64</v>
      </c>
      <c r="K98" s="5" t="n">
        <v>0</v>
      </c>
      <c r="L98" s="5" t="n">
        <v>4.5</v>
      </c>
      <c r="M98" s="5" t="n">
        <v>753473.55</v>
      </c>
      <c r="N98" s="5" t="n">
        <v>151527.22</v>
      </c>
    </row>
    <row r="99" customFormat="false" ht="15" hidden="false" customHeight="true" outlineLevel="0" collapsed="false">
      <c r="A99" s="5" t="s">
        <v>47</v>
      </c>
      <c r="B99" s="5" t="s">
        <v>108</v>
      </c>
      <c r="C99" s="5" t="s">
        <v>29</v>
      </c>
      <c r="D99" s="5" t="s">
        <v>18</v>
      </c>
      <c r="E99" s="5" t="n">
        <v>86421.88</v>
      </c>
      <c r="F99" s="5" t="n">
        <v>7970</v>
      </c>
      <c r="G99" s="5" t="n">
        <v>0.073</v>
      </c>
      <c r="H99" s="5" t="n">
        <v>17</v>
      </c>
      <c r="I99" s="5" t="n">
        <v>91.3</v>
      </c>
      <c r="J99" s="5" t="n">
        <v>0.8</v>
      </c>
      <c r="K99" s="5" t="n">
        <v>0</v>
      </c>
      <c r="L99" s="5" t="n">
        <v>5</v>
      </c>
      <c r="M99" s="5" t="n">
        <v>838250.32</v>
      </c>
      <c r="N99" s="5" t="n">
        <v>122939.34</v>
      </c>
    </row>
    <row r="100" customFormat="false" ht="15" hidden="false" customHeight="true" outlineLevel="0" collapsed="false">
      <c r="A100" s="5" t="s">
        <v>47</v>
      </c>
      <c r="B100" s="5" t="s">
        <v>109</v>
      </c>
      <c r="C100" s="5" t="s">
        <v>29</v>
      </c>
      <c r="D100" s="5" t="s">
        <v>18</v>
      </c>
      <c r="E100" s="5" t="n">
        <v>9534.65</v>
      </c>
      <c r="F100" s="5" t="n">
        <v>6057</v>
      </c>
      <c r="G100" s="5" t="n">
        <v>0.074</v>
      </c>
      <c r="H100" s="5" t="n">
        <v>15</v>
      </c>
      <c r="I100" s="5" t="n">
        <v>94.1</v>
      </c>
      <c r="J100" s="5" t="n">
        <v>5.79</v>
      </c>
      <c r="K100" s="5" t="n">
        <v>0</v>
      </c>
      <c r="L100" s="5" t="n">
        <v>4.5</v>
      </c>
      <c r="M100" s="5" t="n">
        <v>607898.12</v>
      </c>
      <c r="N100" s="5" t="n">
        <v>135404.85</v>
      </c>
    </row>
    <row r="101" customFormat="false" ht="15" hidden="false" customHeight="true" outlineLevel="0" collapsed="false">
      <c r="A101" s="5" t="s">
        <v>48</v>
      </c>
      <c r="B101" s="5" t="s">
        <v>106</v>
      </c>
      <c r="C101" s="5" t="s">
        <v>29</v>
      </c>
      <c r="D101" s="5" t="s">
        <v>30</v>
      </c>
      <c r="E101" s="5" t="n">
        <v>61132.07</v>
      </c>
      <c r="F101" s="5" t="n">
        <v>6394</v>
      </c>
      <c r="G101" s="5" t="n">
        <v>0.163</v>
      </c>
      <c r="H101" s="5" t="n">
        <v>19</v>
      </c>
      <c r="I101" s="5" t="n">
        <v>91</v>
      </c>
      <c r="J101" s="5" t="n">
        <v>19.6</v>
      </c>
      <c r="K101" s="5" t="n">
        <v>0</v>
      </c>
      <c r="L101" s="5" t="n">
        <v>4.4</v>
      </c>
      <c r="M101" s="5" t="n">
        <v>691113.62</v>
      </c>
      <c r="N101" s="5" t="n">
        <v>135145.44</v>
      </c>
    </row>
    <row r="102" customFormat="false" ht="15" hidden="false" customHeight="true" outlineLevel="0" collapsed="false">
      <c r="A102" s="5" t="s">
        <v>48</v>
      </c>
      <c r="B102" s="5" t="s">
        <v>107</v>
      </c>
      <c r="C102" s="5" t="s">
        <v>29</v>
      </c>
      <c r="D102" s="5" t="s">
        <v>30</v>
      </c>
      <c r="E102" s="5" t="n">
        <v>78839.39</v>
      </c>
      <c r="F102" s="5" t="n">
        <v>5150</v>
      </c>
      <c r="G102" s="5" t="n">
        <v>0.171</v>
      </c>
      <c r="H102" s="5" t="n">
        <v>13</v>
      </c>
      <c r="I102" s="5" t="n">
        <v>85.8</v>
      </c>
      <c r="J102" s="5" t="n">
        <v>7.57</v>
      </c>
      <c r="K102" s="5" t="n">
        <v>0</v>
      </c>
      <c r="L102" s="5" t="n">
        <v>4.3</v>
      </c>
      <c r="M102" s="5" t="n">
        <v>735509.4</v>
      </c>
      <c r="N102" s="5" t="n">
        <v>83895.96</v>
      </c>
    </row>
    <row r="103" customFormat="false" ht="15" hidden="false" customHeight="true" outlineLevel="0" collapsed="false">
      <c r="A103" s="5" t="s">
        <v>48</v>
      </c>
      <c r="B103" s="5" t="s">
        <v>108</v>
      </c>
      <c r="C103" s="5" t="s">
        <v>29</v>
      </c>
      <c r="D103" s="5" t="s">
        <v>30</v>
      </c>
      <c r="E103" s="5" t="n">
        <v>38752.8</v>
      </c>
      <c r="F103" s="5" t="n">
        <v>4712</v>
      </c>
      <c r="G103" s="5" t="n">
        <v>0.075</v>
      </c>
      <c r="H103" s="5" t="n">
        <v>15</v>
      </c>
      <c r="I103" s="5" t="n">
        <v>89.7</v>
      </c>
      <c r="J103" s="5" t="n">
        <v>3.365</v>
      </c>
      <c r="K103" s="5" t="n">
        <v>0</v>
      </c>
      <c r="L103" s="5" t="n">
        <v>4.3</v>
      </c>
      <c r="M103" s="5" t="n">
        <v>605775.33</v>
      </c>
      <c r="N103" s="5" t="n">
        <v>107194.6</v>
      </c>
    </row>
    <row r="104" customFormat="false" ht="15" hidden="false" customHeight="true" outlineLevel="0" collapsed="false">
      <c r="A104" s="5" t="s">
        <v>48</v>
      </c>
      <c r="B104" s="5" t="s">
        <v>109</v>
      </c>
      <c r="C104" s="5" t="s">
        <v>29</v>
      </c>
      <c r="D104" s="5" t="s">
        <v>30</v>
      </c>
      <c r="E104" s="5" t="n">
        <v>55101.1</v>
      </c>
      <c r="F104" s="5" t="n">
        <v>5281</v>
      </c>
      <c r="G104" s="5" t="n">
        <v>0.189</v>
      </c>
      <c r="H104" s="5" t="n">
        <v>11</v>
      </c>
      <c r="I104" s="5" t="n">
        <v>91</v>
      </c>
      <c r="J104" s="5" t="n">
        <v>2.7</v>
      </c>
      <c r="K104" s="5" t="n">
        <v>0</v>
      </c>
      <c r="L104" s="5" t="n">
        <v>4.4</v>
      </c>
      <c r="M104" s="5" t="n">
        <v>675177.68</v>
      </c>
      <c r="N104" s="5" t="n">
        <v>105628.68</v>
      </c>
    </row>
    <row r="105" customFormat="false" ht="15" hidden="false" customHeight="true" outlineLevel="0" collapsed="false">
      <c r="A105" s="5" t="s">
        <v>49</v>
      </c>
      <c r="B105" s="5" t="s">
        <v>106</v>
      </c>
      <c r="C105" s="5" t="s">
        <v>17</v>
      </c>
      <c r="D105" s="5" t="s">
        <v>30</v>
      </c>
      <c r="E105" s="5" t="n">
        <v>53084.76</v>
      </c>
      <c r="F105" s="5" t="n">
        <v>3642</v>
      </c>
      <c r="G105" s="5" t="n">
        <v>0.15</v>
      </c>
      <c r="H105" s="5" t="n">
        <v>12</v>
      </c>
      <c r="I105" s="5" t="n">
        <v>91.4</v>
      </c>
      <c r="J105" s="5" t="n">
        <v>0.2</v>
      </c>
      <c r="K105" s="5" t="n">
        <v>0</v>
      </c>
      <c r="L105" s="5" t="n">
        <v>4.4</v>
      </c>
      <c r="M105" s="5" t="n">
        <v>635181.35</v>
      </c>
      <c r="N105" s="5" t="n">
        <v>83341.25</v>
      </c>
    </row>
    <row r="106" customFormat="false" ht="15" hidden="false" customHeight="true" outlineLevel="0" collapsed="false">
      <c r="A106" s="5" t="s">
        <v>49</v>
      </c>
      <c r="B106" s="5" t="s">
        <v>107</v>
      </c>
      <c r="C106" s="5" t="s">
        <v>17</v>
      </c>
      <c r="D106" s="5" t="s">
        <v>30</v>
      </c>
      <c r="E106" s="5" t="n">
        <v>63101.59</v>
      </c>
      <c r="F106" s="5" t="n">
        <v>4373</v>
      </c>
      <c r="G106" s="5" t="n">
        <v>0.173</v>
      </c>
      <c r="H106" s="5" t="n">
        <v>14</v>
      </c>
      <c r="I106" s="5" t="n">
        <v>90.4</v>
      </c>
      <c r="J106" s="5" t="n">
        <v>7.87</v>
      </c>
      <c r="K106" s="5" t="n">
        <v>0</v>
      </c>
      <c r="L106" s="5" t="n">
        <v>4.7</v>
      </c>
      <c r="M106" s="5" t="n">
        <v>586626.94</v>
      </c>
      <c r="N106" s="5" t="n">
        <v>86498.55</v>
      </c>
    </row>
    <row r="107" customFormat="false" ht="15" hidden="false" customHeight="true" outlineLevel="0" collapsed="false">
      <c r="A107" s="5" t="s">
        <v>49</v>
      </c>
      <c r="B107" s="5" t="s">
        <v>108</v>
      </c>
      <c r="C107" s="5" t="s">
        <v>17</v>
      </c>
      <c r="D107" s="5" t="s">
        <v>30</v>
      </c>
      <c r="E107" s="5" t="n">
        <v>90084.4</v>
      </c>
      <c r="F107" s="5" t="n">
        <v>6832</v>
      </c>
      <c r="G107" s="5" t="n">
        <v>0.185</v>
      </c>
      <c r="H107" s="5" t="n">
        <v>14</v>
      </c>
      <c r="I107" s="5" t="n">
        <v>80.5</v>
      </c>
      <c r="J107" s="5" t="n">
        <v>0.77</v>
      </c>
      <c r="K107" s="5" t="n">
        <v>1</v>
      </c>
      <c r="L107" s="5" t="n">
        <v>4.4</v>
      </c>
      <c r="M107" s="5" t="n">
        <v>740102.64</v>
      </c>
      <c r="N107" s="5" t="n">
        <v>114299.07</v>
      </c>
    </row>
    <row r="108" customFormat="false" ht="15" hidden="false" customHeight="true" outlineLevel="0" collapsed="false">
      <c r="A108" s="5" t="s">
        <v>49</v>
      </c>
      <c r="B108" s="5" t="s">
        <v>109</v>
      </c>
      <c r="C108" s="5" t="s">
        <v>17</v>
      </c>
      <c r="D108" s="5" t="s">
        <v>30</v>
      </c>
      <c r="E108" s="5" t="n">
        <v>32266.64</v>
      </c>
      <c r="F108" s="5" t="n">
        <v>2414</v>
      </c>
      <c r="G108" s="5" t="n">
        <v>0.08</v>
      </c>
      <c r="H108" s="5" t="n">
        <v>7</v>
      </c>
      <c r="I108" s="5" t="n">
        <v>92.1</v>
      </c>
      <c r="J108" s="5" t="n">
        <v>1.48</v>
      </c>
      <c r="K108" s="5" t="n">
        <v>0</v>
      </c>
      <c r="L108" s="5" t="n">
        <v>5</v>
      </c>
      <c r="M108" s="5" t="n">
        <v>625514.04</v>
      </c>
      <c r="N108" s="5" t="n">
        <v>120685.08</v>
      </c>
    </row>
    <row r="109" customFormat="false" ht="15" hidden="false" customHeight="true" outlineLevel="0" collapsed="false">
      <c r="A109" s="5" t="s">
        <v>50</v>
      </c>
      <c r="B109" s="5" t="s">
        <v>106</v>
      </c>
      <c r="C109" s="5" t="s">
        <v>29</v>
      </c>
      <c r="D109" s="5" t="s">
        <v>20</v>
      </c>
      <c r="E109" s="5" t="n">
        <v>57919.07</v>
      </c>
      <c r="F109" s="5" t="n">
        <v>7374</v>
      </c>
      <c r="G109" s="5" t="n">
        <v>0.103</v>
      </c>
      <c r="H109" s="5" t="n">
        <v>21</v>
      </c>
      <c r="I109" s="5" t="n">
        <v>82.3</v>
      </c>
      <c r="J109" s="5" t="n">
        <v>2.87</v>
      </c>
      <c r="K109" s="5" t="n">
        <v>0</v>
      </c>
      <c r="L109" s="5" t="n">
        <v>2.9</v>
      </c>
      <c r="M109" s="5" t="n">
        <v>727227.2</v>
      </c>
      <c r="N109" s="5" t="n">
        <v>121292.01</v>
      </c>
    </row>
    <row r="110" customFormat="false" ht="15" hidden="false" customHeight="true" outlineLevel="0" collapsed="false">
      <c r="A110" s="5" t="s">
        <v>50</v>
      </c>
      <c r="B110" s="5" t="s">
        <v>107</v>
      </c>
      <c r="C110" s="5" t="s">
        <v>29</v>
      </c>
      <c r="D110" s="5" t="s">
        <v>20</v>
      </c>
      <c r="E110" s="5" t="n">
        <v>74679.35</v>
      </c>
      <c r="F110" s="5" t="n">
        <v>8739</v>
      </c>
      <c r="G110" s="5" t="n">
        <v>0.056</v>
      </c>
      <c r="H110" s="5" t="n">
        <v>21</v>
      </c>
      <c r="I110" s="5" t="n">
        <v>91.8</v>
      </c>
      <c r="J110" s="5" t="n">
        <v>2.83</v>
      </c>
      <c r="K110" s="5" t="n">
        <v>0</v>
      </c>
      <c r="L110" s="5" t="n">
        <v>3</v>
      </c>
      <c r="M110" s="5" t="n">
        <v>783797.89</v>
      </c>
      <c r="N110" s="5" t="n">
        <v>157620.7</v>
      </c>
    </row>
    <row r="111" customFormat="false" ht="15" hidden="false" customHeight="true" outlineLevel="0" collapsed="false">
      <c r="A111" s="5" t="s">
        <v>50</v>
      </c>
      <c r="B111" s="5" t="s">
        <v>108</v>
      </c>
      <c r="C111" s="5" t="s">
        <v>29</v>
      </c>
      <c r="D111" s="5" t="s">
        <v>20</v>
      </c>
      <c r="E111" s="5" t="n">
        <v>64294.23</v>
      </c>
      <c r="F111" s="5" t="n">
        <v>6992</v>
      </c>
      <c r="G111" s="5" t="n">
        <v>0.133</v>
      </c>
      <c r="H111" s="5" t="n">
        <v>14</v>
      </c>
      <c r="I111" s="5" t="n">
        <v>94.1</v>
      </c>
      <c r="J111" s="5" t="n">
        <v>0.25</v>
      </c>
      <c r="K111" s="5" t="n">
        <v>0</v>
      </c>
      <c r="L111" s="5" t="n">
        <v>3</v>
      </c>
      <c r="M111" s="5" t="n">
        <v>795153.84</v>
      </c>
      <c r="N111" s="5" t="n">
        <v>143194.21</v>
      </c>
    </row>
    <row r="112" customFormat="false" ht="15" hidden="false" customHeight="true" outlineLevel="0" collapsed="false">
      <c r="A112" s="5" t="s">
        <v>50</v>
      </c>
      <c r="B112" s="5" t="s">
        <v>109</v>
      </c>
      <c r="C112" s="5" t="s">
        <v>29</v>
      </c>
      <c r="D112" s="5" t="s">
        <v>20</v>
      </c>
      <c r="E112" s="5" t="n">
        <v>31042.03</v>
      </c>
      <c r="F112" s="5" t="n">
        <v>7107</v>
      </c>
      <c r="G112" s="5" t="n">
        <v>0.051</v>
      </c>
      <c r="H112" s="5" t="n">
        <v>15</v>
      </c>
      <c r="I112" s="5" t="n">
        <v>87</v>
      </c>
      <c r="J112" s="5" t="n">
        <v>13.33</v>
      </c>
      <c r="K112" s="5" t="n">
        <v>0</v>
      </c>
      <c r="L112" s="5" t="n">
        <v>3.2</v>
      </c>
      <c r="M112" s="5" t="n">
        <v>665594.94</v>
      </c>
      <c r="N112" s="5" t="n">
        <v>127597.34</v>
      </c>
    </row>
    <row r="113" customFormat="false" ht="15" hidden="false" customHeight="true" outlineLevel="0" collapsed="false">
      <c r="A113" s="5" t="s">
        <v>51</v>
      </c>
      <c r="B113" s="5" t="s">
        <v>106</v>
      </c>
      <c r="C113" s="5" t="s">
        <v>17</v>
      </c>
      <c r="D113" s="5" t="s">
        <v>30</v>
      </c>
      <c r="E113" s="5" t="n">
        <v>75265.02</v>
      </c>
      <c r="F113" s="5" t="n">
        <v>6975</v>
      </c>
      <c r="G113" s="5" t="n">
        <v>0.157</v>
      </c>
      <c r="H113" s="5" t="n">
        <v>20</v>
      </c>
      <c r="I113" s="5" t="n">
        <v>73.8</v>
      </c>
      <c r="J113" s="5" t="n">
        <v>6.35</v>
      </c>
      <c r="K113" s="5" t="n">
        <v>1</v>
      </c>
      <c r="L113" s="5" t="n">
        <v>3.8</v>
      </c>
      <c r="M113" s="5" t="n">
        <v>709478.39</v>
      </c>
      <c r="N113" s="5" t="n">
        <v>71294.27</v>
      </c>
    </row>
    <row r="114" customFormat="false" ht="15" hidden="false" customHeight="true" outlineLevel="0" collapsed="false">
      <c r="A114" s="5" t="s">
        <v>51</v>
      </c>
      <c r="B114" s="5" t="s">
        <v>107</v>
      </c>
      <c r="C114" s="5" t="s">
        <v>17</v>
      </c>
      <c r="D114" s="5" t="s">
        <v>30</v>
      </c>
      <c r="E114" s="5" t="n">
        <v>69411.7</v>
      </c>
      <c r="F114" s="5" t="n">
        <v>5493</v>
      </c>
      <c r="G114" s="5" t="n">
        <v>0.292</v>
      </c>
      <c r="H114" s="5" t="n">
        <v>13</v>
      </c>
      <c r="I114" s="5" t="n">
        <v>86.5</v>
      </c>
      <c r="J114" s="5" t="n">
        <v>6.69</v>
      </c>
      <c r="K114" s="5" t="n">
        <v>0</v>
      </c>
      <c r="L114" s="5" t="n">
        <v>3.8</v>
      </c>
      <c r="M114" s="5" t="n">
        <v>664162.49</v>
      </c>
      <c r="N114" s="5" t="n">
        <v>98291.06</v>
      </c>
    </row>
    <row r="115" customFormat="false" ht="15" hidden="false" customHeight="true" outlineLevel="0" collapsed="false">
      <c r="A115" s="5" t="s">
        <v>51</v>
      </c>
      <c r="B115" s="5" t="s">
        <v>108</v>
      </c>
      <c r="C115" s="5" t="s">
        <v>17</v>
      </c>
      <c r="D115" s="5" t="s">
        <v>30</v>
      </c>
      <c r="E115" s="5" t="n">
        <v>51056.15</v>
      </c>
      <c r="F115" s="5" t="n">
        <v>5686</v>
      </c>
      <c r="G115" s="5" t="n">
        <v>0.089</v>
      </c>
      <c r="H115" s="5" t="n">
        <v>13</v>
      </c>
      <c r="I115" s="5" t="n">
        <v>89.9</v>
      </c>
      <c r="J115" s="5" t="n">
        <v>1.28</v>
      </c>
      <c r="K115" s="5" t="n">
        <v>0</v>
      </c>
      <c r="L115" s="5" t="n">
        <v>4.2</v>
      </c>
      <c r="M115" s="5" t="n">
        <v>633494.21</v>
      </c>
      <c r="N115" s="5" t="n">
        <v>105739.47</v>
      </c>
    </row>
    <row r="116" customFormat="false" ht="15" hidden="false" customHeight="true" outlineLevel="0" collapsed="false">
      <c r="A116" s="5" t="s">
        <v>51</v>
      </c>
      <c r="B116" s="5" t="s">
        <v>109</v>
      </c>
      <c r="C116" s="5" t="s">
        <v>17</v>
      </c>
      <c r="D116" s="5" t="s">
        <v>30</v>
      </c>
      <c r="E116" s="5" t="n">
        <v>52758.01</v>
      </c>
      <c r="F116" s="5" t="n">
        <v>4063</v>
      </c>
      <c r="G116" s="5" t="n">
        <v>0.057</v>
      </c>
      <c r="H116" s="5" t="n">
        <v>12</v>
      </c>
      <c r="I116" s="5" t="n">
        <v>91.7</v>
      </c>
      <c r="J116" s="5" t="n">
        <v>0.92</v>
      </c>
      <c r="K116" s="5" t="n">
        <v>0</v>
      </c>
      <c r="L116" s="5" t="n">
        <v>3.5</v>
      </c>
      <c r="M116" s="5" t="n">
        <v>713611.16</v>
      </c>
      <c r="N116" s="5" t="n">
        <v>129717.18</v>
      </c>
    </row>
    <row r="117" customFormat="false" ht="15" hidden="false" customHeight="true" outlineLevel="0" collapsed="false">
      <c r="A117" s="5" t="s">
        <v>52</v>
      </c>
      <c r="B117" s="5" t="s">
        <v>106</v>
      </c>
      <c r="C117" s="5" t="s">
        <v>29</v>
      </c>
      <c r="D117" s="5" t="s">
        <v>30</v>
      </c>
      <c r="E117" s="5" t="n">
        <v>61426.04</v>
      </c>
      <c r="F117" s="5" t="n">
        <v>8966</v>
      </c>
      <c r="G117" s="5" t="n">
        <v>0.173</v>
      </c>
      <c r="H117" s="5" t="n">
        <v>22</v>
      </c>
      <c r="I117" s="5" t="n">
        <v>76.4</v>
      </c>
      <c r="J117" s="5" t="n">
        <v>1.05</v>
      </c>
      <c r="K117" s="5" t="n">
        <v>0</v>
      </c>
      <c r="L117" s="5" t="n">
        <v>3.1</v>
      </c>
      <c r="M117" s="5" t="n">
        <v>778397.97</v>
      </c>
      <c r="N117" s="5" t="n">
        <v>120044.41</v>
      </c>
    </row>
    <row r="118" customFormat="false" ht="15" hidden="false" customHeight="true" outlineLevel="0" collapsed="false">
      <c r="A118" s="5" t="s">
        <v>52</v>
      </c>
      <c r="B118" s="5" t="s">
        <v>107</v>
      </c>
      <c r="C118" s="5" t="s">
        <v>29</v>
      </c>
      <c r="D118" s="5" t="s">
        <v>30</v>
      </c>
      <c r="E118" s="5" t="n">
        <v>80176.34</v>
      </c>
      <c r="F118" s="5" t="n">
        <v>9489</v>
      </c>
      <c r="G118" s="5" t="n">
        <v>0.142</v>
      </c>
      <c r="H118" s="5" t="n">
        <v>22</v>
      </c>
      <c r="I118" s="5" t="n">
        <v>94.3</v>
      </c>
      <c r="J118" s="5" t="n">
        <v>2.67</v>
      </c>
      <c r="K118" s="5" t="n">
        <v>0</v>
      </c>
      <c r="L118" s="5" t="n">
        <v>3.5</v>
      </c>
      <c r="M118" s="5" t="n">
        <v>873380.02</v>
      </c>
      <c r="N118" s="5" t="n">
        <v>149734.76</v>
      </c>
    </row>
    <row r="119" customFormat="false" ht="15" hidden="false" customHeight="true" outlineLevel="0" collapsed="false">
      <c r="A119" s="5" t="s">
        <v>52</v>
      </c>
      <c r="B119" s="5" t="s">
        <v>108</v>
      </c>
      <c r="C119" s="5" t="s">
        <v>29</v>
      </c>
      <c r="D119" s="5" t="s">
        <v>30</v>
      </c>
      <c r="E119" s="5" t="n">
        <v>33605.18</v>
      </c>
      <c r="F119" s="5" t="n">
        <v>9225</v>
      </c>
      <c r="G119" s="5" t="n">
        <v>0.159</v>
      </c>
      <c r="H119" s="5" t="n">
        <v>23</v>
      </c>
      <c r="I119" s="5" t="n">
        <v>88.4</v>
      </c>
      <c r="J119" s="5" t="n">
        <v>5.91</v>
      </c>
      <c r="K119" s="5" t="n">
        <v>0</v>
      </c>
      <c r="L119" s="5" t="n">
        <v>2.8</v>
      </c>
      <c r="M119" s="5" t="n">
        <v>697287.9</v>
      </c>
      <c r="N119" s="5" t="n">
        <v>128208.33</v>
      </c>
    </row>
    <row r="120" customFormat="false" ht="15" hidden="false" customHeight="true" outlineLevel="0" collapsed="false">
      <c r="A120" s="5" t="s">
        <v>52</v>
      </c>
      <c r="B120" s="5" t="s">
        <v>109</v>
      </c>
      <c r="C120" s="5" t="s">
        <v>29</v>
      </c>
      <c r="D120" s="5" t="s">
        <v>30</v>
      </c>
      <c r="E120" s="5" t="n">
        <v>25990.54</v>
      </c>
      <c r="F120" s="5" t="n">
        <v>9249</v>
      </c>
      <c r="G120" s="5" t="n">
        <v>0.139</v>
      </c>
      <c r="H120" s="5" t="n">
        <v>23</v>
      </c>
      <c r="I120" s="5" t="n">
        <v>92.5</v>
      </c>
      <c r="J120" s="5" t="n">
        <v>6.37</v>
      </c>
      <c r="K120" s="5" t="n">
        <v>0</v>
      </c>
      <c r="L120" s="5" t="n">
        <v>3.3</v>
      </c>
      <c r="M120" s="5" t="n">
        <v>718074.79</v>
      </c>
      <c r="N120" s="5" t="n">
        <v>115819.87</v>
      </c>
    </row>
    <row r="121" customFormat="false" ht="15" hidden="false" customHeight="true" outlineLevel="0" collapsed="false">
      <c r="A121" s="5" t="s">
        <v>53</v>
      </c>
      <c r="B121" s="5" t="s">
        <v>106</v>
      </c>
      <c r="C121" s="5" t="s">
        <v>29</v>
      </c>
      <c r="D121" s="5" t="s">
        <v>18</v>
      </c>
      <c r="E121" s="5" t="n">
        <v>43685.14</v>
      </c>
      <c r="F121" s="5" t="n">
        <v>7821</v>
      </c>
      <c r="G121" s="5" t="n">
        <v>0.19</v>
      </c>
      <c r="H121" s="5" t="n">
        <v>17</v>
      </c>
      <c r="I121" s="5" t="n">
        <v>91</v>
      </c>
      <c r="J121" s="5" t="n">
        <v>2.49</v>
      </c>
      <c r="K121" s="5" t="n">
        <v>1</v>
      </c>
      <c r="L121" s="5" t="n">
        <v>4.7</v>
      </c>
      <c r="M121" s="5" t="n">
        <v>714942.43</v>
      </c>
      <c r="N121" s="5" t="n">
        <v>94697.71</v>
      </c>
    </row>
    <row r="122" customFormat="false" ht="15" hidden="false" customHeight="true" outlineLevel="0" collapsed="false">
      <c r="A122" s="5" t="s">
        <v>53</v>
      </c>
      <c r="B122" s="5" t="s">
        <v>107</v>
      </c>
      <c r="C122" s="5" t="s">
        <v>29</v>
      </c>
      <c r="D122" s="5" t="s">
        <v>18</v>
      </c>
      <c r="E122" s="5" t="n">
        <v>57360.01</v>
      </c>
      <c r="F122" s="5" t="n">
        <v>8434</v>
      </c>
      <c r="G122" s="5" t="n">
        <v>0.151</v>
      </c>
      <c r="H122" s="5" t="n">
        <v>19</v>
      </c>
      <c r="I122" s="5" t="n">
        <v>84.1</v>
      </c>
      <c r="J122" s="5" t="n">
        <v>1.56</v>
      </c>
      <c r="K122" s="5" t="n">
        <v>0</v>
      </c>
      <c r="L122" s="5" t="n">
        <v>4.7</v>
      </c>
      <c r="M122" s="5" t="n">
        <v>820519.04</v>
      </c>
      <c r="N122" s="5" t="n">
        <v>99035.88</v>
      </c>
    </row>
    <row r="123" customFormat="false" ht="15" hidden="false" customHeight="true" outlineLevel="0" collapsed="false">
      <c r="A123" s="5" t="s">
        <v>53</v>
      </c>
      <c r="B123" s="5" t="s">
        <v>108</v>
      </c>
      <c r="C123" s="5" t="s">
        <v>29</v>
      </c>
      <c r="D123" s="5" t="s">
        <v>18</v>
      </c>
      <c r="E123" s="5" t="n">
        <v>42415.47</v>
      </c>
      <c r="F123" s="5" t="n">
        <v>8512</v>
      </c>
      <c r="G123" s="5" t="n">
        <v>0.133</v>
      </c>
      <c r="H123" s="5" t="n">
        <v>18</v>
      </c>
      <c r="I123" s="5" t="n">
        <v>96.8</v>
      </c>
      <c r="J123" s="5" t="n">
        <v>14.95</v>
      </c>
      <c r="K123" s="5" t="n">
        <v>0</v>
      </c>
      <c r="L123" s="5" t="n">
        <v>4.6</v>
      </c>
      <c r="M123" s="5" t="n">
        <v>684217.32</v>
      </c>
      <c r="N123" s="5" t="n">
        <v>136217.19</v>
      </c>
    </row>
    <row r="124" customFormat="false" ht="15" hidden="false" customHeight="true" outlineLevel="0" collapsed="false">
      <c r="A124" s="5" t="s">
        <v>53</v>
      </c>
      <c r="B124" s="5" t="s">
        <v>109</v>
      </c>
      <c r="C124" s="5" t="s">
        <v>29</v>
      </c>
      <c r="D124" s="5" t="s">
        <v>18</v>
      </c>
      <c r="E124" s="5" t="n">
        <v>54968.98</v>
      </c>
      <c r="F124" s="5" t="n">
        <v>7816</v>
      </c>
      <c r="G124" s="5" t="n">
        <v>0.232</v>
      </c>
      <c r="H124" s="5" t="n">
        <v>19</v>
      </c>
      <c r="I124" s="5" t="n">
        <v>95.7</v>
      </c>
      <c r="J124" s="5" t="n">
        <v>7.85</v>
      </c>
      <c r="K124" s="5" t="n">
        <v>0</v>
      </c>
      <c r="L124" s="5" t="n">
        <v>4.7</v>
      </c>
      <c r="M124" s="5" t="n">
        <v>735480.19</v>
      </c>
      <c r="N124" s="5" t="n">
        <v>88342.11</v>
      </c>
    </row>
    <row r="125" customFormat="false" ht="15" hidden="false" customHeight="true" outlineLevel="0" collapsed="false">
      <c r="A125" s="5" t="s">
        <v>54</v>
      </c>
      <c r="B125" s="5" t="s">
        <v>106</v>
      </c>
      <c r="C125" s="5" t="s">
        <v>22</v>
      </c>
      <c r="D125" s="5" t="s">
        <v>20</v>
      </c>
      <c r="E125" s="5" t="n">
        <v>43896.13</v>
      </c>
      <c r="F125" s="5" t="n">
        <v>3853</v>
      </c>
      <c r="G125" s="5" t="n">
        <v>0.088</v>
      </c>
      <c r="H125" s="5" t="n">
        <v>13</v>
      </c>
      <c r="I125" s="5" t="n">
        <v>83</v>
      </c>
      <c r="J125" s="5" t="n">
        <v>6.8</v>
      </c>
      <c r="K125" s="5" t="n">
        <v>0</v>
      </c>
      <c r="L125" s="5" t="n">
        <v>4.4</v>
      </c>
      <c r="M125" s="5" t="n">
        <v>509484.81</v>
      </c>
      <c r="N125" s="5" t="n">
        <v>85742.36</v>
      </c>
    </row>
    <row r="126" customFormat="false" ht="15" hidden="false" customHeight="true" outlineLevel="0" collapsed="false">
      <c r="A126" s="5" t="s">
        <v>54</v>
      </c>
      <c r="B126" s="5" t="s">
        <v>107</v>
      </c>
      <c r="C126" s="5" t="s">
        <v>22</v>
      </c>
      <c r="D126" s="5" t="s">
        <v>20</v>
      </c>
      <c r="E126" s="5" t="n">
        <v>83044.17</v>
      </c>
      <c r="F126" s="5" t="n">
        <v>3694</v>
      </c>
      <c r="G126" s="5" t="n">
        <v>0</v>
      </c>
      <c r="H126" s="5" t="n">
        <v>14</v>
      </c>
      <c r="I126" s="5" t="n">
        <v>89.4</v>
      </c>
      <c r="J126" s="5" t="n">
        <v>2.2</v>
      </c>
      <c r="K126" s="5" t="n">
        <v>0</v>
      </c>
      <c r="L126" s="5" t="n">
        <v>3.7</v>
      </c>
      <c r="M126" s="5" t="n">
        <v>654317.09</v>
      </c>
      <c r="N126" s="5" t="n">
        <v>121446.89</v>
      </c>
    </row>
    <row r="127" customFormat="false" ht="15" hidden="false" customHeight="true" outlineLevel="0" collapsed="false">
      <c r="A127" s="5" t="s">
        <v>54</v>
      </c>
      <c r="B127" s="5" t="s">
        <v>108</v>
      </c>
      <c r="C127" s="5" t="s">
        <v>22</v>
      </c>
      <c r="D127" s="5" t="s">
        <v>20</v>
      </c>
      <c r="E127" s="5" t="n">
        <v>48396.13</v>
      </c>
      <c r="F127" s="5" t="n">
        <v>4423</v>
      </c>
      <c r="G127" s="5" t="n">
        <v>0.069</v>
      </c>
      <c r="H127" s="5" t="n">
        <v>15</v>
      </c>
      <c r="I127" s="5" t="n">
        <v>85.7</v>
      </c>
      <c r="J127" s="5" t="n">
        <v>1.88</v>
      </c>
      <c r="K127" s="5" t="n">
        <v>0</v>
      </c>
      <c r="L127" s="5" t="n">
        <v>3.9</v>
      </c>
      <c r="M127" s="5" t="n">
        <v>557487.26</v>
      </c>
      <c r="N127" s="5" t="n">
        <v>76432.19</v>
      </c>
    </row>
    <row r="128" customFormat="false" ht="15" hidden="false" customHeight="true" outlineLevel="0" collapsed="false">
      <c r="A128" s="5" t="s">
        <v>54</v>
      </c>
      <c r="B128" s="5" t="s">
        <v>109</v>
      </c>
      <c r="C128" s="5" t="s">
        <v>22</v>
      </c>
      <c r="D128" s="5" t="s">
        <v>20</v>
      </c>
      <c r="E128" s="5" t="n">
        <v>19063.48</v>
      </c>
      <c r="F128" s="5" t="n">
        <v>1906</v>
      </c>
      <c r="G128" s="5" t="n">
        <v>0.216</v>
      </c>
      <c r="H128" s="5" t="n">
        <v>10</v>
      </c>
      <c r="I128" s="5" t="n">
        <v>97.8</v>
      </c>
      <c r="J128" s="5" t="n">
        <v>15.79</v>
      </c>
      <c r="K128" s="5" t="n">
        <v>0</v>
      </c>
      <c r="L128" s="5" t="n">
        <v>4.4</v>
      </c>
      <c r="M128" s="5" t="n">
        <v>441275.42</v>
      </c>
      <c r="N128" s="5" t="n">
        <v>58234.87</v>
      </c>
    </row>
    <row r="129" customFormat="false" ht="15" hidden="false" customHeight="true" outlineLevel="0" collapsed="false">
      <c r="A129" s="5" t="s">
        <v>55</v>
      </c>
      <c r="B129" s="5" t="s">
        <v>106</v>
      </c>
      <c r="C129" s="5" t="s">
        <v>26</v>
      </c>
      <c r="D129" s="5" t="s">
        <v>20</v>
      </c>
      <c r="E129" s="5" t="n">
        <v>61541.21</v>
      </c>
      <c r="F129" s="5" t="n">
        <v>10396</v>
      </c>
      <c r="G129" s="5" t="n">
        <v>0.123</v>
      </c>
      <c r="H129" s="5" t="n">
        <v>25</v>
      </c>
      <c r="I129" s="5" t="n">
        <v>88.1</v>
      </c>
      <c r="J129" s="5" t="n">
        <v>2.34</v>
      </c>
      <c r="K129" s="5" t="n">
        <v>1</v>
      </c>
      <c r="L129" s="5" t="n">
        <v>4.8</v>
      </c>
      <c r="M129" s="5" t="n">
        <v>914544.17</v>
      </c>
      <c r="N129" s="5" t="n">
        <v>79831.73</v>
      </c>
    </row>
    <row r="130" customFormat="false" ht="15" hidden="false" customHeight="true" outlineLevel="0" collapsed="false">
      <c r="A130" s="5" t="s">
        <v>55</v>
      </c>
      <c r="B130" s="5" t="s">
        <v>107</v>
      </c>
      <c r="C130" s="5" t="s">
        <v>26</v>
      </c>
      <c r="D130" s="5" t="s">
        <v>20</v>
      </c>
      <c r="E130" s="5" t="n">
        <v>44747</v>
      </c>
      <c r="F130" s="5" t="n">
        <v>11076</v>
      </c>
      <c r="G130" s="5" t="n">
        <v>0.176</v>
      </c>
      <c r="H130" s="5" t="n">
        <v>27</v>
      </c>
      <c r="I130" s="5" t="n">
        <v>98.3</v>
      </c>
      <c r="J130" s="5" t="n">
        <v>0.54</v>
      </c>
      <c r="K130" s="5" t="n">
        <v>0</v>
      </c>
      <c r="L130" s="5" t="n">
        <v>4.4</v>
      </c>
      <c r="M130" s="5" t="n">
        <v>842439.67</v>
      </c>
      <c r="N130" s="5" t="n">
        <v>169983.63</v>
      </c>
    </row>
    <row r="131" customFormat="false" ht="15" hidden="false" customHeight="true" outlineLevel="0" collapsed="false">
      <c r="A131" s="5" t="s">
        <v>55</v>
      </c>
      <c r="B131" s="5" t="s">
        <v>108</v>
      </c>
      <c r="C131" s="5" t="s">
        <v>26</v>
      </c>
      <c r="D131" s="5" t="s">
        <v>20</v>
      </c>
      <c r="E131" s="5" t="n">
        <v>56517.9</v>
      </c>
      <c r="F131" s="5" t="n">
        <v>9574</v>
      </c>
      <c r="G131" s="5" t="n">
        <v>0.204</v>
      </c>
      <c r="H131" s="5" t="n">
        <v>20</v>
      </c>
      <c r="I131" s="5" t="n">
        <v>88.2</v>
      </c>
      <c r="J131" s="5" t="n">
        <v>5.37</v>
      </c>
      <c r="K131" s="5" t="n">
        <v>1</v>
      </c>
      <c r="L131" s="5" t="n">
        <v>4.9</v>
      </c>
      <c r="M131" s="5" t="n">
        <v>842157.92</v>
      </c>
      <c r="N131" s="5" t="n">
        <v>107348.22</v>
      </c>
    </row>
    <row r="132" customFormat="false" ht="15" hidden="false" customHeight="true" outlineLevel="0" collapsed="false">
      <c r="A132" s="5" t="s">
        <v>55</v>
      </c>
      <c r="B132" s="5" t="s">
        <v>109</v>
      </c>
      <c r="C132" s="5" t="s">
        <v>26</v>
      </c>
      <c r="D132" s="5" t="s">
        <v>20</v>
      </c>
      <c r="E132" s="5" t="n">
        <v>37828.5</v>
      </c>
      <c r="F132" s="5" t="n">
        <v>8221</v>
      </c>
      <c r="G132" s="5" t="n">
        <v>0.096</v>
      </c>
      <c r="H132" s="5" t="n">
        <v>19</v>
      </c>
      <c r="I132" s="5" t="n">
        <v>81.5</v>
      </c>
      <c r="J132" s="5" t="n">
        <v>3.19</v>
      </c>
      <c r="K132" s="5" t="n">
        <v>0</v>
      </c>
      <c r="L132" s="5" t="n">
        <v>4.8</v>
      </c>
      <c r="M132" s="5" t="n">
        <v>697155.3</v>
      </c>
      <c r="N132" s="5" t="n">
        <v>136408.54</v>
      </c>
    </row>
    <row r="133" customFormat="false" ht="15" hidden="false" customHeight="true" outlineLevel="0" collapsed="false">
      <c r="A133" s="5" t="s">
        <v>56</v>
      </c>
      <c r="B133" s="5" t="s">
        <v>106</v>
      </c>
      <c r="C133" s="5" t="s">
        <v>17</v>
      </c>
      <c r="D133" s="5" t="s">
        <v>20</v>
      </c>
      <c r="E133" s="5" t="n">
        <v>66250.53</v>
      </c>
      <c r="F133" s="5" t="n">
        <v>10618</v>
      </c>
      <c r="G133" s="5" t="n">
        <v>0.142</v>
      </c>
      <c r="H133" s="5" t="n">
        <v>27</v>
      </c>
      <c r="I133" s="5" t="n">
        <v>88.3</v>
      </c>
      <c r="J133" s="5" t="n">
        <v>1.1</v>
      </c>
      <c r="K133" s="5" t="n">
        <v>1</v>
      </c>
      <c r="L133" s="5" t="n">
        <v>4.4</v>
      </c>
      <c r="M133" s="5" t="n">
        <v>849018.3</v>
      </c>
      <c r="N133" s="5" t="n">
        <v>149035.13</v>
      </c>
    </row>
    <row r="134" customFormat="false" ht="15" hidden="false" customHeight="true" outlineLevel="0" collapsed="false">
      <c r="A134" s="5" t="s">
        <v>56</v>
      </c>
      <c r="B134" s="5" t="s">
        <v>107</v>
      </c>
      <c r="C134" s="5" t="s">
        <v>17</v>
      </c>
      <c r="D134" s="5" t="s">
        <v>20</v>
      </c>
      <c r="E134" s="5" t="n">
        <v>68410.93</v>
      </c>
      <c r="F134" s="5" t="n">
        <v>10596</v>
      </c>
      <c r="G134" s="5" t="n">
        <v>0.207</v>
      </c>
      <c r="H134" s="5" t="n">
        <v>25</v>
      </c>
      <c r="I134" s="5" t="n">
        <v>81.2</v>
      </c>
      <c r="J134" s="5" t="n">
        <v>0.21</v>
      </c>
      <c r="K134" s="5" t="n">
        <v>0</v>
      </c>
      <c r="L134" s="5" t="n">
        <v>4</v>
      </c>
      <c r="M134" s="5" t="n">
        <v>801830.35</v>
      </c>
      <c r="N134" s="5" t="n">
        <v>114875.32</v>
      </c>
    </row>
    <row r="135" customFormat="false" ht="15" hidden="false" customHeight="true" outlineLevel="0" collapsed="false">
      <c r="A135" s="5" t="s">
        <v>56</v>
      </c>
      <c r="B135" s="5" t="s">
        <v>108</v>
      </c>
      <c r="C135" s="5" t="s">
        <v>17</v>
      </c>
      <c r="D135" s="5" t="s">
        <v>20</v>
      </c>
      <c r="E135" s="5" t="n">
        <v>50735.63</v>
      </c>
      <c r="F135" s="5" t="n">
        <v>9619</v>
      </c>
      <c r="G135" s="5" t="n">
        <v>0.144</v>
      </c>
      <c r="H135" s="5" t="n">
        <v>19</v>
      </c>
      <c r="I135" s="5" t="n">
        <v>93.8</v>
      </c>
      <c r="J135" s="5" t="n">
        <v>5.12</v>
      </c>
      <c r="K135" s="5" t="n">
        <v>1</v>
      </c>
      <c r="L135" s="5" t="n">
        <v>4.5</v>
      </c>
      <c r="M135" s="5" t="n">
        <v>725235.28</v>
      </c>
      <c r="N135" s="5" t="n">
        <v>121632.24</v>
      </c>
    </row>
    <row r="136" customFormat="false" ht="15" hidden="false" customHeight="true" outlineLevel="0" collapsed="false">
      <c r="A136" s="5" t="s">
        <v>56</v>
      </c>
      <c r="B136" s="5" t="s">
        <v>109</v>
      </c>
      <c r="C136" s="5" t="s">
        <v>17</v>
      </c>
      <c r="D136" s="5" t="s">
        <v>20</v>
      </c>
      <c r="E136" s="5" t="n">
        <v>66455.8</v>
      </c>
      <c r="F136" s="5" t="n">
        <v>10836</v>
      </c>
      <c r="G136" s="5" t="n">
        <v>0.089</v>
      </c>
      <c r="H136" s="5" t="n">
        <v>25</v>
      </c>
      <c r="I136" s="5" t="n">
        <v>85</v>
      </c>
      <c r="J136" s="5" t="n">
        <v>9.77</v>
      </c>
      <c r="K136" s="5" t="n">
        <v>0</v>
      </c>
      <c r="L136" s="5" t="n">
        <v>4.5</v>
      </c>
      <c r="M136" s="5" t="n">
        <v>811452.72</v>
      </c>
      <c r="N136" s="5" t="n">
        <v>131325.67</v>
      </c>
    </row>
    <row r="137" customFormat="false" ht="15" hidden="false" customHeight="true" outlineLevel="0" collapsed="false">
      <c r="A137" s="5" t="s">
        <v>57</v>
      </c>
      <c r="B137" s="5" t="s">
        <v>106</v>
      </c>
      <c r="C137" s="5" t="s">
        <v>22</v>
      </c>
      <c r="D137" s="5" t="s">
        <v>20</v>
      </c>
      <c r="E137" s="5" t="n">
        <v>70276.28</v>
      </c>
      <c r="F137" s="5" t="n">
        <v>3043</v>
      </c>
      <c r="G137" s="5" t="n">
        <v>0.079</v>
      </c>
      <c r="H137" s="5" t="n">
        <v>9</v>
      </c>
      <c r="I137" s="5" t="n">
        <v>87.9</v>
      </c>
      <c r="J137" s="5" t="n">
        <v>3.77</v>
      </c>
      <c r="K137" s="5" t="n">
        <v>0</v>
      </c>
      <c r="L137" s="5" t="n">
        <v>4.4</v>
      </c>
      <c r="M137" s="5" t="n">
        <v>527300.13</v>
      </c>
      <c r="N137" s="5" t="n">
        <v>84197.87</v>
      </c>
    </row>
    <row r="138" customFormat="false" ht="15" hidden="false" customHeight="true" outlineLevel="0" collapsed="false">
      <c r="A138" s="5" t="s">
        <v>57</v>
      </c>
      <c r="B138" s="5" t="s">
        <v>107</v>
      </c>
      <c r="C138" s="5" t="s">
        <v>22</v>
      </c>
      <c r="D138" s="5" t="s">
        <v>20</v>
      </c>
      <c r="E138" s="5" t="n">
        <v>22071.64</v>
      </c>
      <c r="F138" s="5" t="n">
        <v>1814</v>
      </c>
      <c r="G138" s="5" t="n">
        <v>0.196</v>
      </c>
      <c r="H138" s="5" t="n">
        <v>8</v>
      </c>
      <c r="I138" s="5" t="n">
        <v>81.1</v>
      </c>
      <c r="J138" s="5" t="n">
        <v>0.78</v>
      </c>
      <c r="K138" s="5" t="n">
        <v>0</v>
      </c>
      <c r="L138" s="5" t="n">
        <v>3.9</v>
      </c>
      <c r="M138" s="5" t="n">
        <v>400831.65</v>
      </c>
      <c r="N138" s="5" t="n">
        <v>70979.31</v>
      </c>
    </row>
    <row r="139" customFormat="false" ht="15" hidden="false" customHeight="true" outlineLevel="0" collapsed="false">
      <c r="A139" s="5" t="s">
        <v>57</v>
      </c>
      <c r="B139" s="5" t="s">
        <v>108</v>
      </c>
      <c r="C139" s="5" t="s">
        <v>22</v>
      </c>
      <c r="D139" s="5" t="s">
        <v>20</v>
      </c>
      <c r="E139" s="5" t="n">
        <v>52285.45</v>
      </c>
      <c r="F139" s="5" t="n">
        <v>3618</v>
      </c>
      <c r="G139" s="5" t="n">
        <v>0.086</v>
      </c>
      <c r="H139" s="5" t="n">
        <v>11</v>
      </c>
      <c r="I139" s="5" t="n">
        <v>95.6</v>
      </c>
      <c r="J139" s="5" t="n">
        <v>5.17</v>
      </c>
      <c r="K139" s="5" t="n">
        <v>1</v>
      </c>
      <c r="L139" s="5" t="n">
        <v>4.4</v>
      </c>
      <c r="M139" s="5" t="n">
        <v>593247.25</v>
      </c>
      <c r="N139" s="5" t="n">
        <v>81240.29</v>
      </c>
    </row>
    <row r="140" customFormat="false" ht="15" hidden="false" customHeight="true" outlineLevel="0" collapsed="false">
      <c r="A140" s="5" t="s">
        <v>57</v>
      </c>
      <c r="B140" s="5" t="s">
        <v>109</v>
      </c>
      <c r="C140" s="5" t="s">
        <v>22</v>
      </c>
      <c r="D140" s="5" t="s">
        <v>20</v>
      </c>
      <c r="E140" s="5" t="n">
        <v>70366.76</v>
      </c>
      <c r="F140" s="5" t="n">
        <v>1963</v>
      </c>
      <c r="G140" s="5" t="n">
        <v>0.182</v>
      </c>
      <c r="H140" s="5" t="n">
        <v>8</v>
      </c>
      <c r="I140" s="5" t="n">
        <v>89.8</v>
      </c>
      <c r="J140" s="5" t="n">
        <v>3.2</v>
      </c>
      <c r="K140" s="5" t="n">
        <v>0</v>
      </c>
      <c r="L140" s="5" t="n">
        <v>4.6</v>
      </c>
      <c r="M140" s="5" t="n">
        <v>529075.95</v>
      </c>
      <c r="N140" s="5" t="n">
        <v>95978.83</v>
      </c>
    </row>
    <row r="141" customFormat="false" ht="15" hidden="false" customHeight="true" outlineLevel="0" collapsed="false">
      <c r="A141" s="5" t="s">
        <v>58</v>
      </c>
      <c r="B141" s="5" t="s">
        <v>106</v>
      </c>
      <c r="C141" s="5" t="s">
        <v>26</v>
      </c>
      <c r="D141" s="5" t="s">
        <v>18</v>
      </c>
      <c r="E141" s="5" t="n">
        <v>71320.66</v>
      </c>
      <c r="F141" s="5" t="n">
        <v>7888</v>
      </c>
      <c r="G141" s="5" t="n">
        <v>0.048</v>
      </c>
      <c r="H141" s="5" t="n">
        <v>20</v>
      </c>
      <c r="I141" s="5" t="n">
        <v>78.1</v>
      </c>
      <c r="J141" s="5" t="n">
        <v>3.4</v>
      </c>
      <c r="K141" s="5" t="n">
        <v>0</v>
      </c>
      <c r="L141" s="5" t="n">
        <v>3.9</v>
      </c>
      <c r="M141" s="5" t="n">
        <v>633638.03</v>
      </c>
      <c r="N141" s="5" t="n">
        <v>99402.01</v>
      </c>
    </row>
    <row r="142" customFormat="false" ht="15" hidden="false" customHeight="true" outlineLevel="0" collapsed="false">
      <c r="A142" s="5" t="s">
        <v>58</v>
      </c>
      <c r="B142" s="5" t="s">
        <v>107</v>
      </c>
      <c r="C142" s="5" t="s">
        <v>26</v>
      </c>
      <c r="D142" s="5" t="s">
        <v>18</v>
      </c>
      <c r="E142" s="5" t="n">
        <v>75109.67</v>
      </c>
      <c r="F142" s="5" t="n">
        <v>6244</v>
      </c>
      <c r="G142" s="5" t="n">
        <v>0.079</v>
      </c>
      <c r="H142" s="5" t="n">
        <v>15</v>
      </c>
      <c r="I142" s="5" t="n">
        <v>96.3</v>
      </c>
      <c r="J142" s="5" t="n">
        <v>7.38</v>
      </c>
      <c r="K142" s="5" t="n">
        <v>0</v>
      </c>
      <c r="L142" s="5" t="n">
        <v>3.7</v>
      </c>
      <c r="M142" s="5" t="n">
        <v>743348.84</v>
      </c>
      <c r="N142" s="5" t="n">
        <v>104186.09</v>
      </c>
    </row>
    <row r="143" customFormat="false" ht="15" hidden="false" customHeight="true" outlineLevel="0" collapsed="false">
      <c r="A143" s="5" t="s">
        <v>58</v>
      </c>
      <c r="B143" s="5" t="s">
        <v>108</v>
      </c>
      <c r="C143" s="5" t="s">
        <v>26</v>
      </c>
      <c r="D143" s="5" t="s">
        <v>18</v>
      </c>
      <c r="E143" s="5" t="n">
        <v>69779</v>
      </c>
      <c r="F143" s="5" t="n">
        <v>6544</v>
      </c>
      <c r="G143" s="5" t="n">
        <v>0.152</v>
      </c>
      <c r="H143" s="5" t="n">
        <v>18</v>
      </c>
      <c r="I143" s="5" t="n">
        <v>90.2</v>
      </c>
      <c r="J143" s="5" t="n">
        <v>0.85</v>
      </c>
      <c r="K143" s="5" t="n">
        <v>1</v>
      </c>
      <c r="L143" s="5" t="n">
        <v>3.3</v>
      </c>
      <c r="M143" s="5" t="n">
        <v>758827.64</v>
      </c>
      <c r="N143" s="5" t="n">
        <v>161439.48</v>
      </c>
    </row>
    <row r="144" customFormat="false" ht="15" hidden="false" customHeight="true" outlineLevel="0" collapsed="false">
      <c r="A144" s="5" t="s">
        <v>58</v>
      </c>
      <c r="B144" s="5" t="s">
        <v>109</v>
      </c>
      <c r="C144" s="5" t="s">
        <v>26</v>
      </c>
      <c r="D144" s="5" t="s">
        <v>18</v>
      </c>
      <c r="E144" s="5" t="n">
        <v>44211.95</v>
      </c>
      <c r="F144" s="5" t="n">
        <v>5465</v>
      </c>
      <c r="G144" s="5" t="n">
        <v>0.187</v>
      </c>
      <c r="H144" s="5" t="n">
        <v>12</v>
      </c>
      <c r="I144" s="5" t="n">
        <v>90</v>
      </c>
      <c r="J144" s="5" t="n">
        <v>2.89</v>
      </c>
      <c r="K144" s="5" t="n">
        <v>0</v>
      </c>
      <c r="L144" s="5" t="n">
        <v>3.6</v>
      </c>
      <c r="M144" s="5" t="n">
        <v>646559.71</v>
      </c>
      <c r="N144" s="5" t="n">
        <v>97981.75</v>
      </c>
    </row>
    <row r="145" customFormat="false" ht="15" hidden="false" customHeight="true" outlineLevel="0" collapsed="false">
      <c r="A145" s="5" t="s">
        <v>59</v>
      </c>
      <c r="B145" s="5" t="s">
        <v>106</v>
      </c>
      <c r="C145" s="5" t="s">
        <v>29</v>
      </c>
      <c r="D145" s="5" t="s">
        <v>20</v>
      </c>
      <c r="E145" s="5" t="n">
        <v>51430.31</v>
      </c>
      <c r="F145" s="5" t="n">
        <v>6427</v>
      </c>
      <c r="G145" s="5" t="n">
        <v>0.234</v>
      </c>
      <c r="H145" s="5" t="n">
        <v>14</v>
      </c>
      <c r="I145" s="5" t="n">
        <v>88.8</v>
      </c>
      <c r="J145" s="5" t="n">
        <v>0.77</v>
      </c>
      <c r="K145" s="5" t="n">
        <v>0</v>
      </c>
      <c r="L145" s="5" t="n">
        <v>4.1</v>
      </c>
      <c r="M145" s="5" t="n">
        <v>715890.53</v>
      </c>
      <c r="N145" s="5" t="n">
        <v>109032.15</v>
      </c>
    </row>
    <row r="146" customFormat="false" ht="15" hidden="false" customHeight="true" outlineLevel="0" collapsed="false">
      <c r="A146" s="5" t="s">
        <v>59</v>
      </c>
      <c r="B146" s="5" t="s">
        <v>107</v>
      </c>
      <c r="C146" s="5" t="s">
        <v>29</v>
      </c>
      <c r="D146" s="5" t="s">
        <v>20</v>
      </c>
      <c r="E146" s="5" t="n">
        <v>45706.49</v>
      </c>
      <c r="F146" s="5" t="n">
        <v>6704</v>
      </c>
      <c r="G146" s="5" t="n">
        <v>0.038</v>
      </c>
      <c r="H146" s="5" t="n">
        <v>15</v>
      </c>
      <c r="I146" s="5" t="n">
        <v>94.2</v>
      </c>
      <c r="J146" s="5" t="n">
        <v>2.92</v>
      </c>
      <c r="K146" s="5" t="n">
        <v>0</v>
      </c>
      <c r="L146" s="5" t="n">
        <v>4.2</v>
      </c>
      <c r="M146" s="5" t="n">
        <v>715097.57</v>
      </c>
      <c r="N146" s="5" t="n">
        <v>151875.86</v>
      </c>
    </row>
    <row r="147" customFormat="false" ht="15" hidden="false" customHeight="true" outlineLevel="0" collapsed="false">
      <c r="A147" s="5" t="s">
        <v>59</v>
      </c>
      <c r="B147" s="5" t="s">
        <v>108</v>
      </c>
      <c r="C147" s="5" t="s">
        <v>29</v>
      </c>
      <c r="D147" s="5" t="s">
        <v>20</v>
      </c>
      <c r="E147" s="5" t="n">
        <v>44034.6</v>
      </c>
      <c r="F147" s="5" t="n">
        <v>5645</v>
      </c>
      <c r="G147" s="5" t="n">
        <v>0.069</v>
      </c>
      <c r="H147" s="5" t="n">
        <v>18</v>
      </c>
      <c r="I147" s="5" t="n">
        <v>88.5</v>
      </c>
      <c r="J147" s="5" t="n">
        <v>3.07</v>
      </c>
      <c r="K147" s="5" t="n">
        <v>0</v>
      </c>
      <c r="L147" s="5" t="n">
        <v>3.8</v>
      </c>
      <c r="M147" s="5" t="n">
        <v>682639.28</v>
      </c>
      <c r="N147" s="5" t="n">
        <v>77557.53</v>
      </c>
    </row>
    <row r="148" customFormat="false" ht="15" hidden="false" customHeight="true" outlineLevel="0" collapsed="false">
      <c r="A148" s="5" t="s">
        <v>59</v>
      </c>
      <c r="B148" s="5" t="s">
        <v>109</v>
      </c>
      <c r="C148" s="5" t="s">
        <v>29</v>
      </c>
      <c r="D148" s="5" t="s">
        <v>20</v>
      </c>
      <c r="E148" s="5" t="n">
        <v>50198.12</v>
      </c>
      <c r="F148" s="5" t="n">
        <v>6089</v>
      </c>
      <c r="G148" s="5" t="n">
        <v>0.182</v>
      </c>
      <c r="H148" s="5" t="n">
        <v>19</v>
      </c>
      <c r="I148" s="5" t="n">
        <v>94</v>
      </c>
      <c r="J148" s="5" t="n">
        <v>9.7</v>
      </c>
      <c r="K148" s="5" t="n">
        <v>0</v>
      </c>
      <c r="L148" s="5" t="n">
        <v>3.9</v>
      </c>
      <c r="M148" s="5" t="n">
        <v>695098.51</v>
      </c>
      <c r="N148" s="5" t="n">
        <v>108192.75</v>
      </c>
    </row>
    <row r="149" customFormat="false" ht="15" hidden="false" customHeight="true" outlineLevel="0" collapsed="false">
      <c r="A149" s="5" t="s">
        <v>60</v>
      </c>
      <c r="B149" s="5" t="s">
        <v>106</v>
      </c>
      <c r="C149" s="5" t="s">
        <v>22</v>
      </c>
      <c r="D149" s="5" t="s">
        <v>18</v>
      </c>
      <c r="E149" s="5" t="n">
        <v>70488.2</v>
      </c>
      <c r="F149" s="5" t="n">
        <v>4312</v>
      </c>
      <c r="G149" s="5" t="n">
        <v>0.169</v>
      </c>
      <c r="H149" s="5" t="n">
        <v>12</v>
      </c>
      <c r="I149" s="5" t="n">
        <v>90.2</v>
      </c>
      <c r="J149" s="5" t="n">
        <v>3.71</v>
      </c>
      <c r="K149" s="5" t="n">
        <v>0</v>
      </c>
      <c r="L149" s="5" t="n">
        <v>3.2</v>
      </c>
      <c r="M149" s="5" t="n">
        <v>577732.57</v>
      </c>
      <c r="N149" s="5" t="n">
        <v>93804.27</v>
      </c>
    </row>
    <row r="150" customFormat="false" ht="15" hidden="false" customHeight="true" outlineLevel="0" collapsed="false">
      <c r="A150" s="5" t="s">
        <v>60</v>
      </c>
      <c r="B150" s="5" t="s">
        <v>107</v>
      </c>
      <c r="C150" s="5" t="s">
        <v>22</v>
      </c>
      <c r="D150" s="5" t="s">
        <v>18</v>
      </c>
      <c r="E150" s="5" t="n">
        <v>50909.27</v>
      </c>
      <c r="F150" s="5" t="n">
        <v>3152</v>
      </c>
      <c r="G150" s="5" t="n">
        <v>0.06</v>
      </c>
      <c r="H150" s="5" t="n">
        <v>13</v>
      </c>
      <c r="I150" s="5" t="n">
        <v>93.7</v>
      </c>
      <c r="J150" s="5" t="n">
        <v>10.79</v>
      </c>
      <c r="K150" s="5" t="n">
        <v>0</v>
      </c>
      <c r="L150" s="5" t="n">
        <v>3.5</v>
      </c>
      <c r="M150" s="5" t="n">
        <v>537058.33</v>
      </c>
      <c r="N150" s="5" t="n">
        <v>93555.71</v>
      </c>
    </row>
    <row r="151" customFormat="false" ht="15" hidden="false" customHeight="true" outlineLevel="0" collapsed="false">
      <c r="A151" s="5" t="s">
        <v>60</v>
      </c>
      <c r="B151" s="5" t="s">
        <v>108</v>
      </c>
      <c r="C151" s="5" t="s">
        <v>22</v>
      </c>
      <c r="D151" s="5" t="s">
        <v>18</v>
      </c>
      <c r="E151" s="5" t="n">
        <v>53351.7</v>
      </c>
      <c r="F151" s="5" t="n">
        <v>4259</v>
      </c>
      <c r="G151" s="5" t="n">
        <v>0.156</v>
      </c>
      <c r="H151" s="5" t="n">
        <v>15</v>
      </c>
      <c r="I151" s="5" t="n">
        <v>93.7</v>
      </c>
      <c r="J151" s="5" t="n">
        <v>6.03</v>
      </c>
      <c r="K151" s="5" t="n">
        <v>0</v>
      </c>
      <c r="L151" s="5" t="n">
        <v>3.4</v>
      </c>
      <c r="M151" s="5" t="n">
        <v>601568.87</v>
      </c>
      <c r="N151" s="5" t="n">
        <v>91634.82</v>
      </c>
    </row>
    <row r="152" customFormat="false" ht="15" hidden="false" customHeight="true" outlineLevel="0" collapsed="false">
      <c r="A152" s="5" t="s">
        <v>60</v>
      </c>
      <c r="B152" s="5" t="s">
        <v>109</v>
      </c>
      <c r="C152" s="5" t="s">
        <v>22</v>
      </c>
      <c r="D152" s="5" t="s">
        <v>18</v>
      </c>
      <c r="E152" s="5" t="n">
        <v>60322.4</v>
      </c>
      <c r="F152" s="5" t="n">
        <v>3350</v>
      </c>
      <c r="G152" s="5" t="n">
        <v>0.108</v>
      </c>
      <c r="H152" s="5" t="n">
        <v>12</v>
      </c>
      <c r="I152" s="5" t="n">
        <v>89.4</v>
      </c>
      <c r="J152" s="5" t="n">
        <v>4.92</v>
      </c>
      <c r="K152" s="5" t="n">
        <v>0</v>
      </c>
      <c r="L152" s="5" t="n">
        <v>3.4</v>
      </c>
      <c r="M152" s="5" t="n">
        <v>570964.84</v>
      </c>
      <c r="N152" s="5" t="n">
        <v>81331.07</v>
      </c>
    </row>
    <row r="153" customFormat="false" ht="15" hidden="false" customHeight="true" outlineLevel="0" collapsed="false">
      <c r="A153" s="5" t="s">
        <v>61</v>
      </c>
      <c r="B153" s="5" t="s">
        <v>106</v>
      </c>
      <c r="C153" s="5" t="s">
        <v>26</v>
      </c>
      <c r="D153" s="5" t="s">
        <v>30</v>
      </c>
      <c r="E153" s="5" t="n">
        <v>51575.68</v>
      </c>
      <c r="F153" s="5" t="n">
        <v>5329</v>
      </c>
      <c r="G153" s="5" t="n">
        <v>0.047</v>
      </c>
      <c r="H153" s="5" t="n">
        <v>17</v>
      </c>
      <c r="I153" s="5" t="n">
        <v>88.1</v>
      </c>
      <c r="J153" s="5" t="n">
        <v>19.78</v>
      </c>
      <c r="K153" s="5" t="n">
        <v>0</v>
      </c>
      <c r="L153" s="5" t="n">
        <v>3.8</v>
      </c>
      <c r="M153" s="5" t="n">
        <v>614024.91</v>
      </c>
      <c r="N153" s="5" t="n">
        <v>84828.93</v>
      </c>
    </row>
    <row r="154" customFormat="false" ht="15" hidden="false" customHeight="true" outlineLevel="0" collapsed="false">
      <c r="A154" s="5" t="s">
        <v>61</v>
      </c>
      <c r="B154" s="5" t="s">
        <v>107</v>
      </c>
      <c r="C154" s="5" t="s">
        <v>26</v>
      </c>
      <c r="D154" s="5" t="s">
        <v>30</v>
      </c>
      <c r="E154" s="5" t="n">
        <v>43319.94</v>
      </c>
      <c r="F154" s="5" t="n">
        <v>6551</v>
      </c>
      <c r="G154" s="5" t="n">
        <v>0.044</v>
      </c>
      <c r="H154" s="5" t="n">
        <v>13</v>
      </c>
      <c r="I154" s="5" t="n">
        <v>99</v>
      </c>
      <c r="J154" s="5" t="n">
        <v>5.45</v>
      </c>
      <c r="K154" s="5" t="n">
        <v>0</v>
      </c>
      <c r="L154" s="5" t="n">
        <v>4.1</v>
      </c>
      <c r="M154" s="5" t="n">
        <v>712868.35</v>
      </c>
      <c r="N154" s="5" t="n">
        <v>133650.51</v>
      </c>
    </row>
    <row r="155" customFormat="false" ht="15" hidden="false" customHeight="true" outlineLevel="0" collapsed="false">
      <c r="A155" s="5" t="s">
        <v>61</v>
      </c>
      <c r="B155" s="5" t="s">
        <v>108</v>
      </c>
      <c r="C155" s="5" t="s">
        <v>26</v>
      </c>
      <c r="D155" s="5" t="s">
        <v>30</v>
      </c>
      <c r="E155" s="5" t="n">
        <v>47093.55</v>
      </c>
      <c r="F155" s="5" t="n">
        <v>5550</v>
      </c>
      <c r="G155" s="5" t="n">
        <v>0.1</v>
      </c>
      <c r="H155" s="5" t="n">
        <v>12</v>
      </c>
      <c r="I155" s="5" t="n">
        <v>95</v>
      </c>
      <c r="J155" s="5" t="n">
        <v>2.33</v>
      </c>
      <c r="K155" s="5" t="n">
        <v>1</v>
      </c>
      <c r="L155" s="5" t="n">
        <v>3.7</v>
      </c>
      <c r="M155" s="5" t="n">
        <v>696744.15</v>
      </c>
      <c r="N155" s="5" t="n">
        <v>152230.09</v>
      </c>
    </row>
    <row r="156" customFormat="false" ht="15" hidden="false" customHeight="true" outlineLevel="0" collapsed="false">
      <c r="A156" s="5" t="s">
        <v>61</v>
      </c>
      <c r="B156" s="5" t="s">
        <v>109</v>
      </c>
      <c r="C156" s="5" t="s">
        <v>26</v>
      </c>
      <c r="D156" s="5" t="s">
        <v>30</v>
      </c>
      <c r="E156" s="5" t="n">
        <v>71855.09</v>
      </c>
      <c r="F156" s="5" t="n">
        <v>5911</v>
      </c>
      <c r="G156" s="5" t="n">
        <v>0.197</v>
      </c>
      <c r="H156" s="5" t="n">
        <v>15</v>
      </c>
      <c r="I156" s="5" t="n">
        <v>94.3</v>
      </c>
      <c r="J156" s="5" t="n">
        <v>3.55</v>
      </c>
      <c r="K156" s="5" t="n">
        <v>0</v>
      </c>
      <c r="L156" s="5" t="n">
        <v>4.1</v>
      </c>
      <c r="M156" s="5" t="n">
        <v>725847.99</v>
      </c>
      <c r="N156" s="5" t="n">
        <v>122698.73</v>
      </c>
    </row>
    <row r="157" customFormat="false" ht="15" hidden="false" customHeight="true" outlineLevel="0" collapsed="false">
      <c r="A157" s="5" t="s">
        <v>62</v>
      </c>
      <c r="B157" s="5" t="s">
        <v>106</v>
      </c>
      <c r="C157" s="5" t="s">
        <v>17</v>
      </c>
      <c r="D157" s="5" t="s">
        <v>20</v>
      </c>
      <c r="E157" s="5" t="n">
        <v>75645.23</v>
      </c>
      <c r="F157" s="5" t="n">
        <v>9674</v>
      </c>
      <c r="G157" s="5" t="n">
        <v>0.234</v>
      </c>
      <c r="H157" s="5" t="n">
        <v>21</v>
      </c>
      <c r="I157" s="5" t="n">
        <v>87.4</v>
      </c>
      <c r="J157" s="5" t="n">
        <v>0.2</v>
      </c>
      <c r="K157" s="5" t="n">
        <v>0</v>
      </c>
      <c r="L157" s="5" t="n">
        <v>4.5</v>
      </c>
      <c r="M157" s="5" t="n">
        <v>785028.25</v>
      </c>
      <c r="N157" s="5" t="n">
        <v>110726.44</v>
      </c>
    </row>
    <row r="158" customFormat="false" ht="15" hidden="false" customHeight="true" outlineLevel="0" collapsed="false">
      <c r="A158" s="5" t="s">
        <v>62</v>
      </c>
      <c r="B158" s="5" t="s">
        <v>107</v>
      </c>
      <c r="C158" s="5" t="s">
        <v>17</v>
      </c>
      <c r="D158" s="5" t="s">
        <v>20</v>
      </c>
      <c r="E158" s="5" t="n">
        <v>64374.75</v>
      </c>
      <c r="F158" s="5" t="n">
        <v>6740</v>
      </c>
      <c r="G158" s="5" t="n">
        <v>0.169</v>
      </c>
      <c r="H158" s="5" t="n">
        <v>18</v>
      </c>
      <c r="I158" s="5" t="n">
        <v>87</v>
      </c>
      <c r="J158" s="5" t="n">
        <v>2.09</v>
      </c>
      <c r="K158" s="5" t="n">
        <v>0</v>
      </c>
      <c r="L158" s="5" t="n">
        <v>4.2</v>
      </c>
      <c r="M158" s="5" t="n">
        <v>698492.67</v>
      </c>
      <c r="N158" s="5" t="n">
        <v>117319.32</v>
      </c>
    </row>
    <row r="159" customFormat="false" ht="15" hidden="false" customHeight="true" outlineLevel="0" collapsed="false">
      <c r="A159" s="5" t="s">
        <v>62</v>
      </c>
      <c r="B159" s="5" t="s">
        <v>108</v>
      </c>
      <c r="C159" s="5" t="s">
        <v>17</v>
      </c>
      <c r="D159" s="5" t="s">
        <v>20</v>
      </c>
      <c r="E159" s="5" t="n">
        <v>61433.84</v>
      </c>
      <c r="F159" s="5" t="n">
        <v>7745</v>
      </c>
      <c r="G159" s="5" t="n">
        <v>0.18</v>
      </c>
      <c r="H159" s="5" t="n">
        <v>16</v>
      </c>
      <c r="I159" s="5" t="n">
        <v>90.5</v>
      </c>
      <c r="J159" s="5" t="n">
        <v>2.26</v>
      </c>
      <c r="K159" s="5" t="n">
        <v>0</v>
      </c>
      <c r="L159" s="5" t="n">
        <v>4.2</v>
      </c>
      <c r="M159" s="5" t="n">
        <v>685830.24</v>
      </c>
      <c r="N159" s="5" t="n">
        <v>128736.18</v>
      </c>
    </row>
    <row r="160" customFormat="false" ht="15" hidden="false" customHeight="true" outlineLevel="0" collapsed="false">
      <c r="A160" s="5" t="s">
        <v>62</v>
      </c>
      <c r="B160" s="5" t="s">
        <v>109</v>
      </c>
      <c r="C160" s="5" t="s">
        <v>17</v>
      </c>
      <c r="D160" s="5" t="s">
        <v>20</v>
      </c>
      <c r="E160" s="5" t="n">
        <v>42698.14</v>
      </c>
      <c r="F160" s="5" t="n">
        <v>7693</v>
      </c>
      <c r="G160" s="5" t="n">
        <v>0.187</v>
      </c>
      <c r="H160" s="5" t="n">
        <v>19</v>
      </c>
      <c r="I160" s="5" t="n">
        <v>90.1</v>
      </c>
      <c r="J160" s="5" t="n">
        <v>0.44</v>
      </c>
      <c r="K160" s="5" t="n">
        <v>0</v>
      </c>
      <c r="L160" s="5" t="n">
        <v>4.4</v>
      </c>
      <c r="M160" s="5" t="n">
        <v>702318.94</v>
      </c>
      <c r="N160" s="5" t="n">
        <v>112829.29</v>
      </c>
    </row>
    <row r="161" customFormat="false" ht="15" hidden="false" customHeight="true" outlineLevel="0" collapsed="false">
      <c r="A161" s="5" t="s">
        <v>63</v>
      </c>
      <c r="B161" s="5" t="s">
        <v>106</v>
      </c>
      <c r="C161" s="5" t="s">
        <v>22</v>
      </c>
      <c r="D161" s="5" t="s">
        <v>30</v>
      </c>
      <c r="E161" s="5" t="n">
        <v>86883.31</v>
      </c>
      <c r="F161" s="5" t="n">
        <v>6424</v>
      </c>
      <c r="G161" s="5" t="n">
        <v>0.057</v>
      </c>
      <c r="H161" s="5" t="n">
        <v>19</v>
      </c>
      <c r="I161" s="5" t="n">
        <v>85.2</v>
      </c>
      <c r="J161" s="5" t="n">
        <v>3.08</v>
      </c>
      <c r="K161" s="5" t="n">
        <v>0</v>
      </c>
      <c r="L161" s="5" t="n">
        <v>3.9</v>
      </c>
      <c r="M161" s="5" t="n">
        <v>700078.32</v>
      </c>
      <c r="N161" s="5" t="n">
        <v>123707.58</v>
      </c>
    </row>
    <row r="162" customFormat="false" ht="15" hidden="false" customHeight="true" outlineLevel="0" collapsed="false">
      <c r="A162" s="5" t="s">
        <v>63</v>
      </c>
      <c r="B162" s="5" t="s">
        <v>107</v>
      </c>
      <c r="C162" s="5" t="s">
        <v>22</v>
      </c>
      <c r="D162" s="5" t="s">
        <v>30</v>
      </c>
      <c r="E162" s="5" t="n">
        <v>41863.08</v>
      </c>
      <c r="F162" s="5" t="n">
        <v>5400</v>
      </c>
      <c r="G162" s="5" t="n">
        <v>0.114</v>
      </c>
      <c r="H162" s="5" t="n">
        <v>11</v>
      </c>
      <c r="I162" s="5" t="n">
        <v>91.6</v>
      </c>
      <c r="J162" s="5" t="n">
        <v>7.99</v>
      </c>
      <c r="K162" s="5" t="n">
        <v>0</v>
      </c>
      <c r="L162" s="5" t="n">
        <v>3</v>
      </c>
      <c r="M162" s="5" t="n">
        <v>602002.32</v>
      </c>
      <c r="N162" s="5" t="n">
        <v>110453.28</v>
      </c>
    </row>
    <row r="163" customFormat="false" ht="15" hidden="false" customHeight="true" outlineLevel="0" collapsed="false">
      <c r="A163" s="5" t="s">
        <v>63</v>
      </c>
      <c r="B163" s="5" t="s">
        <v>108</v>
      </c>
      <c r="C163" s="5" t="s">
        <v>22</v>
      </c>
      <c r="D163" s="5" t="s">
        <v>30</v>
      </c>
      <c r="E163" s="5" t="n">
        <v>56918.16</v>
      </c>
      <c r="F163" s="5" t="n">
        <v>7015</v>
      </c>
      <c r="G163" s="5" t="n">
        <v>0.158</v>
      </c>
      <c r="H163" s="5" t="n">
        <v>18</v>
      </c>
      <c r="I163" s="5" t="n">
        <v>74.2</v>
      </c>
      <c r="J163" s="5" t="n">
        <v>0.2</v>
      </c>
      <c r="K163" s="5" t="n">
        <v>0</v>
      </c>
      <c r="L163" s="5" t="n">
        <v>3.4</v>
      </c>
      <c r="M163" s="5" t="n">
        <v>724216.07</v>
      </c>
      <c r="N163" s="5" t="n">
        <v>100627.56</v>
      </c>
    </row>
    <row r="164" customFormat="false" ht="15" hidden="false" customHeight="true" outlineLevel="0" collapsed="false">
      <c r="A164" s="5" t="s">
        <v>63</v>
      </c>
      <c r="B164" s="5" t="s">
        <v>109</v>
      </c>
      <c r="C164" s="5" t="s">
        <v>22</v>
      </c>
      <c r="D164" s="5" t="s">
        <v>30</v>
      </c>
      <c r="E164" s="5" t="n">
        <v>23254.57</v>
      </c>
      <c r="F164" s="5" t="n">
        <v>3847</v>
      </c>
      <c r="G164" s="5" t="n">
        <v>0.159</v>
      </c>
      <c r="H164" s="5" t="n">
        <v>12</v>
      </c>
      <c r="I164" s="5" t="n">
        <v>93</v>
      </c>
      <c r="J164" s="5" t="n">
        <v>5.46</v>
      </c>
      <c r="K164" s="5" t="n">
        <v>0</v>
      </c>
      <c r="L164" s="5" t="n">
        <v>3.3</v>
      </c>
      <c r="M164" s="5" t="n">
        <v>620973.03</v>
      </c>
      <c r="N164" s="5" t="n">
        <v>72303.85</v>
      </c>
    </row>
    <row r="165" customFormat="false" ht="15" hidden="false" customHeight="true" outlineLevel="0" collapsed="false">
      <c r="A165" s="5" t="s">
        <v>64</v>
      </c>
      <c r="B165" s="5" t="s">
        <v>106</v>
      </c>
      <c r="C165" s="5" t="s">
        <v>26</v>
      </c>
      <c r="D165" s="5" t="s">
        <v>20</v>
      </c>
      <c r="E165" s="5" t="n">
        <v>41443.41</v>
      </c>
      <c r="F165" s="5" t="n">
        <v>7455</v>
      </c>
      <c r="G165" s="5" t="n">
        <v>0.175</v>
      </c>
      <c r="H165" s="5" t="n">
        <v>16</v>
      </c>
      <c r="I165" s="5" t="n">
        <v>90.1</v>
      </c>
      <c r="J165" s="5" t="n">
        <v>4.05</v>
      </c>
      <c r="K165" s="5" t="n">
        <v>0</v>
      </c>
      <c r="L165" s="5" t="n">
        <v>4</v>
      </c>
      <c r="M165" s="5" t="n">
        <v>650480.06</v>
      </c>
      <c r="N165" s="5" t="n">
        <v>109012.07</v>
      </c>
    </row>
    <row r="166" customFormat="false" ht="15" hidden="false" customHeight="true" outlineLevel="0" collapsed="false">
      <c r="A166" s="5" t="s">
        <v>64</v>
      </c>
      <c r="B166" s="5" t="s">
        <v>107</v>
      </c>
      <c r="C166" s="5" t="s">
        <v>26</v>
      </c>
      <c r="D166" s="5" t="s">
        <v>20</v>
      </c>
      <c r="E166" s="5" t="n">
        <v>48438.85</v>
      </c>
      <c r="F166" s="5" t="n">
        <v>6992</v>
      </c>
      <c r="G166" s="5" t="n">
        <v>0.034</v>
      </c>
      <c r="H166" s="5" t="n">
        <v>20</v>
      </c>
      <c r="I166" s="5" t="n">
        <v>91</v>
      </c>
      <c r="J166" s="5" t="n">
        <v>4.36</v>
      </c>
      <c r="K166" s="5" t="n">
        <v>0</v>
      </c>
      <c r="L166" s="5" t="n">
        <v>4.2</v>
      </c>
      <c r="M166" s="5" t="n">
        <v>778298.88</v>
      </c>
      <c r="N166" s="5" t="n">
        <v>130076.72</v>
      </c>
    </row>
    <row r="167" customFormat="false" ht="15" hidden="false" customHeight="true" outlineLevel="0" collapsed="false">
      <c r="A167" s="5" t="s">
        <v>64</v>
      </c>
      <c r="B167" s="5" t="s">
        <v>108</v>
      </c>
      <c r="C167" s="5" t="s">
        <v>26</v>
      </c>
      <c r="D167" s="5" t="s">
        <v>20</v>
      </c>
      <c r="E167" s="5" t="n">
        <v>57143.3</v>
      </c>
      <c r="F167" s="5" t="n">
        <v>8038</v>
      </c>
      <c r="G167" s="5" t="n">
        <v>0.193</v>
      </c>
      <c r="H167" s="5" t="n">
        <v>17</v>
      </c>
      <c r="I167" s="5" t="n">
        <v>72.6</v>
      </c>
      <c r="J167" s="5" t="n">
        <v>3.365</v>
      </c>
      <c r="K167" s="5" t="n">
        <v>0</v>
      </c>
      <c r="L167" s="5" t="n">
        <v>4.2</v>
      </c>
      <c r="M167" s="5" t="n">
        <v>677096.71</v>
      </c>
      <c r="N167" s="5" t="n">
        <v>97174.11</v>
      </c>
    </row>
    <row r="168" customFormat="false" ht="15" hidden="false" customHeight="true" outlineLevel="0" collapsed="false">
      <c r="A168" s="5" t="s">
        <v>64</v>
      </c>
      <c r="B168" s="5" t="s">
        <v>109</v>
      </c>
      <c r="C168" s="5" t="s">
        <v>26</v>
      </c>
      <c r="D168" s="5" t="s">
        <v>20</v>
      </c>
      <c r="E168" s="5" t="n">
        <v>66870.62</v>
      </c>
      <c r="F168" s="5" t="n">
        <v>6055</v>
      </c>
      <c r="G168" s="5" t="n">
        <v>0.075</v>
      </c>
      <c r="H168" s="5" t="n">
        <v>19</v>
      </c>
      <c r="I168" s="5" t="n">
        <v>93.8</v>
      </c>
      <c r="J168" s="5" t="n">
        <v>0.54</v>
      </c>
      <c r="K168" s="5" t="n">
        <v>0</v>
      </c>
      <c r="L168" s="5" t="n">
        <v>4.3</v>
      </c>
      <c r="M168" s="5" t="n">
        <v>692008.64</v>
      </c>
      <c r="N168" s="5" t="n">
        <v>116337.87</v>
      </c>
    </row>
    <row r="169" customFormat="false" ht="15" hidden="false" customHeight="true" outlineLevel="0" collapsed="false">
      <c r="A169" s="5" t="s">
        <v>65</v>
      </c>
      <c r="B169" s="5" t="s">
        <v>106</v>
      </c>
      <c r="C169" s="5" t="s">
        <v>22</v>
      </c>
      <c r="D169" s="5" t="s">
        <v>30</v>
      </c>
      <c r="E169" s="5" t="n">
        <v>72150.53</v>
      </c>
      <c r="F169" s="5" t="n">
        <v>9323</v>
      </c>
      <c r="G169" s="5" t="n">
        <v>0.157</v>
      </c>
      <c r="H169" s="5" t="n">
        <v>22</v>
      </c>
      <c r="I169" s="5" t="n">
        <v>82.9</v>
      </c>
      <c r="J169" s="5" t="n">
        <v>11.37</v>
      </c>
      <c r="K169" s="5" t="n">
        <v>1</v>
      </c>
      <c r="L169" s="5" t="n">
        <v>4.3</v>
      </c>
      <c r="M169" s="5" t="n">
        <v>825797.91</v>
      </c>
      <c r="N169" s="5" t="n">
        <v>130945.24</v>
      </c>
    </row>
    <row r="170" customFormat="false" ht="15" hidden="false" customHeight="true" outlineLevel="0" collapsed="false">
      <c r="A170" s="5" t="s">
        <v>65</v>
      </c>
      <c r="B170" s="5" t="s">
        <v>107</v>
      </c>
      <c r="C170" s="5" t="s">
        <v>22</v>
      </c>
      <c r="D170" s="5" t="s">
        <v>30</v>
      </c>
      <c r="E170" s="5" t="n">
        <v>35303.3</v>
      </c>
      <c r="F170" s="5" t="n">
        <v>8789</v>
      </c>
      <c r="G170" s="5" t="n">
        <v>0.123</v>
      </c>
      <c r="H170" s="5" t="n">
        <v>22</v>
      </c>
      <c r="I170" s="5" t="n">
        <v>86.1</v>
      </c>
      <c r="J170" s="5" t="n">
        <v>9.43</v>
      </c>
      <c r="K170" s="5" t="n">
        <v>0</v>
      </c>
      <c r="L170" s="5" t="n">
        <v>4.2</v>
      </c>
      <c r="M170" s="5" t="n">
        <v>706285.52</v>
      </c>
      <c r="N170" s="5" t="n">
        <v>138014.72</v>
      </c>
    </row>
    <row r="171" customFormat="false" ht="15" hidden="false" customHeight="true" outlineLevel="0" collapsed="false">
      <c r="A171" s="5" t="s">
        <v>65</v>
      </c>
      <c r="B171" s="5" t="s">
        <v>108</v>
      </c>
      <c r="C171" s="5" t="s">
        <v>22</v>
      </c>
      <c r="D171" s="5" t="s">
        <v>30</v>
      </c>
      <c r="E171" s="5" t="n">
        <v>30301.86</v>
      </c>
      <c r="F171" s="5" t="n">
        <v>6939</v>
      </c>
      <c r="G171" s="5" t="n">
        <v>0.09</v>
      </c>
      <c r="H171" s="5" t="n">
        <v>16</v>
      </c>
      <c r="I171" s="5" t="n">
        <v>90.3</v>
      </c>
      <c r="J171" s="5" t="n">
        <v>3.49</v>
      </c>
      <c r="K171" s="5" t="n">
        <v>0</v>
      </c>
      <c r="L171" s="5" t="n">
        <v>4</v>
      </c>
      <c r="M171" s="5" t="n">
        <v>665534.7</v>
      </c>
      <c r="N171" s="5" t="n">
        <v>113167.73</v>
      </c>
    </row>
    <row r="172" customFormat="false" ht="15" hidden="false" customHeight="true" outlineLevel="0" collapsed="false">
      <c r="A172" s="5" t="s">
        <v>65</v>
      </c>
      <c r="B172" s="5" t="s">
        <v>109</v>
      </c>
      <c r="C172" s="5" t="s">
        <v>22</v>
      </c>
      <c r="D172" s="5" t="s">
        <v>30</v>
      </c>
      <c r="E172" s="5" t="n">
        <v>78432.14</v>
      </c>
      <c r="F172" s="5" t="n">
        <v>9440</v>
      </c>
      <c r="G172" s="5" t="n">
        <v>0.126</v>
      </c>
      <c r="H172" s="5" t="n">
        <v>23</v>
      </c>
      <c r="I172" s="5" t="n">
        <v>89.2</v>
      </c>
      <c r="J172" s="5" t="n">
        <v>7.86</v>
      </c>
      <c r="K172" s="5" t="n">
        <v>0</v>
      </c>
      <c r="L172" s="5" t="n">
        <v>4.1</v>
      </c>
      <c r="M172" s="5" t="n">
        <v>820729.29</v>
      </c>
      <c r="N172" s="5" t="n">
        <v>159325.47</v>
      </c>
    </row>
    <row r="173" customFormat="false" ht="15" hidden="false" customHeight="true" outlineLevel="0" collapsed="false">
      <c r="A173" s="5" t="s">
        <v>66</v>
      </c>
      <c r="B173" s="5" t="s">
        <v>106</v>
      </c>
      <c r="C173" s="5" t="s">
        <v>17</v>
      </c>
      <c r="D173" s="5" t="s">
        <v>18</v>
      </c>
      <c r="E173" s="5" t="n">
        <v>62059.18</v>
      </c>
      <c r="F173" s="5" t="n">
        <v>9374</v>
      </c>
      <c r="G173" s="5" t="n">
        <v>0.136</v>
      </c>
      <c r="H173" s="5" t="n">
        <v>25</v>
      </c>
      <c r="I173" s="5" t="n">
        <v>87.1</v>
      </c>
      <c r="J173" s="5" t="n">
        <v>12.55</v>
      </c>
      <c r="K173" s="5" t="n">
        <v>0</v>
      </c>
      <c r="L173" s="5" t="n">
        <v>4.9</v>
      </c>
      <c r="M173" s="5" t="n">
        <v>739831.73</v>
      </c>
      <c r="N173" s="5" t="n">
        <v>119490.21</v>
      </c>
    </row>
    <row r="174" customFormat="false" ht="15" hidden="false" customHeight="true" outlineLevel="0" collapsed="false">
      <c r="A174" s="5" t="s">
        <v>66</v>
      </c>
      <c r="B174" s="5" t="s">
        <v>107</v>
      </c>
      <c r="C174" s="5" t="s">
        <v>17</v>
      </c>
      <c r="D174" s="5" t="s">
        <v>18</v>
      </c>
      <c r="E174" s="5" t="n">
        <v>32834.48</v>
      </c>
      <c r="F174" s="5" t="n">
        <v>7576</v>
      </c>
      <c r="G174" s="5" t="n">
        <v>0.099</v>
      </c>
      <c r="H174" s="5" t="n">
        <v>15</v>
      </c>
      <c r="I174" s="5" t="n">
        <v>84.1</v>
      </c>
      <c r="J174" s="5" t="n">
        <v>3.48</v>
      </c>
      <c r="K174" s="5" t="n">
        <v>0</v>
      </c>
      <c r="L174" s="5" t="n">
        <v>5</v>
      </c>
      <c r="M174" s="5" t="n">
        <v>593637.14</v>
      </c>
      <c r="N174" s="5" t="n">
        <v>106648.14</v>
      </c>
    </row>
    <row r="175" customFormat="false" ht="15" hidden="false" customHeight="true" outlineLevel="0" collapsed="false">
      <c r="A175" s="5" t="s">
        <v>66</v>
      </c>
      <c r="B175" s="5" t="s">
        <v>108</v>
      </c>
      <c r="C175" s="5" t="s">
        <v>17</v>
      </c>
      <c r="D175" s="5" t="s">
        <v>18</v>
      </c>
      <c r="E175" s="5" t="n">
        <v>50825.08</v>
      </c>
      <c r="F175" s="5" t="n">
        <v>8949</v>
      </c>
      <c r="G175" s="5" t="n">
        <v>0.157</v>
      </c>
      <c r="H175" s="5" t="n">
        <v>21</v>
      </c>
      <c r="I175" s="5" t="n">
        <v>84.7</v>
      </c>
      <c r="J175" s="5" t="n">
        <v>7.73</v>
      </c>
      <c r="K175" s="5" t="n">
        <v>0</v>
      </c>
      <c r="L175" s="5" t="n">
        <v>4.9</v>
      </c>
      <c r="M175" s="5" t="n">
        <v>769702.76</v>
      </c>
      <c r="N175" s="5" t="n">
        <v>158697</v>
      </c>
    </row>
    <row r="176" customFormat="false" ht="15" hidden="false" customHeight="true" outlineLevel="0" collapsed="false">
      <c r="A176" s="5" t="s">
        <v>66</v>
      </c>
      <c r="B176" s="5" t="s">
        <v>109</v>
      </c>
      <c r="C176" s="5" t="s">
        <v>17</v>
      </c>
      <c r="D176" s="5" t="s">
        <v>18</v>
      </c>
      <c r="E176" s="5" t="n">
        <v>36606.51</v>
      </c>
      <c r="F176" s="5" t="n">
        <v>7671</v>
      </c>
      <c r="G176" s="5" t="n">
        <v>0.118</v>
      </c>
      <c r="H176" s="5" t="n">
        <v>18</v>
      </c>
      <c r="I176" s="5" t="n">
        <v>89.8</v>
      </c>
      <c r="J176" s="5" t="n">
        <v>0.25</v>
      </c>
      <c r="K176" s="5" t="n">
        <v>0</v>
      </c>
      <c r="L176" s="5" t="n">
        <v>4.4</v>
      </c>
      <c r="M176" s="5" t="n">
        <v>679731.57</v>
      </c>
      <c r="N176" s="5" t="n">
        <v>121546.42</v>
      </c>
    </row>
    <row r="177" customFormat="false" ht="15" hidden="false" customHeight="true" outlineLevel="0" collapsed="false">
      <c r="A177" s="5" t="s">
        <v>67</v>
      </c>
      <c r="B177" s="5" t="s">
        <v>106</v>
      </c>
      <c r="C177" s="5" t="s">
        <v>17</v>
      </c>
      <c r="D177" s="5" t="s">
        <v>18</v>
      </c>
      <c r="E177" s="5" t="n">
        <v>65237.79</v>
      </c>
      <c r="F177" s="5" t="n">
        <v>8741</v>
      </c>
      <c r="G177" s="5" t="n">
        <v>0.157</v>
      </c>
      <c r="H177" s="5" t="n">
        <v>20</v>
      </c>
      <c r="I177" s="5" t="n">
        <v>94.4</v>
      </c>
      <c r="J177" s="5" t="n">
        <v>6.43</v>
      </c>
      <c r="K177" s="5" t="n">
        <v>0</v>
      </c>
      <c r="L177" s="5" t="n">
        <v>3.3</v>
      </c>
      <c r="M177" s="5" t="n">
        <v>780344.18</v>
      </c>
      <c r="N177" s="5" t="n">
        <v>118239.09</v>
      </c>
    </row>
    <row r="178" customFormat="false" ht="15" hidden="false" customHeight="true" outlineLevel="0" collapsed="false">
      <c r="A178" s="5" t="s">
        <v>67</v>
      </c>
      <c r="B178" s="5" t="s">
        <v>107</v>
      </c>
      <c r="C178" s="5" t="s">
        <v>17</v>
      </c>
      <c r="D178" s="5" t="s">
        <v>18</v>
      </c>
      <c r="E178" s="5" t="n">
        <v>43645.98</v>
      </c>
      <c r="F178" s="5" t="n">
        <v>9480</v>
      </c>
      <c r="G178" s="5" t="n">
        <v>0.109</v>
      </c>
      <c r="H178" s="5" t="n">
        <v>22</v>
      </c>
      <c r="I178" s="5" t="n">
        <v>89</v>
      </c>
      <c r="J178" s="5" t="n">
        <v>2.11</v>
      </c>
      <c r="K178" s="5" t="n">
        <v>0</v>
      </c>
      <c r="L178" s="5" t="n">
        <v>3.1</v>
      </c>
      <c r="M178" s="5" t="n">
        <v>721364.11</v>
      </c>
      <c r="N178" s="5" t="n">
        <v>147272.81</v>
      </c>
    </row>
    <row r="179" customFormat="false" ht="15" hidden="false" customHeight="true" outlineLevel="0" collapsed="false">
      <c r="A179" s="5" t="s">
        <v>67</v>
      </c>
      <c r="B179" s="5" t="s">
        <v>108</v>
      </c>
      <c r="C179" s="5" t="s">
        <v>17</v>
      </c>
      <c r="D179" s="5" t="s">
        <v>18</v>
      </c>
      <c r="E179" s="5" t="n">
        <v>68040.15</v>
      </c>
      <c r="F179" s="5" t="n">
        <v>9826</v>
      </c>
      <c r="G179" s="5" t="n">
        <v>0.125</v>
      </c>
      <c r="H179" s="5" t="n">
        <v>20</v>
      </c>
      <c r="I179" s="5" t="n">
        <v>83.9</v>
      </c>
      <c r="J179" s="5" t="n">
        <v>9.12</v>
      </c>
      <c r="K179" s="5" t="n">
        <v>0</v>
      </c>
      <c r="L179" s="5" t="n">
        <v>3.6</v>
      </c>
      <c r="M179" s="5" t="n">
        <v>758138.29</v>
      </c>
      <c r="N179" s="5" t="n">
        <v>132975.26</v>
      </c>
    </row>
    <row r="180" customFormat="false" ht="15" hidden="false" customHeight="true" outlineLevel="0" collapsed="false">
      <c r="A180" s="5" t="s">
        <v>67</v>
      </c>
      <c r="B180" s="5" t="s">
        <v>109</v>
      </c>
      <c r="C180" s="5" t="s">
        <v>17</v>
      </c>
      <c r="D180" s="5" t="s">
        <v>18</v>
      </c>
      <c r="E180" s="5" t="n">
        <v>63043.94</v>
      </c>
      <c r="F180" s="5" t="n">
        <v>10402</v>
      </c>
      <c r="G180" s="5" t="n">
        <v>0.159</v>
      </c>
      <c r="H180" s="5" t="n">
        <v>23</v>
      </c>
      <c r="I180" s="5" t="n">
        <v>93.9</v>
      </c>
      <c r="J180" s="5" t="n">
        <v>2.71</v>
      </c>
      <c r="K180" s="5" t="n">
        <v>0</v>
      </c>
      <c r="L180" s="5" t="n">
        <v>3.1</v>
      </c>
      <c r="M180" s="5" t="n">
        <v>804264</v>
      </c>
      <c r="N180" s="5" t="n">
        <v>167117.91</v>
      </c>
    </row>
    <row r="181" customFormat="false" ht="15" hidden="false" customHeight="true" outlineLevel="0" collapsed="false">
      <c r="A181" s="5" t="s">
        <v>68</v>
      </c>
      <c r="B181" s="5" t="s">
        <v>106</v>
      </c>
      <c r="C181" s="5" t="s">
        <v>29</v>
      </c>
      <c r="D181" s="5" t="s">
        <v>23</v>
      </c>
      <c r="E181" s="5" t="n">
        <v>67494.09</v>
      </c>
      <c r="F181" s="5" t="n">
        <v>12361</v>
      </c>
      <c r="G181" s="5" t="n">
        <v>0.046</v>
      </c>
      <c r="H181" s="5" t="n">
        <v>24</v>
      </c>
      <c r="I181" s="5" t="n">
        <v>76.6</v>
      </c>
      <c r="J181" s="5" t="n">
        <v>3.65</v>
      </c>
      <c r="K181" s="5" t="n">
        <v>1</v>
      </c>
      <c r="L181" s="5" t="n">
        <v>3.7</v>
      </c>
      <c r="M181" s="5" t="n">
        <v>887537.75</v>
      </c>
      <c r="N181" s="5" t="n">
        <v>160362.92</v>
      </c>
    </row>
    <row r="182" customFormat="false" ht="15" hidden="false" customHeight="true" outlineLevel="0" collapsed="false">
      <c r="A182" s="5" t="s">
        <v>68</v>
      </c>
      <c r="B182" s="5" t="s">
        <v>107</v>
      </c>
      <c r="C182" s="5" t="s">
        <v>29</v>
      </c>
      <c r="D182" s="5" t="s">
        <v>23</v>
      </c>
      <c r="E182" s="5" t="n">
        <v>29389.32</v>
      </c>
      <c r="F182" s="5" t="n">
        <v>7925</v>
      </c>
      <c r="G182" s="5" t="n">
        <v>0.177</v>
      </c>
      <c r="H182" s="5" t="n">
        <v>21</v>
      </c>
      <c r="I182" s="5" t="n">
        <v>90.9</v>
      </c>
      <c r="J182" s="5" t="n">
        <v>7.86</v>
      </c>
      <c r="K182" s="5" t="n">
        <v>0</v>
      </c>
      <c r="L182" s="5" t="n">
        <v>4</v>
      </c>
      <c r="M182" s="5" t="n">
        <v>783582</v>
      </c>
      <c r="N182" s="5" t="n">
        <v>130670.93</v>
      </c>
    </row>
    <row r="183" customFormat="false" ht="15" hidden="false" customHeight="true" outlineLevel="0" collapsed="false">
      <c r="A183" s="5" t="s">
        <v>68</v>
      </c>
      <c r="B183" s="5" t="s">
        <v>108</v>
      </c>
      <c r="C183" s="5" t="s">
        <v>29</v>
      </c>
      <c r="D183" s="5" t="s">
        <v>23</v>
      </c>
      <c r="E183" s="5" t="n">
        <v>40535.09</v>
      </c>
      <c r="F183" s="5" t="n">
        <v>8870</v>
      </c>
      <c r="G183" s="5" t="n">
        <v>0.041</v>
      </c>
      <c r="H183" s="5" t="n">
        <v>21</v>
      </c>
      <c r="I183" s="5" t="n">
        <v>86.6</v>
      </c>
      <c r="J183" s="5" t="n">
        <v>0.3</v>
      </c>
      <c r="K183" s="5" t="n">
        <v>0</v>
      </c>
      <c r="L183" s="5" t="n">
        <v>4.1</v>
      </c>
      <c r="M183" s="5" t="n">
        <v>781955.52</v>
      </c>
      <c r="N183" s="5" t="n">
        <v>152578.71</v>
      </c>
    </row>
    <row r="184" customFormat="false" ht="15" hidden="false" customHeight="true" outlineLevel="0" collapsed="false">
      <c r="A184" s="5" t="s">
        <v>68</v>
      </c>
      <c r="B184" s="5" t="s">
        <v>109</v>
      </c>
      <c r="C184" s="5" t="s">
        <v>29</v>
      </c>
      <c r="D184" s="5" t="s">
        <v>23</v>
      </c>
      <c r="E184" s="5" t="n">
        <v>74881.56</v>
      </c>
      <c r="F184" s="5" t="n">
        <v>9999</v>
      </c>
      <c r="G184" s="5" t="n">
        <v>0.013</v>
      </c>
      <c r="H184" s="5" t="n">
        <v>20</v>
      </c>
      <c r="I184" s="5" t="n">
        <v>89.6</v>
      </c>
      <c r="J184" s="5" t="n">
        <v>8.44</v>
      </c>
      <c r="K184" s="5" t="n">
        <v>0</v>
      </c>
      <c r="L184" s="5" t="n">
        <v>4.1</v>
      </c>
      <c r="M184" s="5" t="n">
        <v>898031.04</v>
      </c>
      <c r="N184" s="5" t="n">
        <v>138666.5</v>
      </c>
    </row>
    <row r="185" customFormat="false" ht="15" hidden="false" customHeight="true" outlineLevel="0" collapsed="false">
      <c r="A185" s="5" t="s">
        <v>69</v>
      </c>
      <c r="B185" s="5" t="s">
        <v>106</v>
      </c>
      <c r="C185" s="5" t="s">
        <v>29</v>
      </c>
      <c r="D185" s="5" t="s">
        <v>18</v>
      </c>
      <c r="E185" s="5" t="n">
        <v>68491.11</v>
      </c>
      <c r="F185" s="5" t="n">
        <v>11154</v>
      </c>
      <c r="G185" s="5" t="n">
        <v>0.001</v>
      </c>
      <c r="H185" s="5" t="n">
        <v>24</v>
      </c>
      <c r="I185" s="5" t="n">
        <v>89.4</v>
      </c>
      <c r="J185" s="5" t="n">
        <v>5.27</v>
      </c>
      <c r="K185" s="5" t="n">
        <v>1</v>
      </c>
      <c r="L185" s="5" t="n">
        <v>3.9</v>
      </c>
      <c r="M185" s="5" t="n">
        <v>855341.28</v>
      </c>
      <c r="N185" s="5" t="n">
        <v>175823.8</v>
      </c>
    </row>
    <row r="186" customFormat="false" ht="15" hidden="false" customHeight="true" outlineLevel="0" collapsed="false">
      <c r="A186" s="5" t="s">
        <v>69</v>
      </c>
      <c r="B186" s="5" t="s">
        <v>107</v>
      </c>
      <c r="C186" s="5" t="s">
        <v>29</v>
      </c>
      <c r="D186" s="5" t="s">
        <v>18</v>
      </c>
      <c r="E186" s="5" t="n">
        <v>45209.25</v>
      </c>
      <c r="F186" s="5" t="n">
        <v>9287</v>
      </c>
      <c r="G186" s="5" t="n">
        <v>0.141</v>
      </c>
      <c r="H186" s="5" t="n">
        <v>22</v>
      </c>
      <c r="I186" s="5" t="n">
        <v>86.4</v>
      </c>
      <c r="J186" s="5" t="n">
        <v>13.22</v>
      </c>
      <c r="K186" s="5" t="n">
        <v>0</v>
      </c>
      <c r="L186" s="5" t="n">
        <v>3.6</v>
      </c>
      <c r="M186" s="5" t="n">
        <v>751393.88</v>
      </c>
      <c r="N186" s="5" t="n">
        <v>91480.32</v>
      </c>
    </row>
    <row r="187" customFormat="false" ht="15" hidden="false" customHeight="true" outlineLevel="0" collapsed="false">
      <c r="A187" s="5" t="s">
        <v>69</v>
      </c>
      <c r="B187" s="5" t="s">
        <v>108</v>
      </c>
      <c r="C187" s="5" t="s">
        <v>29</v>
      </c>
      <c r="D187" s="5" t="s">
        <v>18</v>
      </c>
      <c r="E187" s="5" t="n">
        <v>63010.23</v>
      </c>
      <c r="F187" s="5" t="n">
        <v>9812</v>
      </c>
      <c r="G187" s="5" t="n">
        <v>0.113</v>
      </c>
      <c r="H187" s="5" t="n">
        <v>24</v>
      </c>
      <c r="I187" s="5" t="n">
        <v>76.8</v>
      </c>
      <c r="J187" s="5" t="n">
        <v>1.02</v>
      </c>
      <c r="K187" s="5" t="n">
        <v>1</v>
      </c>
      <c r="L187" s="5" t="n">
        <v>3.8</v>
      </c>
      <c r="M187" s="5" t="n">
        <v>761077.08</v>
      </c>
      <c r="N187" s="5" t="n">
        <v>113605.93</v>
      </c>
    </row>
    <row r="188" customFormat="false" ht="15" hidden="false" customHeight="true" outlineLevel="0" collapsed="false">
      <c r="A188" s="5" t="s">
        <v>69</v>
      </c>
      <c r="B188" s="5" t="s">
        <v>109</v>
      </c>
      <c r="C188" s="5" t="s">
        <v>29</v>
      </c>
      <c r="D188" s="5" t="s">
        <v>18</v>
      </c>
      <c r="E188" s="5" t="n">
        <v>57948.88</v>
      </c>
      <c r="F188" s="5" t="n">
        <v>10741</v>
      </c>
      <c r="G188" s="5" t="n">
        <v>0.07</v>
      </c>
      <c r="H188" s="5" t="n">
        <v>25</v>
      </c>
      <c r="I188" s="5" t="n">
        <v>90.1</v>
      </c>
      <c r="J188" s="5" t="n">
        <v>4.03</v>
      </c>
      <c r="K188" s="5" t="n">
        <v>0</v>
      </c>
      <c r="L188" s="5" t="n">
        <v>3.1</v>
      </c>
      <c r="M188" s="5" t="n">
        <v>819660.59</v>
      </c>
      <c r="N188" s="5" t="n">
        <v>172699.95</v>
      </c>
    </row>
    <row r="189" customFormat="false" ht="15" hidden="false" customHeight="true" outlineLevel="0" collapsed="false">
      <c r="A189" s="5" t="s">
        <v>70</v>
      </c>
      <c r="B189" s="5" t="s">
        <v>106</v>
      </c>
      <c r="C189" s="5" t="s">
        <v>22</v>
      </c>
      <c r="D189" s="5" t="s">
        <v>20</v>
      </c>
      <c r="E189" s="5" t="n">
        <v>71941.62</v>
      </c>
      <c r="F189" s="5" t="n">
        <v>6084</v>
      </c>
      <c r="G189" s="5" t="n">
        <v>0.072</v>
      </c>
      <c r="H189" s="5" t="n">
        <v>13</v>
      </c>
      <c r="I189" s="5" t="n">
        <v>93.7</v>
      </c>
      <c r="J189" s="5" t="n">
        <v>2.34</v>
      </c>
      <c r="K189" s="5" t="n">
        <v>0</v>
      </c>
      <c r="L189" s="5" t="n">
        <v>4.4</v>
      </c>
      <c r="M189" s="5" t="n">
        <v>681855.56</v>
      </c>
      <c r="N189" s="5" t="n">
        <v>117645.61</v>
      </c>
    </row>
    <row r="190" customFormat="false" ht="15" hidden="false" customHeight="true" outlineLevel="0" collapsed="false">
      <c r="A190" s="5" t="s">
        <v>70</v>
      </c>
      <c r="B190" s="5" t="s">
        <v>107</v>
      </c>
      <c r="C190" s="5" t="s">
        <v>22</v>
      </c>
      <c r="D190" s="5" t="s">
        <v>20</v>
      </c>
      <c r="E190" s="5" t="n">
        <v>57147.88</v>
      </c>
      <c r="F190" s="5" t="n">
        <v>5252</v>
      </c>
      <c r="G190" s="5" t="n">
        <v>0.161</v>
      </c>
      <c r="H190" s="5" t="n">
        <v>15</v>
      </c>
      <c r="I190" s="5" t="n">
        <v>95.5</v>
      </c>
      <c r="J190" s="5" t="n">
        <v>8.51</v>
      </c>
      <c r="K190" s="5" t="n">
        <v>0</v>
      </c>
      <c r="L190" s="5" t="n">
        <v>4.4</v>
      </c>
      <c r="M190" s="5" t="n">
        <v>678311.17</v>
      </c>
      <c r="N190" s="5" t="n">
        <v>132029.76</v>
      </c>
    </row>
    <row r="191" customFormat="false" ht="15" hidden="false" customHeight="true" outlineLevel="0" collapsed="false">
      <c r="A191" s="5" t="s">
        <v>70</v>
      </c>
      <c r="B191" s="5" t="s">
        <v>108</v>
      </c>
      <c r="C191" s="5" t="s">
        <v>22</v>
      </c>
      <c r="D191" s="5" t="s">
        <v>20</v>
      </c>
      <c r="E191" s="5" t="n">
        <v>48031.74</v>
      </c>
      <c r="F191" s="5" t="n">
        <v>6516</v>
      </c>
      <c r="G191" s="5" t="n">
        <v>0.067</v>
      </c>
      <c r="H191" s="5" t="n">
        <v>14</v>
      </c>
      <c r="I191" s="5" t="n">
        <v>99</v>
      </c>
      <c r="J191" s="5" t="n">
        <v>0.48</v>
      </c>
      <c r="K191" s="5" t="n">
        <v>1</v>
      </c>
      <c r="L191" s="5" t="n">
        <v>4.3</v>
      </c>
      <c r="M191" s="5" t="n">
        <v>765906.95</v>
      </c>
      <c r="N191" s="5" t="n">
        <v>114005.9</v>
      </c>
    </row>
    <row r="192" customFormat="false" ht="15" hidden="false" customHeight="true" outlineLevel="0" collapsed="false">
      <c r="A192" s="5" t="s">
        <v>70</v>
      </c>
      <c r="B192" s="5" t="s">
        <v>109</v>
      </c>
      <c r="C192" s="5" t="s">
        <v>22</v>
      </c>
      <c r="D192" s="5" t="s">
        <v>20</v>
      </c>
      <c r="E192" s="5" t="n">
        <v>72784.8</v>
      </c>
      <c r="F192" s="5" t="n">
        <v>7932</v>
      </c>
      <c r="G192" s="5" t="n">
        <v>0.094</v>
      </c>
      <c r="H192" s="5" t="n">
        <v>20</v>
      </c>
      <c r="I192" s="5" t="n">
        <v>74.9</v>
      </c>
      <c r="J192" s="5" t="n">
        <v>13.62</v>
      </c>
      <c r="K192" s="5" t="n">
        <v>0</v>
      </c>
      <c r="L192" s="5" t="n">
        <v>4.2</v>
      </c>
      <c r="M192" s="5" t="n">
        <v>712546.38</v>
      </c>
      <c r="N192" s="5" t="n">
        <v>101480.04</v>
      </c>
    </row>
    <row r="193" customFormat="false" ht="15" hidden="false" customHeight="true" outlineLevel="0" collapsed="false">
      <c r="A193" s="5" t="s">
        <v>71</v>
      </c>
      <c r="B193" s="5" t="s">
        <v>106</v>
      </c>
      <c r="C193" s="5" t="s">
        <v>17</v>
      </c>
      <c r="D193" s="5" t="s">
        <v>20</v>
      </c>
      <c r="E193" s="5" t="n">
        <v>71641.9</v>
      </c>
      <c r="F193" s="5" t="n">
        <v>3506</v>
      </c>
      <c r="G193" s="5" t="n">
        <v>0</v>
      </c>
      <c r="H193" s="5" t="n">
        <v>11</v>
      </c>
      <c r="I193" s="5" t="n">
        <v>86.4</v>
      </c>
      <c r="J193" s="5" t="n">
        <v>7.77</v>
      </c>
      <c r="K193" s="5" t="n">
        <v>0</v>
      </c>
      <c r="L193" s="5" t="n">
        <v>4.1</v>
      </c>
      <c r="M193" s="5" t="n">
        <v>625993.83</v>
      </c>
      <c r="N193" s="5" t="n">
        <v>98960.32</v>
      </c>
    </row>
    <row r="194" customFormat="false" ht="15" hidden="false" customHeight="true" outlineLevel="0" collapsed="false">
      <c r="A194" s="5" t="s">
        <v>71</v>
      </c>
      <c r="B194" s="5" t="s">
        <v>107</v>
      </c>
      <c r="C194" s="5" t="s">
        <v>17</v>
      </c>
      <c r="D194" s="5" t="s">
        <v>20</v>
      </c>
      <c r="E194" s="5" t="n">
        <v>55788.61</v>
      </c>
      <c r="F194" s="5" t="n">
        <v>2312</v>
      </c>
      <c r="G194" s="5" t="n">
        <v>0.058</v>
      </c>
      <c r="H194" s="5" t="n">
        <v>10</v>
      </c>
      <c r="I194" s="5" t="n">
        <v>91.3</v>
      </c>
      <c r="J194" s="5" t="n">
        <v>1.99</v>
      </c>
      <c r="K194" s="5" t="n">
        <v>0</v>
      </c>
      <c r="L194" s="5" t="n">
        <v>3.8</v>
      </c>
      <c r="M194" s="5" t="n">
        <v>550962.93</v>
      </c>
      <c r="N194" s="5" t="n">
        <v>97144.58</v>
      </c>
    </row>
    <row r="195" customFormat="false" ht="15" hidden="false" customHeight="true" outlineLevel="0" collapsed="false">
      <c r="A195" s="5" t="s">
        <v>71</v>
      </c>
      <c r="B195" s="5" t="s">
        <v>108</v>
      </c>
      <c r="C195" s="5" t="s">
        <v>17</v>
      </c>
      <c r="D195" s="5" t="s">
        <v>20</v>
      </c>
      <c r="E195" s="5" t="n">
        <v>37705.88</v>
      </c>
      <c r="F195" s="5" t="n">
        <v>1268</v>
      </c>
      <c r="G195" s="5" t="n">
        <v>0.259</v>
      </c>
      <c r="H195" s="5" t="n">
        <v>9</v>
      </c>
      <c r="I195" s="5" t="n">
        <v>84.1</v>
      </c>
      <c r="J195" s="5" t="n">
        <v>4.77</v>
      </c>
      <c r="K195" s="5" t="n">
        <v>0</v>
      </c>
      <c r="L195" s="5" t="n">
        <v>3.8</v>
      </c>
      <c r="M195" s="5" t="n">
        <v>443275.59</v>
      </c>
      <c r="N195" s="5" t="n">
        <v>53544.36</v>
      </c>
    </row>
    <row r="196" customFormat="false" ht="15" hidden="false" customHeight="true" outlineLevel="0" collapsed="false">
      <c r="A196" s="5" t="s">
        <v>71</v>
      </c>
      <c r="B196" s="5" t="s">
        <v>109</v>
      </c>
      <c r="C196" s="5" t="s">
        <v>17</v>
      </c>
      <c r="D196" s="5" t="s">
        <v>20</v>
      </c>
      <c r="E196" s="5" t="n">
        <v>54966.18</v>
      </c>
      <c r="F196" s="5" t="n">
        <v>4423</v>
      </c>
      <c r="G196" s="5" t="n">
        <v>0.186</v>
      </c>
      <c r="H196" s="5" t="n">
        <v>13</v>
      </c>
      <c r="I196" s="5" t="n">
        <v>88.7</v>
      </c>
      <c r="J196" s="5" t="n">
        <v>0.2</v>
      </c>
      <c r="K196" s="5" t="n">
        <v>0</v>
      </c>
      <c r="L196" s="5" t="n">
        <v>4.4</v>
      </c>
      <c r="M196" s="5" t="n">
        <v>554012.07</v>
      </c>
      <c r="N196" s="5" t="n">
        <v>81101.62</v>
      </c>
    </row>
    <row r="197" customFormat="false" ht="15" hidden="false" customHeight="true" outlineLevel="0" collapsed="false">
      <c r="A197" s="5" t="s">
        <v>72</v>
      </c>
      <c r="B197" s="5" t="s">
        <v>106</v>
      </c>
      <c r="C197" s="5" t="s">
        <v>29</v>
      </c>
      <c r="D197" s="5" t="s">
        <v>18</v>
      </c>
      <c r="E197" s="5" t="n">
        <v>81796.74</v>
      </c>
      <c r="F197" s="5" t="n">
        <v>6177</v>
      </c>
      <c r="G197" s="5" t="n">
        <v>0.164</v>
      </c>
      <c r="H197" s="5" t="n">
        <v>14</v>
      </c>
      <c r="I197" s="5" t="n">
        <v>87.9</v>
      </c>
      <c r="J197" s="5" t="n">
        <v>0.53</v>
      </c>
      <c r="K197" s="5" t="n">
        <v>0</v>
      </c>
      <c r="L197" s="5" t="n">
        <v>3.2</v>
      </c>
      <c r="M197" s="5" t="n">
        <v>643428.85</v>
      </c>
      <c r="N197" s="5" t="n">
        <v>94477.63</v>
      </c>
    </row>
    <row r="198" customFormat="false" ht="15" hidden="false" customHeight="true" outlineLevel="0" collapsed="false">
      <c r="A198" s="5" t="s">
        <v>72</v>
      </c>
      <c r="B198" s="5" t="s">
        <v>107</v>
      </c>
      <c r="C198" s="5" t="s">
        <v>29</v>
      </c>
      <c r="D198" s="5" t="s">
        <v>18</v>
      </c>
      <c r="E198" s="5" t="n">
        <v>51133.43</v>
      </c>
      <c r="F198" s="5" t="n">
        <v>5150</v>
      </c>
      <c r="G198" s="5" t="n">
        <v>0.15</v>
      </c>
      <c r="H198" s="5" t="n">
        <v>12</v>
      </c>
      <c r="I198" s="5" t="n">
        <v>88.5</v>
      </c>
      <c r="J198" s="5" t="n">
        <v>1.54</v>
      </c>
      <c r="K198" s="5" t="n">
        <v>0</v>
      </c>
      <c r="L198" s="5" t="n">
        <v>3.2</v>
      </c>
      <c r="M198" s="5" t="n">
        <v>611924.27</v>
      </c>
      <c r="N198" s="5" t="n">
        <v>115488.75</v>
      </c>
    </row>
    <row r="199" customFormat="false" ht="15" hidden="false" customHeight="true" outlineLevel="0" collapsed="false">
      <c r="A199" s="5" t="s">
        <v>72</v>
      </c>
      <c r="B199" s="5" t="s">
        <v>108</v>
      </c>
      <c r="C199" s="5" t="s">
        <v>29</v>
      </c>
      <c r="D199" s="5" t="s">
        <v>18</v>
      </c>
      <c r="E199" s="5" t="n">
        <v>40220.18</v>
      </c>
      <c r="F199" s="5" t="n">
        <v>3783</v>
      </c>
      <c r="G199" s="5" t="n">
        <v>0.089</v>
      </c>
      <c r="H199" s="5" t="n">
        <v>14</v>
      </c>
      <c r="I199" s="5" t="n">
        <v>86.6</v>
      </c>
      <c r="J199" s="5" t="n">
        <v>3.63</v>
      </c>
      <c r="K199" s="5" t="n">
        <v>0</v>
      </c>
      <c r="L199" s="5" t="n">
        <v>3.7</v>
      </c>
      <c r="M199" s="5" t="n">
        <v>559422.02</v>
      </c>
      <c r="N199" s="5" t="n">
        <v>73528.74</v>
      </c>
    </row>
    <row r="200" customFormat="false" ht="15" hidden="false" customHeight="true" outlineLevel="0" collapsed="false">
      <c r="A200" s="5" t="s">
        <v>72</v>
      </c>
      <c r="B200" s="5" t="s">
        <v>109</v>
      </c>
      <c r="C200" s="5" t="s">
        <v>29</v>
      </c>
      <c r="D200" s="5" t="s">
        <v>18</v>
      </c>
      <c r="E200" s="5" t="n">
        <v>41657.64</v>
      </c>
      <c r="F200" s="5" t="n">
        <v>3135</v>
      </c>
      <c r="G200" s="5" t="n">
        <v>0.229</v>
      </c>
      <c r="H200" s="5" t="n">
        <v>7</v>
      </c>
      <c r="I200" s="5" t="n">
        <v>85.4</v>
      </c>
      <c r="J200" s="5" t="n">
        <v>13.48</v>
      </c>
      <c r="K200" s="5" t="n">
        <v>0</v>
      </c>
      <c r="L200" s="5" t="n">
        <v>3.9</v>
      </c>
      <c r="M200" s="5" t="n">
        <v>449465.06</v>
      </c>
      <c r="N200" s="5" t="n">
        <v>65694.78</v>
      </c>
    </row>
    <row r="201" customFormat="false" ht="15" hidden="false" customHeight="true" outlineLevel="0" collapsed="false">
      <c r="A201" s="5" t="s">
        <v>73</v>
      </c>
      <c r="B201" s="5" t="s">
        <v>106</v>
      </c>
      <c r="C201" s="5" t="s">
        <v>22</v>
      </c>
      <c r="D201" s="5" t="s">
        <v>18</v>
      </c>
      <c r="E201" s="5" t="n">
        <v>71851.45</v>
      </c>
      <c r="F201" s="5" t="n">
        <v>4970</v>
      </c>
      <c r="G201" s="5" t="n">
        <v>0.098</v>
      </c>
      <c r="H201" s="5" t="n">
        <v>11</v>
      </c>
      <c r="I201" s="5" t="n">
        <v>89.6</v>
      </c>
      <c r="J201" s="5" t="n">
        <v>0.2</v>
      </c>
      <c r="K201" s="5" t="n">
        <v>0</v>
      </c>
      <c r="L201" s="5" t="n">
        <v>4.2</v>
      </c>
      <c r="M201" s="5" t="n">
        <v>691447.43</v>
      </c>
      <c r="N201" s="5" t="n">
        <v>114077.69</v>
      </c>
    </row>
    <row r="202" customFormat="false" ht="15" hidden="false" customHeight="true" outlineLevel="0" collapsed="false">
      <c r="A202" s="5" t="s">
        <v>73</v>
      </c>
      <c r="B202" s="5" t="s">
        <v>107</v>
      </c>
      <c r="C202" s="5" t="s">
        <v>22</v>
      </c>
      <c r="D202" s="5" t="s">
        <v>18</v>
      </c>
      <c r="E202" s="5" t="n">
        <v>54002.83</v>
      </c>
      <c r="F202" s="5" t="n">
        <v>4366</v>
      </c>
      <c r="G202" s="5" t="n">
        <v>0.027</v>
      </c>
      <c r="H202" s="5" t="n">
        <v>15</v>
      </c>
      <c r="I202" s="5" t="n">
        <v>90.6</v>
      </c>
      <c r="J202" s="5" t="n">
        <v>12.82</v>
      </c>
      <c r="K202" s="5" t="n">
        <v>0</v>
      </c>
      <c r="L202" s="5" t="n">
        <v>4.6</v>
      </c>
      <c r="M202" s="5" t="n">
        <v>574066.61</v>
      </c>
      <c r="N202" s="5" t="n">
        <v>124674.67</v>
      </c>
    </row>
    <row r="203" customFormat="false" ht="15" hidden="false" customHeight="true" outlineLevel="0" collapsed="false">
      <c r="A203" s="5" t="s">
        <v>73</v>
      </c>
      <c r="B203" s="5" t="s">
        <v>108</v>
      </c>
      <c r="C203" s="5" t="s">
        <v>22</v>
      </c>
      <c r="D203" s="5" t="s">
        <v>18</v>
      </c>
      <c r="E203" s="5" t="n">
        <v>54479.33</v>
      </c>
      <c r="F203" s="5" t="n">
        <v>5012</v>
      </c>
      <c r="G203" s="5" t="n">
        <v>0.284</v>
      </c>
      <c r="H203" s="5" t="n">
        <v>13</v>
      </c>
      <c r="I203" s="5" t="n">
        <v>86</v>
      </c>
      <c r="J203" s="5" t="n">
        <v>2.24</v>
      </c>
      <c r="K203" s="5" t="n">
        <v>1</v>
      </c>
      <c r="L203" s="5" t="n">
        <v>4.3</v>
      </c>
      <c r="M203" s="5" t="n">
        <v>578949.84</v>
      </c>
      <c r="N203" s="5" t="n">
        <v>80253.65</v>
      </c>
    </row>
    <row r="204" customFormat="false" ht="15" hidden="false" customHeight="true" outlineLevel="0" collapsed="false">
      <c r="A204" s="5" t="s">
        <v>73</v>
      </c>
      <c r="B204" s="5" t="s">
        <v>109</v>
      </c>
      <c r="C204" s="5" t="s">
        <v>22</v>
      </c>
      <c r="D204" s="5" t="s">
        <v>18</v>
      </c>
      <c r="E204" s="5" t="n">
        <v>61391.8</v>
      </c>
      <c r="F204" s="5" t="n">
        <v>5575</v>
      </c>
      <c r="G204" s="5" t="n">
        <v>0.189</v>
      </c>
      <c r="H204" s="5" t="n">
        <v>18</v>
      </c>
      <c r="I204" s="5" t="n">
        <v>90</v>
      </c>
      <c r="J204" s="5" t="n">
        <v>1.8</v>
      </c>
      <c r="K204" s="5" t="n">
        <v>0</v>
      </c>
      <c r="L204" s="5" t="n">
        <v>4.8</v>
      </c>
      <c r="M204" s="5" t="n">
        <v>735786.64</v>
      </c>
      <c r="N204" s="5" t="n">
        <v>126540.66</v>
      </c>
    </row>
    <row r="205" customFormat="false" ht="15" hidden="false" customHeight="true" outlineLevel="0" collapsed="false">
      <c r="A205" s="5" t="s">
        <v>74</v>
      </c>
      <c r="B205" s="5" t="s">
        <v>106</v>
      </c>
      <c r="C205" s="5" t="s">
        <v>17</v>
      </c>
      <c r="D205" s="5" t="s">
        <v>23</v>
      </c>
      <c r="E205" s="5" t="n">
        <v>22312.93</v>
      </c>
      <c r="F205" s="5" t="n">
        <v>5955</v>
      </c>
      <c r="G205" s="5" t="n">
        <v>0.123</v>
      </c>
      <c r="H205" s="5" t="n">
        <v>13</v>
      </c>
      <c r="I205" s="5" t="n">
        <v>84.2</v>
      </c>
      <c r="J205" s="5" t="n">
        <v>0.41</v>
      </c>
      <c r="K205" s="5" t="n">
        <v>1</v>
      </c>
      <c r="L205" s="5" t="n">
        <v>4.6</v>
      </c>
      <c r="M205" s="5" t="n">
        <v>598904.9</v>
      </c>
      <c r="N205" s="5" t="n">
        <v>72861</v>
      </c>
    </row>
    <row r="206" customFormat="false" ht="15" hidden="false" customHeight="true" outlineLevel="0" collapsed="false">
      <c r="A206" s="5" t="s">
        <v>74</v>
      </c>
      <c r="B206" s="5" t="s">
        <v>107</v>
      </c>
      <c r="C206" s="5" t="s">
        <v>17</v>
      </c>
      <c r="D206" s="5" t="s">
        <v>23</v>
      </c>
      <c r="E206" s="5" t="n">
        <v>78111.97</v>
      </c>
      <c r="F206" s="5" t="n">
        <v>6389</v>
      </c>
      <c r="G206" s="5" t="n">
        <v>0.15</v>
      </c>
      <c r="H206" s="5" t="n">
        <v>13</v>
      </c>
      <c r="I206" s="5" t="n">
        <v>83.9</v>
      </c>
      <c r="J206" s="5" t="n">
        <v>3.05</v>
      </c>
      <c r="K206" s="5" t="n">
        <v>0</v>
      </c>
      <c r="L206" s="5" t="n">
        <v>4.8</v>
      </c>
      <c r="M206" s="5" t="n">
        <v>787715.51</v>
      </c>
      <c r="N206" s="5" t="n">
        <v>128969.62</v>
      </c>
    </row>
    <row r="207" customFormat="false" ht="15" hidden="false" customHeight="true" outlineLevel="0" collapsed="false">
      <c r="A207" s="5" t="s">
        <v>74</v>
      </c>
      <c r="B207" s="5" t="s">
        <v>108</v>
      </c>
      <c r="C207" s="5" t="s">
        <v>17</v>
      </c>
      <c r="D207" s="5" t="s">
        <v>23</v>
      </c>
      <c r="E207" s="5" t="n">
        <v>35203.23</v>
      </c>
      <c r="F207" s="5" t="n">
        <v>6896</v>
      </c>
      <c r="G207" s="5" t="n">
        <v>0.032</v>
      </c>
      <c r="H207" s="5" t="n">
        <v>14</v>
      </c>
      <c r="I207" s="5" t="n">
        <v>80.8</v>
      </c>
      <c r="J207" s="5" t="n">
        <v>8.44</v>
      </c>
      <c r="K207" s="5" t="n">
        <v>1</v>
      </c>
      <c r="L207" s="5" t="n">
        <v>5</v>
      </c>
      <c r="M207" s="5" t="n">
        <v>607084.92</v>
      </c>
      <c r="N207" s="5" t="n">
        <v>98558.49</v>
      </c>
    </row>
    <row r="208" customFormat="false" ht="15" hidden="false" customHeight="true" outlineLevel="0" collapsed="false">
      <c r="A208" s="5" t="s">
        <v>74</v>
      </c>
      <c r="B208" s="5" t="s">
        <v>109</v>
      </c>
      <c r="C208" s="5" t="s">
        <v>17</v>
      </c>
      <c r="D208" s="5" t="s">
        <v>23</v>
      </c>
      <c r="E208" s="5" t="n">
        <v>64104.28</v>
      </c>
      <c r="F208" s="5" t="n">
        <v>6015</v>
      </c>
      <c r="G208" s="5" t="n">
        <v>0.127</v>
      </c>
      <c r="H208" s="5" t="n">
        <v>15</v>
      </c>
      <c r="I208" s="5" t="n">
        <v>88.7</v>
      </c>
      <c r="J208" s="5" t="n">
        <v>0.78</v>
      </c>
      <c r="K208" s="5" t="n">
        <v>0</v>
      </c>
      <c r="L208" s="5" t="n">
        <v>4</v>
      </c>
      <c r="M208" s="5" t="n">
        <v>650795.49</v>
      </c>
      <c r="N208" s="5" t="n">
        <v>103035.89</v>
      </c>
    </row>
    <row r="209" customFormat="false" ht="15" hidden="false" customHeight="true" outlineLevel="0" collapsed="false">
      <c r="A209" s="5" t="s">
        <v>75</v>
      </c>
      <c r="B209" s="5" t="s">
        <v>106</v>
      </c>
      <c r="C209" s="5" t="s">
        <v>17</v>
      </c>
      <c r="D209" s="5" t="s">
        <v>30</v>
      </c>
      <c r="E209" s="5" t="n">
        <v>92090.14</v>
      </c>
      <c r="F209" s="5" t="n">
        <v>9476</v>
      </c>
      <c r="G209" s="5" t="n">
        <v>0.07</v>
      </c>
      <c r="H209" s="5" t="n">
        <v>24</v>
      </c>
      <c r="I209" s="5" t="n">
        <v>94.3</v>
      </c>
      <c r="J209" s="5" t="n">
        <v>0.87</v>
      </c>
      <c r="K209" s="5" t="n">
        <v>0</v>
      </c>
      <c r="L209" s="5" t="n">
        <v>3.7</v>
      </c>
      <c r="M209" s="5" t="n">
        <v>825060.52</v>
      </c>
      <c r="N209" s="5" t="n">
        <v>143613.15</v>
      </c>
    </row>
    <row r="210" customFormat="false" ht="15" hidden="false" customHeight="true" outlineLevel="0" collapsed="false">
      <c r="A210" s="5" t="s">
        <v>75</v>
      </c>
      <c r="B210" s="5" t="s">
        <v>107</v>
      </c>
      <c r="C210" s="5" t="s">
        <v>17</v>
      </c>
      <c r="D210" s="5" t="s">
        <v>30</v>
      </c>
      <c r="E210" s="5" t="n">
        <v>54300.87</v>
      </c>
      <c r="F210" s="5" t="n">
        <v>7875</v>
      </c>
      <c r="G210" s="5" t="n">
        <v>0.107</v>
      </c>
      <c r="H210" s="5" t="n">
        <v>19</v>
      </c>
      <c r="I210" s="5" t="n">
        <v>94.1</v>
      </c>
      <c r="J210" s="5" t="n">
        <v>0.95</v>
      </c>
      <c r="K210" s="5" t="n">
        <v>0</v>
      </c>
      <c r="L210" s="5" t="n">
        <v>3.7</v>
      </c>
      <c r="M210" s="5" t="n">
        <v>795464.47</v>
      </c>
      <c r="N210" s="5" t="n">
        <v>161150.52</v>
      </c>
    </row>
    <row r="211" customFormat="false" ht="15" hidden="false" customHeight="true" outlineLevel="0" collapsed="false">
      <c r="A211" s="5" t="s">
        <v>75</v>
      </c>
      <c r="B211" s="5" t="s">
        <v>108</v>
      </c>
      <c r="C211" s="5" t="s">
        <v>17</v>
      </c>
      <c r="D211" s="5" t="s">
        <v>30</v>
      </c>
      <c r="E211" s="5" t="n">
        <v>37983.35</v>
      </c>
      <c r="F211" s="5" t="n">
        <v>9283</v>
      </c>
      <c r="G211" s="5" t="n">
        <v>0.149</v>
      </c>
      <c r="H211" s="5" t="n">
        <v>19</v>
      </c>
      <c r="I211" s="5" t="n">
        <v>83.2</v>
      </c>
      <c r="J211" s="5" t="n">
        <v>3.82</v>
      </c>
      <c r="K211" s="5" t="n">
        <v>0</v>
      </c>
      <c r="L211" s="5" t="n">
        <v>3.7</v>
      </c>
      <c r="M211" s="5" t="n">
        <v>671868.59</v>
      </c>
      <c r="N211" s="5" t="n">
        <v>71003.28</v>
      </c>
    </row>
    <row r="212" customFormat="false" ht="15" hidden="false" customHeight="true" outlineLevel="0" collapsed="false">
      <c r="A212" s="5" t="s">
        <v>75</v>
      </c>
      <c r="B212" s="5" t="s">
        <v>109</v>
      </c>
      <c r="C212" s="5" t="s">
        <v>17</v>
      </c>
      <c r="D212" s="5" t="s">
        <v>30</v>
      </c>
      <c r="E212" s="5" t="n">
        <v>56413.83</v>
      </c>
      <c r="F212" s="5" t="n">
        <v>8303</v>
      </c>
      <c r="G212" s="5" t="n">
        <v>0.116</v>
      </c>
      <c r="H212" s="5" t="n">
        <v>18</v>
      </c>
      <c r="I212" s="5" t="n">
        <v>93.6</v>
      </c>
      <c r="J212" s="5" t="n">
        <v>2.7</v>
      </c>
      <c r="K212" s="5" t="n">
        <v>0</v>
      </c>
      <c r="L212" s="5" t="n">
        <v>3.7</v>
      </c>
      <c r="M212" s="5" t="n">
        <v>675917.63</v>
      </c>
      <c r="N212" s="5" t="n">
        <v>112564.75</v>
      </c>
    </row>
    <row r="213" customFormat="false" ht="15" hidden="false" customHeight="true" outlineLevel="0" collapsed="false">
      <c r="A213" s="5" t="s">
        <v>76</v>
      </c>
      <c r="B213" s="5" t="s">
        <v>106</v>
      </c>
      <c r="C213" s="5" t="s">
        <v>17</v>
      </c>
      <c r="D213" s="5" t="s">
        <v>20</v>
      </c>
      <c r="E213" s="5" t="n">
        <v>63457.19</v>
      </c>
      <c r="F213" s="5" t="n">
        <v>10125</v>
      </c>
      <c r="G213" s="5" t="n">
        <v>0.097</v>
      </c>
      <c r="H213" s="5" t="n">
        <v>24</v>
      </c>
      <c r="I213" s="5" t="n">
        <v>87</v>
      </c>
      <c r="J213" s="5" t="n">
        <v>3.84</v>
      </c>
      <c r="K213" s="5" t="n">
        <v>1</v>
      </c>
      <c r="L213" s="5" t="n">
        <v>3.7</v>
      </c>
      <c r="M213" s="5" t="n">
        <v>810446.53</v>
      </c>
      <c r="N213" s="5" t="n">
        <v>200575.34</v>
      </c>
    </row>
    <row r="214" customFormat="false" ht="15" hidden="false" customHeight="true" outlineLevel="0" collapsed="false">
      <c r="A214" s="5" t="s">
        <v>76</v>
      </c>
      <c r="B214" s="5" t="s">
        <v>107</v>
      </c>
      <c r="C214" s="5" t="s">
        <v>17</v>
      </c>
      <c r="D214" s="5" t="s">
        <v>20</v>
      </c>
      <c r="E214" s="5" t="n">
        <v>62949.7</v>
      </c>
      <c r="F214" s="5" t="n">
        <v>9458</v>
      </c>
      <c r="G214" s="5" t="n">
        <v>0.171</v>
      </c>
      <c r="H214" s="5" t="n">
        <v>19</v>
      </c>
      <c r="I214" s="5" t="n">
        <v>84.9</v>
      </c>
      <c r="J214" s="5" t="n">
        <v>5.09</v>
      </c>
      <c r="K214" s="5" t="n">
        <v>0</v>
      </c>
      <c r="L214" s="5" t="n">
        <v>3.3</v>
      </c>
      <c r="M214" s="5" t="n">
        <v>691288.19</v>
      </c>
      <c r="N214" s="5" t="n">
        <v>159074.14</v>
      </c>
    </row>
    <row r="215" customFormat="false" ht="15" hidden="false" customHeight="true" outlineLevel="0" collapsed="false">
      <c r="A215" s="5" t="s">
        <v>76</v>
      </c>
      <c r="B215" s="5" t="s">
        <v>108</v>
      </c>
      <c r="C215" s="5" t="s">
        <v>17</v>
      </c>
      <c r="D215" s="5" t="s">
        <v>20</v>
      </c>
      <c r="E215" s="5" t="n">
        <v>107970.19</v>
      </c>
      <c r="F215" s="5" t="n">
        <v>12870</v>
      </c>
      <c r="G215" s="5" t="n">
        <v>0.029</v>
      </c>
      <c r="H215" s="5" t="n">
        <v>31</v>
      </c>
      <c r="I215" s="5" t="n">
        <v>91.7</v>
      </c>
      <c r="J215" s="5" t="n">
        <v>3.82</v>
      </c>
      <c r="K215" s="5" t="n">
        <v>1</v>
      </c>
      <c r="L215" s="5" t="n">
        <v>3.7</v>
      </c>
      <c r="M215" s="5" t="n">
        <v>946833.54</v>
      </c>
      <c r="N215" s="5" t="n">
        <v>184540.31</v>
      </c>
    </row>
    <row r="216" customFormat="false" ht="15" hidden="false" customHeight="true" outlineLevel="0" collapsed="false">
      <c r="A216" s="5" t="s">
        <v>76</v>
      </c>
      <c r="B216" s="5" t="s">
        <v>109</v>
      </c>
      <c r="C216" s="5" t="s">
        <v>17</v>
      </c>
      <c r="D216" s="5" t="s">
        <v>20</v>
      </c>
      <c r="E216" s="5" t="n">
        <v>49405.75</v>
      </c>
      <c r="F216" s="5" t="n">
        <v>9752</v>
      </c>
      <c r="G216" s="5" t="n">
        <v>0.093</v>
      </c>
      <c r="H216" s="5" t="n">
        <v>21</v>
      </c>
      <c r="I216" s="5" t="n">
        <v>87</v>
      </c>
      <c r="J216" s="5" t="n">
        <v>12.28</v>
      </c>
      <c r="K216" s="5" t="n">
        <v>0</v>
      </c>
      <c r="L216" s="5" t="n">
        <v>4.1</v>
      </c>
      <c r="M216" s="5" t="n">
        <v>761963.23</v>
      </c>
      <c r="N216" s="5" t="n">
        <v>150113.61</v>
      </c>
    </row>
    <row r="217" customFormat="false" ht="15" hidden="false" customHeight="true" outlineLevel="0" collapsed="false">
      <c r="A217" s="5" t="s">
        <v>77</v>
      </c>
      <c r="B217" s="5" t="s">
        <v>106</v>
      </c>
      <c r="C217" s="5" t="s">
        <v>29</v>
      </c>
      <c r="D217" s="5" t="s">
        <v>18</v>
      </c>
      <c r="E217" s="5" t="n">
        <v>50887.46</v>
      </c>
      <c r="F217" s="5" t="n">
        <v>9505</v>
      </c>
      <c r="G217" s="5" t="n">
        <v>0.091</v>
      </c>
      <c r="H217" s="5" t="n">
        <v>25</v>
      </c>
      <c r="I217" s="5" t="n">
        <v>89.7</v>
      </c>
      <c r="J217" s="5" t="n">
        <v>2.8</v>
      </c>
      <c r="K217" s="5" t="n">
        <v>0</v>
      </c>
      <c r="L217" s="5" t="n">
        <v>4.3</v>
      </c>
      <c r="M217" s="5" t="n">
        <v>812152.6</v>
      </c>
      <c r="N217" s="5" t="n">
        <v>138419.43</v>
      </c>
    </row>
    <row r="218" customFormat="false" ht="15" hidden="false" customHeight="true" outlineLevel="0" collapsed="false">
      <c r="A218" s="5" t="s">
        <v>77</v>
      </c>
      <c r="B218" s="5" t="s">
        <v>107</v>
      </c>
      <c r="C218" s="5" t="s">
        <v>29</v>
      </c>
      <c r="D218" s="5" t="s">
        <v>18</v>
      </c>
      <c r="E218" s="5" t="n">
        <v>41819.45</v>
      </c>
      <c r="F218" s="5" t="n">
        <v>9412</v>
      </c>
      <c r="G218" s="5" t="n">
        <v>0.15</v>
      </c>
      <c r="H218" s="5" t="n">
        <v>22</v>
      </c>
      <c r="I218" s="5" t="n">
        <v>91</v>
      </c>
      <c r="J218" s="5" t="n">
        <v>3.67</v>
      </c>
      <c r="K218" s="5" t="n">
        <v>0</v>
      </c>
      <c r="L218" s="5" t="n">
        <v>4.2</v>
      </c>
      <c r="M218" s="5" t="n">
        <v>804975.5</v>
      </c>
      <c r="N218" s="5" t="n">
        <v>140054.5</v>
      </c>
    </row>
    <row r="219" customFormat="false" ht="15" hidden="false" customHeight="true" outlineLevel="0" collapsed="false">
      <c r="A219" s="5" t="s">
        <v>77</v>
      </c>
      <c r="B219" s="5" t="s">
        <v>108</v>
      </c>
      <c r="C219" s="5" t="s">
        <v>29</v>
      </c>
      <c r="D219" s="5" t="s">
        <v>18</v>
      </c>
      <c r="E219" s="5" t="n">
        <v>35296.54</v>
      </c>
      <c r="F219" s="5" t="n">
        <v>9644</v>
      </c>
      <c r="G219" s="5" t="n">
        <v>0</v>
      </c>
      <c r="H219" s="5" t="n">
        <v>22</v>
      </c>
      <c r="I219" s="5" t="n">
        <v>88</v>
      </c>
      <c r="J219" s="5" t="n">
        <v>2.81</v>
      </c>
      <c r="K219" s="5" t="n">
        <v>0</v>
      </c>
      <c r="L219" s="5" t="n">
        <v>4.7</v>
      </c>
      <c r="M219" s="5" t="n">
        <v>752321.72</v>
      </c>
      <c r="N219" s="5" t="n">
        <v>137788.51</v>
      </c>
    </row>
    <row r="220" customFormat="false" ht="15" hidden="false" customHeight="true" outlineLevel="0" collapsed="false">
      <c r="A220" s="5" t="s">
        <v>77</v>
      </c>
      <c r="B220" s="5" t="s">
        <v>109</v>
      </c>
      <c r="C220" s="5" t="s">
        <v>29</v>
      </c>
      <c r="D220" s="5" t="s">
        <v>18</v>
      </c>
      <c r="E220" s="5" t="n">
        <v>47391.09</v>
      </c>
      <c r="F220" s="5" t="n">
        <v>11224</v>
      </c>
      <c r="G220" s="5" t="n">
        <v>0.147</v>
      </c>
      <c r="H220" s="5" t="n">
        <v>25</v>
      </c>
      <c r="I220" s="5" t="n">
        <v>88.4</v>
      </c>
      <c r="J220" s="5" t="n">
        <v>2.44</v>
      </c>
      <c r="K220" s="5" t="n">
        <v>0</v>
      </c>
      <c r="L220" s="5" t="n">
        <v>4.9</v>
      </c>
      <c r="M220" s="5" t="n">
        <v>836908.24</v>
      </c>
      <c r="N220" s="5" t="n">
        <v>141090.26</v>
      </c>
    </row>
    <row r="221" customFormat="false" ht="15" hidden="false" customHeight="true" outlineLevel="0" collapsed="false">
      <c r="A221" s="5" t="s">
        <v>78</v>
      </c>
      <c r="B221" s="5" t="s">
        <v>106</v>
      </c>
      <c r="C221" s="5" t="s">
        <v>22</v>
      </c>
      <c r="D221" s="5" t="s">
        <v>23</v>
      </c>
      <c r="E221" s="5" t="n">
        <v>69180.54</v>
      </c>
      <c r="F221" s="5" t="n">
        <v>5394</v>
      </c>
      <c r="G221" s="5" t="n">
        <v>0.126</v>
      </c>
      <c r="H221" s="5" t="n">
        <v>12</v>
      </c>
      <c r="I221" s="5" t="n">
        <v>82.9</v>
      </c>
      <c r="J221" s="5" t="n">
        <v>3.27</v>
      </c>
      <c r="K221" s="5" t="n">
        <v>0</v>
      </c>
      <c r="L221" s="5" t="n">
        <v>3.3</v>
      </c>
      <c r="M221" s="5" t="n">
        <v>674289.1</v>
      </c>
      <c r="N221" s="5" t="n">
        <v>117773.79</v>
      </c>
    </row>
    <row r="222" customFormat="false" ht="15" hidden="false" customHeight="true" outlineLevel="0" collapsed="false">
      <c r="A222" s="5" t="s">
        <v>78</v>
      </c>
      <c r="B222" s="5" t="s">
        <v>107</v>
      </c>
      <c r="C222" s="5" t="s">
        <v>22</v>
      </c>
      <c r="D222" s="5" t="s">
        <v>23</v>
      </c>
      <c r="E222" s="5" t="n">
        <v>33987.33</v>
      </c>
      <c r="F222" s="5" t="n">
        <v>5014</v>
      </c>
      <c r="G222" s="5" t="n">
        <v>0.246</v>
      </c>
      <c r="H222" s="5" t="n">
        <v>17</v>
      </c>
      <c r="I222" s="5" t="n">
        <v>94.3</v>
      </c>
      <c r="J222" s="5" t="n">
        <v>10.34</v>
      </c>
      <c r="K222" s="5" t="n">
        <v>0</v>
      </c>
      <c r="L222" s="5" t="n">
        <v>3.9</v>
      </c>
      <c r="M222" s="5" t="n">
        <v>622892.42</v>
      </c>
      <c r="N222" s="5" t="n">
        <v>101032.52</v>
      </c>
    </row>
    <row r="223" customFormat="false" ht="15" hidden="false" customHeight="true" outlineLevel="0" collapsed="false">
      <c r="A223" s="5" t="s">
        <v>78</v>
      </c>
      <c r="B223" s="5" t="s">
        <v>108</v>
      </c>
      <c r="C223" s="5" t="s">
        <v>22</v>
      </c>
      <c r="D223" s="5" t="s">
        <v>23</v>
      </c>
      <c r="E223" s="5" t="n">
        <v>58785.33</v>
      </c>
      <c r="F223" s="5" t="n">
        <v>4467</v>
      </c>
      <c r="G223" s="5" t="n">
        <v>0.229</v>
      </c>
      <c r="H223" s="5" t="n">
        <v>14</v>
      </c>
      <c r="I223" s="5" t="n">
        <v>90.7</v>
      </c>
      <c r="J223" s="5" t="n">
        <v>1.92</v>
      </c>
      <c r="K223" s="5" t="n">
        <v>0</v>
      </c>
      <c r="L223" s="5" t="n">
        <v>3.7</v>
      </c>
      <c r="M223" s="5" t="n">
        <v>673348.56</v>
      </c>
      <c r="N223" s="5" t="n">
        <v>69464.59</v>
      </c>
    </row>
    <row r="224" customFormat="false" ht="15" hidden="false" customHeight="true" outlineLevel="0" collapsed="false">
      <c r="A224" s="5" t="s">
        <v>78</v>
      </c>
      <c r="B224" s="5" t="s">
        <v>109</v>
      </c>
      <c r="C224" s="5" t="s">
        <v>22</v>
      </c>
      <c r="D224" s="5" t="s">
        <v>23</v>
      </c>
      <c r="E224" s="5" t="n">
        <v>16451.85</v>
      </c>
      <c r="F224" s="5" t="n">
        <v>4678</v>
      </c>
      <c r="G224" s="5" t="n">
        <v>0.133</v>
      </c>
      <c r="H224" s="5" t="n">
        <v>11</v>
      </c>
      <c r="I224" s="5" t="n">
        <v>95.9</v>
      </c>
      <c r="J224" s="5" t="n">
        <v>3.1</v>
      </c>
      <c r="K224" s="5" t="n">
        <v>0</v>
      </c>
      <c r="L224" s="5" t="n">
        <v>3.9</v>
      </c>
      <c r="M224" s="5" t="n">
        <v>606278.3</v>
      </c>
      <c r="N224" s="5" t="n">
        <v>102213.26</v>
      </c>
    </row>
    <row r="225" customFormat="false" ht="15" hidden="false" customHeight="true" outlineLevel="0" collapsed="false">
      <c r="A225" s="5" t="s">
        <v>79</v>
      </c>
      <c r="B225" s="5" t="s">
        <v>106</v>
      </c>
      <c r="C225" s="5" t="s">
        <v>17</v>
      </c>
      <c r="D225" s="5" t="s">
        <v>20</v>
      </c>
      <c r="E225" s="5" t="n">
        <v>53367.73</v>
      </c>
      <c r="F225" s="5" t="n">
        <v>7291</v>
      </c>
      <c r="G225" s="5" t="n">
        <v>0.146</v>
      </c>
      <c r="H225" s="5" t="n">
        <v>18</v>
      </c>
      <c r="I225" s="5" t="n">
        <v>90.6</v>
      </c>
      <c r="J225" s="5" t="n">
        <v>6.34</v>
      </c>
      <c r="K225" s="5" t="n">
        <v>1</v>
      </c>
      <c r="L225" s="5" t="n">
        <v>3.8</v>
      </c>
      <c r="M225" s="5" t="n">
        <v>712219.81</v>
      </c>
      <c r="N225" s="5" t="n">
        <v>85906.54</v>
      </c>
    </row>
    <row r="226" customFormat="false" ht="15" hidden="false" customHeight="true" outlineLevel="0" collapsed="false">
      <c r="A226" s="5" t="s">
        <v>79</v>
      </c>
      <c r="B226" s="5" t="s">
        <v>107</v>
      </c>
      <c r="C226" s="5" t="s">
        <v>17</v>
      </c>
      <c r="D226" s="5" t="s">
        <v>20</v>
      </c>
      <c r="E226" s="5" t="n">
        <v>27194.64</v>
      </c>
      <c r="F226" s="5" t="n">
        <v>7404</v>
      </c>
      <c r="G226" s="5" t="n">
        <v>0.088</v>
      </c>
      <c r="H226" s="5" t="n">
        <v>18</v>
      </c>
      <c r="I226" s="5" t="n">
        <v>90.2</v>
      </c>
      <c r="J226" s="5" t="n">
        <v>1.2</v>
      </c>
      <c r="K226" s="5" t="n">
        <v>0</v>
      </c>
      <c r="L226" s="5" t="n">
        <v>3.4</v>
      </c>
      <c r="M226" s="5" t="n">
        <v>672670.54</v>
      </c>
      <c r="N226" s="5" t="n">
        <v>132684.18</v>
      </c>
    </row>
    <row r="227" customFormat="false" ht="15" hidden="false" customHeight="true" outlineLevel="0" collapsed="false">
      <c r="A227" s="5" t="s">
        <v>79</v>
      </c>
      <c r="B227" s="5" t="s">
        <v>108</v>
      </c>
      <c r="C227" s="5" t="s">
        <v>17</v>
      </c>
      <c r="D227" s="5" t="s">
        <v>20</v>
      </c>
      <c r="E227" s="5" t="n">
        <v>66962.74</v>
      </c>
      <c r="F227" s="5" t="n">
        <v>7880</v>
      </c>
      <c r="G227" s="5" t="n">
        <v>0.116</v>
      </c>
      <c r="H227" s="5" t="n">
        <v>19</v>
      </c>
      <c r="I227" s="5" t="n">
        <v>90.4</v>
      </c>
      <c r="J227" s="5" t="n">
        <v>4.5</v>
      </c>
      <c r="K227" s="5" t="n">
        <v>0</v>
      </c>
      <c r="L227" s="5" t="n">
        <v>3.3</v>
      </c>
      <c r="M227" s="5" t="n">
        <v>732667.92</v>
      </c>
      <c r="N227" s="5" t="n">
        <v>128654.46</v>
      </c>
    </row>
    <row r="228" customFormat="false" ht="15" hidden="false" customHeight="true" outlineLevel="0" collapsed="false">
      <c r="A228" s="5" t="s">
        <v>79</v>
      </c>
      <c r="B228" s="5" t="s">
        <v>109</v>
      </c>
      <c r="C228" s="5" t="s">
        <v>17</v>
      </c>
      <c r="D228" s="5" t="s">
        <v>20</v>
      </c>
      <c r="E228" s="5" t="n">
        <v>73540.99</v>
      </c>
      <c r="F228" s="5" t="n">
        <v>8773</v>
      </c>
      <c r="G228" s="5" t="n">
        <v>0.035</v>
      </c>
      <c r="H228" s="5" t="n">
        <v>21</v>
      </c>
      <c r="I228" s="5" t="n">
        <v>84.4</v>
      </c>
      <c r="J228" s="5" t="n">
        <v>6.68</v>
      </c>
      <c r="K228" s="5" t="n">
        <v>0</v>
      </c>
      <c r="L228" s="5" t="n">
        <v>3.6</v>
      </c>
      <c r="M228" s="5" t="n">
        <v>723531.4</v>
      </c>
      <c r="N228" s="5" t="n">
        <v>108794.85</v>
      </c>
    </row>
    <row r="229" customFormat="false" ht="15" hidden="false" customHeight="true" outlineLevel="0" collapsed="false">
      <c r="A229" s="5" t="s">
        <v>80</v>
      </c>
      <c r="B229" s="5" t="s">
        <v>106</v>
      </c>
      <c r="C229" s="5" t="s">
        <v>17</v>
      </c>
      <c r="D229" s="5" t="s">
        <v>30</v>
      </c>
      <c r="E229" s="5" t="n">
        <v>68212.29</v>
      </c>
      <c r="F229" s="5" t="n">
        <v>4713</v>
      </c>
      <c r="G229" s="5" t="n">
        <v>0.198</v>
      </c>
      <c r="H229" s="5" t="n">
        <v>15</v>
      </c>
      <c r="I229" s="5" t="n">
        <v>82.6</v>
      </c>
      <c r="J229" s="5" t="n">
        <v>4.07</v>
      </c>
      <c r="K229" s="5" t="n">
        <v>1</v>
      </c>
      <c r="L229" s="5" t="n">
        <v>3</v>
      </c>
      <c r="M229" s="5" t="n">
        <v>641564.6</v>
      </c>
      <c r="N229" s="5" t="n">
        <v>90468.96</v>
      </c>
    </row>
    <row r="230" customFormat="false" ht="15" hidden="false" customHeight="true" outlineLevel="0" collapsed="false">
      <c r="A230" s="5" t="s">
        <v>80</v>
      </c>
      <c r="B230" s="5" t="s">
        <v>107</v>
      </c>
      <c r="C230" s="5" t="s">
        <v>17</v>
      </c>
      <c r="D230" s="5" t="s">
        <v>30</v>
      </c>
      <c r="E230" s="5" t="n">
        <v>57225.98</v>
      </c>
      <c r="F230" s="5" t="n">
        <v>2842</v>
      </c>
      <c r="G230" s="5" t="n">
        <v>0.112</v>
      </c>
      <c r="H230" s="5" t="n">
        <v>10</v>
      </c>
      <c r="I230" s="5" t="n">
        <v>79.5</v>
      </c>
      <c r="J230" s="5" t="n">
        <v>5.45</v>
      </c>
      <c r="K230" s="5" t="n">
        <v>0</v>
      </c>
      <c r="L230" s="5" t="n">
        <v>3.4</v>
      </c>
      <c r="M230" s="5" t="n">
        <v>536545.49</v>
      </c>
      <c r="N230" s="5" t="n">
        <v>97917.45</v>
      </c>
    </row>
    <row r="231" customFormat="false" ht="15" hidden="false" customHeight="true" outlineLevel="0" collapsed="false">
      <c r="A231" s="5" t="s">
        <v>80</v>
      </c>
      <c r="B231" s="5" t="s">
        <v>108</v>
      </c>
      <c r="C231" s="5" t="s">
        <v>17</v>
      </c>
      <c r="D231" s="5" t="s">
        <v>30</v>
      </c>
      <c r="E231" s="5" t="n">
        <v>42932.02</v>
      </c>
      <c r="F231" s="5" t="n">
        <v>3872</v>
      </c>
      <c r="G231" s="5" t="n">
        <v>0.171</v>
      </c>
      <c r="H231" s="5" t="n">
        <v>12</v>
      </c>
      <c r="I231" s="5" t="n">
        <v>83.2</v>
      </c>
      <c r="J231" s="5" t="n">
        <v>15.58</v>
      </c>
      <c r="K231" s="5" t="n">
        <v>0</v>
      </c>
      <c r="L231" s="5" t="n">
        <v>3.3</v>
      </c>
      <c r="M231" s="5" t="n">
        <v>527681.56</v>
      </c>
      <c r="N231" s="5" t="n">
        <v>63153.05</v>
      </c>
    </row>
    <row r="232" customFormat="false" ht="15" hidden="false" customHeight="true" outlineLevel="0" collapsed="false">
      <c r="A232" s="5" t="s">
        <v>80</v>
      </c>
      <c r="B232" s="5" t="s">
        <v>109</v>
      </c>
      <c r="C232" s="5" t="s">
        <v>17</v>
      </c>
      <c r="D232" s="5" t="s">
        <v>30</v>
      </c>
      <c r="E232" s="5" t="n">
        <v>39341.45</v>
      </c>
      <c r="F232" s="5" t="n">
        <v>1375</v>
      </c>
      <c r="G232" s="5" t="n">
        <v>0.093</v>
      </c>
      <c r="H232" s="5" t="n">
        <v>5</v>
      </c>
      <c r="I232" s="5" t="n">
        <v>95</v>
      </c>
      <c r="J232" s="5" t="n">
        <v>5.32</v>
      </c>
      <c r="K232" s="5" t="n">
        <v>0</v>
      </c>
      <c r="L232" s="5" t="n">
        <v>3.9</v>
      </c>
      <c r="M232" s="5" t="n">
        <v>529598.94</v>
      </c>
      <c r="N232" s="5" t="n">
        <v>84334.33</v>
      </c>
    </row>
    <row r="233" customFormat="false" ht="15" hidden="false" customHeight="true" outlineLevel="0" collapsed="false">
      <c r="A233" s="5" t="s">
        <v>81</v>
      </c>
      <c r="B233" s="5" t="s">
        <v>106</v>
      </c>
      <c r="C233" s="5" t="s">
        <v>17</v>
      </c>
      <c r="D233" s="5" t="s">
        <v>20</v>
      </c>
      <c r="E233" s="5" t="n">
        <v>37324.23</v>
      </c>
      <c r="F233" s="5" t="n">
        <v>5957</v>
      </c>
      <c r="G233" s="5" t="n">
        <v>0.071</v>
      </c>
      <c r="H233" s="5" t="n">
        <v>12</v>
      </c>
      <c r="I233" s="5" t="n">
        <v>85.9</v>
      </c>
      <c r="J233" s="5" t="n">
        <v>0.37</v>
      </c>
      <c r="K233" s="5" t="n">
        <v>0</v>
      </c>
      <c r="L233" s="5" t="n">
        <v>3.8</v>
      </c>
      <c r="M233" s="5" t="n">
        <v>570963.31</v>
      </c>
      <c r="N233" s="5" t="n">
        <v>87342.25</v>
      </c>
    </row>
    <row r="234" customFormat="false" ht="15" hidden="false" customHeight="true" outlineLevel="0" collapsed="false">
      <c r="A234" s="5" t="s">
        <v>81</v>
      </c>
      <c r="B234" s="5" t="s">
        <v>107</v>
      </c>
      <c r="C234" s="5" t="s">
        <v>17</v>
      </c>
      <c r="D234" s="5" t="s">
        <v>20</v>
      </c>
      <c r="E234" s="5" t="n">
        <v>113736</v>
      </c>
      <c r="F234" s="5" t="n">
        <v>8961</v>
      </c>
      <c r="G234" s="5" t="n">
        <v>0.202</v>
      </c>
      <c r="H234" s="5" t="n">
        <v>24</v>
      </c>
      <c r="I234" s="5" t="n">
        <v>86.2</v>
      </c>
      <c r="J234" s="5" t="n">
        <v>21.63</v>
      </c>
      <c r="K234" s="5" t="n">
        <v>0</v>
      </c>
      <c r="L234" s="5" t="n">
        <v>4</v>
      </c>
      <c r="M234" s="5" t="n">
        <v>870937.4</v>
      </c>
      <c r="N234" s="5" t="n">
        <v>175282.74</v>
      </c>
    </row>
    <row r="235" customFormat="false" ht="15" hidden="false" customHeight="true" outlineLevel="0" collapsed="false">
      <c r="A235" s="5" t="s">
        <v>81</v>
      </c>
      <c r="B235" s="5" t="s">
        <v>108</v>
      </c>
      <c r="C235" s="5" t="s">
        <v>17</v>
      </c>
      <c r="D235" s="5" t="s">
        <v>20</v>
      </c>
      <c r="E235" s="5" t="n">
        <v>33173.95</v>
      </c>
      <c r="F235" s="5" t="n">
        <v>6545</v>
      </c>
      <c r="G235" s="5" t="n">
        <v>0.169</v>
      </c>
      <c r="H235" s="5" t="n">
        <v>15</v>
      </c>
      <c r="I235" s="5" t="n">
        <v>84.4</v>
      </c>
      <c r="J235" s="5" t="n">
        <v>2.48</v>
      </c>
      <c r="K235" s="5" t="n">
        <v>0</v>
      </c>
      <c r="L235" s="5" t="n">
        <v>3.9</v>
      </c>
      <c r="M235" s="5" t="n">
        <v>596969.27</v>
      </c>
      <c r="N235" s="5" t="n">
        <v>105669.51</v>
      </c>
    </row>
    <row r="236" customFormat="false" ht="15" hidden="false" customHeight="true" outlineLevel="0" collapsed="false">
      <c r="A236" s="5" t="s">
        <v>81</v>
      </c>
      <c r="B236" s="5" t="s">
        <v>109</v>
      </c>
      <c r="C236" s="5" t="s">
        <v>17</v>
      </c>
      <c r="D236" s="5" t="s">
        <v>20</v>
      </c>
      <c r="E236" s="5" t="n">
        <v>25818.08</v>
      </c>
      <c r="F236" s="5" t="n">
        <v>5457</v>
      </c>
      <c r="G236" s="5" t="n">
        <v>0</v>
      </c>
      <c r="H236" s="5" t="n">
        <v>11</v>
      </c>
      <c r="I236" s="5" t="n">
        <v>95.4</v>
      </c>
      <c r="J236" s="5" t="n">
        <v>3.365</v>
      </c>
      <c r="K236" s="5" t="n">
        <v>0</v>
      </c>
      <c r="L236" s="5" t="n">
        <v>3.7</v>
      </c>
      <c r="M236" s="5" t="n">
        <v>647512.85</v>
      </c>
      <c r="N236" s="5" t="n">
        <v>153835.57</v>
      </c>
    </row>
    <row r="237" customFormat="false" ht="15" hidden="false" customHeight="true" outlineLevel="0" collapsed="false">
      <c r="A237" s="5" t="s">
        <v>82</v>
      </c>
      <c r="B237" s="5" t="s">
        <v>106</v>
      </c>
      <c r="C237" s="5" t="s">
        <v>29</v>
      </c>
      <c r="D237" s="5" t="s">
        <v>18</v>
      </c>
      <c r="E237" s="5" t="n">
        <v>47241.92</v>
      </c>
      <c r="F237" s="5" t="n">
        <v>4264</v>
      </c>
      <c r="G237" s="5" t="n">
        <v>0.069</v>
      </c>
      <c r="H237" s="5" t="n">
        <v>13</v>
      </c>
      <c r="I237" s="5" t="n">
        <v>95.3</v>
      </c>
      <c r="J237" s="5" t="n">
        <v>0.85</v>
      </c>
      <c r="K237" s="5" t="n">
        <v>0</v>
      </c>
      <c r="L237" s="5" t="n">
        <v>4.3</v>
      </c>
      <c r="M237" s="5" t="n">
        <v>658072.14</v>
      </c>
      <c r="N237" s="5" t="n">
        <v>110595.89</v>
      </c>
    </row>
    <row r="238" customFormat="false" ht="15" hidden="false" customHeight="true" outlineLevel="0" collapsed="false">
      <c r="A238" s="5" t="s">
        <v>82</v>
      </c>
      <c r="B238" s="5" t="s">
        <v>107</v>
      </c>
      <c r="C238" s="5" t="s">
        <v>29</v>
      </c>
      <c r="D238" s="5" t="s">
        <v>18</v>
      </c>
      <c r="E238" s="5" t="n">
        <v>61650.79</v>
      </c>
      <c r="F238" s="5" t="n">
        <v>5321</v>
      </c>
      <c r="G238" s="5" t="n">
        <v>0.126</v>
      </c>
      <c r="H238" s="5" t="n">
        <v>17</v>
      </c>
      <c r="I238" s="5" t="n">
        <v>89.2</v>
      </c>
      <c r="J238" s="5" t="n">
        <v>2.13</v>
      </c>
      <c r="K238" s="5" t="n">
        <v>0</v>
      </c>
      <c r="L238" s="5" t="n">
        <v>4</v>
      </c>
      <c r="M238" s="5" t="n">
        <v>723305.11</v>
      </c>
      <c r="N238" s="5" t="n">
        <v>128468.7</v>
      </c>
    </row>
    <row r="239" customFormat="false" ht="15" hidden="false" customHeight="true" outlineLevel="0" collapsed="false">
      <c r="A239" s="5" t="s">
        <v>82</v>
      </c>
      <c r="B239" s="5" t="s">
        <v>108</v>
      </c>
      <c r="C239" s="5" t="s">
        <v>29</v>
      </c>
      <c r="D239" s="5" t="s">
        <v>18</v>
      </c>
      <c r="E239" s="5" t="n">
        <v>62582.71</v>
      </c>
      <c r="F239" s="5" t="n">
        <v>5479</v>
      </c>
      <c r="G239" s="5" t="n">
        <v>0.048</v>
      </c>
      <c r="H239" s="5" t="n">
        <v>16</v>
      </c>
      <c r="I239" s="5" t="n">
        <v>81.2</v>
      </c>
      <c r="J239" s="5" t="n">
        <v>1.46</v>
      </c>
      <c r="K239" s="5" t="n">
        <v>0</v>
      </c>
      <c r="L239" s="5" t="n">
        <v>4.5</v>
      </c>
      <c r="M239" s="5" t="n">
        <v>640666.53</v>
      </c>
      <c r="N239" s="5" t="n">
        <v>134919.16</v>
      </c>
    </row>
    <row r="240" customFormat="false" ht="15" hidden="false" customHeight="true" outlineLevel="0" collapsed="false">
      <c r="A240" s="5" t="s">
        <v>82</v>
      </c>
      <c r="B240" s="5" t="s">
        <v>109</v>
      </c>
      <c r="C240" s="5" t="s">
        <v>29</v>
      </c>
      <c r="D240" s="5" t="s">
        <v>18</v>
      </c>
      <c r="E240" s="5" t="n">
        <v>47944.14</v>
      </c>
      <c r="F240" s="5" t="n">
        <v>6169</v>
      </c>
      <c r="G240" s="5" t="n">
        <v>0.119</v>
      </c>
      <c r="H240" s="5" t="n">
        <v>17</v>
      </c>
      <c r="I240" s="5" t="n">
        <v>92.2</v>
      </c>
      <c r="J240" s="5" t="n">
        <v>3.02</v>
      </c>
      <c r="K240" s="5" t="n">
        <v>0</v>
      </c>
      <c r="L240" s="5" t="n">
        <v>4.1</v>
      </c>
      <c r="M240" s="5" t="n">
        <v>670629.48</v>
      </c>
      <c r="N240" s="5" t="n">
        <v>100140.8</v>
      </c>
    </row>
    <row r="241" customFormat="false" ht="15" hidden="false" customHeight="true" outlineLevel="0" collapsed="false">
      <c r="A241" s="5" t="s">
        <v>83</v>
      </c>
      <c r="B241" s="5" t="s">
        <v>106</v>
      </c>
      <c r="C241" s="5" t="s">
        <v>29</v>
      </c>
      <c r="D241" s="5" t="s">
        <v>30</v>
      </c>
      <c r="E241" s="5" t="n">
        <v>46495.4</v>
      </c>
      <c r="F241" s="5" t="n">
        <v>9908</v>
      </c>
      <c r="G241" s="5" t="n">
        <v>0.121</v>
      </c>
      <c r="H241" s="5" t="n">
        <v>22</v>
      </c>
      <c r="I241" s="5" t="n">
        <v>89.4</v>
      </c>
      <c r="J241" s="5" t="n">
        <v>3.22</v>
      </c>
      <c r="K241" s="5" t="n">
        <v>0</v>
      </c>
      <c r="L241" s="5" t="n">
        <v>3.7</v>
      </c>
      <c r="M241" s="5" t="n">
        <v>721079.35</v>
      </c>
      <c r="N241" s="5" t="n">
        <v>115295.05</v>
      </c>
    </row>
    <row r="242" customFormat="false" ht="15" hidden="false" customHeight="true" outlineLevel="0" collapsed="false">
      <c r="A242" s="5" t="s">
        <v>83</v>
      </c>
      <c r="B242" s="5" t="s">
        <v>107</v>
      </c>
      <c r="C242" s="5" t="s">
        <v>29</v>
      </c>
      <c r="D242" s="5" t="s">
        <v>30</v>
      </c>
      <c r="E242" s="5" t="n">
        <v>72961.95</v>
      </c>
      <c r="F242" s="5" t="n">
        <v>9996</v>
      </c>
      <c r="G242" s="5" t="n">
        <v>0.106</v>
      </c>
      <c r="H242" s="5" t="n">
        <v>22</v>
      </c>
      <c r="I242" s="5" t="n">
        <v>89.1</v>
      </c>
      <c r="J242" s="5" t="n">
        <v>15.66</v>
      </c>
      <c r="K242" s="5" t="n">
        <v>0</v>
      </c>
      <c r="L242" s="5" t="n">
        <v>3.4</v>
      </c>
      <c r="M242" s="5" t="n">
        <v>810355.02</v>
      </c>
      <c r="N242" s="5" t="n">
        <v>131510</v>
      </c>
    </row>
    <row r="243" customFormat="false" ht="15" hidden="false" customHeight="true" outlineLevel="0" collapsed="false">
      <c r="A243" s="5" t="s">
        <v>83</v>
      </c>
      <c r="B243" s="5" t="s">
        <v>108</v>
      </c>
      <c r="C243" s="5" t="s">
        <v>29</v>
      </c>
      <c r="D243" s="5" t="s">
        <v>30</v>
      </c>
      <c r="E243" s="5" t="n">
        <v>59060.05</v>
      </c>
      <c r="F243" s="5" t="n">
        <v>9702</v>
      </c>
      <c r="G243" s="5" t="n">
        <v>0.201</v>
      </c>
      <c r="H243" s="5" t="n">
        <v>23</v>
      </c>
      <c r="I243" s="5" t="n">
        <v>80.9</v>
      </c>
      <c r="J243" s="5" t="n">
        <v>6.96</v>
      </c>
      <c r="K243" s="5" t="n">
        <v>0</v>
      </c>
      <c r="L243" s="5" t="n">
        <v>3.2</v>
      </c>
      <c r="M243" s="5" t="n">
        <v>761919.25</v>
      </c>
      <c r="N243" s="5" t="n">
        <v>111893.06</v>
      </c>
    </row>
    <row r="244" customFormat="false" ht="15" hidden="false" customHeight="true" outlineLevel="0" collapsed="false">
      <c r="A244" s="5" t="s">
        <v>83</v>
      </c>
      <c r="B244" s="5" t="s">
        <v>109</v>
      </c>
      <c r="C244" s="5" t="s">
        <v>29</v>
      </c>
      <c r="D244" s="5" t="s">
        <v>30</v>
      </c>
      <c r="E244" s="5" t="n">
        <v>26248.1</v>
      </c>
      <c r="F244" s="5" t="n">
        <v>9314</v>
      </c>
      <c r="G244" s="5" t="n">
        <v>0.186</v>
      </c>
      <c r="H244" s="5" t="n">
        <v>21</v>
      </c>
      <c r="I244" s="5" t="n">
        <v>83.7</v>
      </c>
      <c r="J244" s="5" t="n">
        <v>4.62</v>
      </c>
      <c r="K244" s="5" t="n">
        <v>0</v>
      </c>
      <c r="L244" s="5" t="n">
        <v>3.3</v>
      </c>
      <c r="M244" s="5" t="n">
        <v>737070.18</v>
      </c>
      <c r="N244" s="5" t="n">
        <v>117593.97</v>
      </c>
    </row>
    <row r="245" customFormat="false" ht="15" hidden="false" customHeight="true" outlineLevel="0" collapsed="false">
      <c r="A245" s="5" t="s">
        <v>84</v>
      </c>
      <c r="B245" s="5" t="s">
        <v>106</v>
      </c>
      <c r="C245" s="5" t="s">
        <v>26</v>
      </c>
      <c r="D245" s="5" t="s">
        <v>23</v>
      </c>
      <c r="E245" s="5" t="n">
        <v>69900.12</v>
      </c>
      <c r="F245" s="5" t="n">
        <v>8055</v>
      </c>
      <c r="G245" s="5" t="n">
        <v>0.281</v>
      </c>
      <c r="H245" s="5" t="n">
        <v>22</v>
      </c>
      <c r="I245" s="5" t="n">
        <v>85.6</v>
      </c>
      <c r="J245" s="5" t="n">
        <v>10.68</v>
      </c>
      <c r="K245" s="5" t="n">
        <v>1</v>
      </c>
      <c r="L245" s="5" t="n">
        <v>2.9</v>
      </c>
      <c r="M245" s="5" t="n">
        <v>776992.93</v>
      </c>
      <c r="N245" s="5" t="n">
        <v>101598.32</v>
      </c>
    </row>
    <row r="246" customFormat="false" ht="15" hidden="false" customHeight="true" outlineLevel="0" collapsed="false">
      <c r="A246" s="5" t="s">
        <v>84</v>
      </c>
      <c r="B246" s="5" t="s">
        <v>107</v>
      </c>
      <c r="C246" s="5" t="s">
        <v>26</v>
      </c>
      <c r="D246" s="5" t="s">
        <v>23</v>
      </c>
      <c r="E246" s="5" t="n">
        <v>51781.6</v>
      </c>
      <c r="F246" s="5" t="n">
        <v>5648</v>
      </c>
      <c r="G246" s="5" t="n">
        <v>0.059</v>
      </c>
      <c r="H246" s="5" t="n">
        <v>13</v>
      </c>
      <c r="I246" s="5" t="n">
        <v>85.5</v>
      </c>
      <c r="J246" s="5" t="n">
        <v>4.04</v>
      </c>
      <c r="K246" s="5" t="n">
        <v>0</v>
      </c>
      <c r="L246" s="5" t="n">
        <v>3.7</v>
      </c>
      <c r="M246" s="5" t="n">
        <v>676337.41</v>
      </c>
      <c r="N246" s="5" t="n">
        <v>104355.77</v>
      </c>
    </row>
    <row r="247" customFormat="false" ht="15" hidden="false" customHeight="true" outlineLevel="0" collapsed="false">
      <c r="A247" s="5" t="s">
        <v>84</v>
      </c>
      <c r="B247" s="5" t="s">
        <v>108</v>
      </c>
      <c r="C247" s="5" t="s">
        <v>26</v>
      </c>
      <c r="D247" s="5" t="s">
        <v>23</v>
      </c>
      <c r="E247" s="5" t="n">
        <v>70799.64</v>
      </c>
      <c r="F247" s="5" t="n">
        <v>10076</v>
      </c>
      <c r="G247" s="5" t="n">
        <v>0.152</v>
      </c>
      <c r="H247" s="5" t="n">
        <v>24</v>
      </c>
      <c r="I247" s="5" t="n">
        <v>84.8</v>
      </c>
      <c r="J247" s="5" t="n">
        <v>1.87</v>
      </c>
      <c r="K247" s="5" t="n">
        <v>0</v>
      </c>
      <c r="L247" s="5" t="n">
        <v>3.5</v>
      </c>
      <c r="M247" s="5" t="n">
        <v>828219.67</v>
      </c>
      <c r="N247" s="5" t="n">
        <v>179806.87</v>
      </c>
    </row>
    <row r="248" customFormat="false" ht="15" hidden="false" customHeight="true" outlineLevel="0" collapsed="false">
      <c r="A248" s="5" t="s">
        <v>84</v>
      </c>
      <c r="B248" s="5" t="s">
        <v>109</v>
      </c>
      <c r="C248" s="5" t="s">
        <v>26</v>
      </c>
      <c r="D248" s="5" t="s">
        <v>23</v>
      </c>
      <c r="E248" s="5" t="n">
        <v>53546.34</v>
      </c>
      <c r="F248" s="5" t="n">
        <v>8004</v>
      </c>
      <c r="G248" s="5" t="n">
        <v>0</v>
      </c>
      <c r="H248" s="5" t="n">
        <v>21</v>
      </c>
      <c r="I248" s="5" t="n">
        <v>95.2</v>
      </c>
      <c r="J248" s="5" t="n">
        <v>2.83</v>
      </c>
      <c r="K248" s="5" t="n">
        <v>0</v>
      </c>
      <c r="L248" s="5" t="n">
        <v>3</v>
      </c>
      <c r="M248" s="5" t="n">
        <v>763159.92</v>
      </c>
      <c r="N248" s="5" t="n">
        <v>177104.87</v>
      </c>
    </row>
    <row r="249" customFormat="false" ht="15" hidden="false" customHeight="true" outlineLevel="0" collapsed="false">
      <c r="A249" s="5" t="s">
        <v>85</v>
      </c>
      <c r="B249" s="5" t="s">
        <v>106</v>
      </c>
      <c r="C249" s="5" t="s">
        <v>17</v>
      </c>
      <c r="D249" s="5" t="s">
        <v>20</v>
      </c>
      <c r="E249" s="5" t="n">
        <v>76942.2</v>
      </c>
      <c r="F249" s="5" t="n">
        <v>8934</v>
      </c>
      <c r="G249" s="5" t="n">
        <v>0.084</v>
      </c>
      <c r="H249" s="5" t="n">
        <v>20</v>
      </c>
      <c r="I249" s="5" t="n">
        <v>91</v>
      </c>
      <c r="J249" s="5" t="n">
        <v>0.95</v>
      </c>
      <c r="K249" s="5" t="n">
        <v>0</v>
      </c>
      <c r="L249" s="5" t="n">
        <v>3.2</v>
      </c>
      <c r="M249" s="5" t="n">
        <v>802001.68</v>
      </c>
      <c r="N249" s="5" t="n">
        <v>159715.82</v>
      </c>
    </row>
    <row r="250" customFormat="false" ht="15" hidden="false" customHeight="true" outlineLevel="0" collapsed="false">
      <c r="A250" s="5" t="s">
        <v>85</v>
      </c>
      <c r="B250" s="5" t="s">
        <v>107</v>
      </c>
      <c r="C250" s="5" t="s">
        <v>17</v>
      </c>
      <c r="D250" s="5" t="s">
        <v>20</v>
      </c>
      <c r="E250" s="5" t="n">
        <v>48060.78</v>
      </c>
      <c r="F250" s="5" t="n">
        <v>8733</v>
      </c>
      <c r="G250" s="5" t="n">
        <v>0</v>
      </c>
      <c r="H250" s="5" t="n">
        <v>20</v>
      </c>
      <c r="I250" s="5" t="n">
        <v>89.9</v>
      </c>
      <c r="J250" s="5" t="n">
        <v>0.8</v>
      </c>
      <c r="K250" s="5" t="n">
        <v>0</v>
      </c>
      <c r="L250" s="5" t="n">
        <v>3.4</v>
      </c>
      <c r="M250" s="5" t="n">
        <v>750471.34</v>
      </c>
      <c r="N250" s="5" t="n">
        <v>133788.04</v>
      </c>
    </row>
    <row r="251" customFormat="false" ht="15" hidden="false" customHeight="true" outlineLevel="0" collapsed="false">
      <c r="A251" s="5" t="s">
        <v>85</v>
      </c>
      <c r="B251" s="5" t="s">
        <v>108</v>
      </c>
      <c r="C251" s="5" t="s">
        <v>17</v>
      </c>
      <c r="D251" s="5" t="s">
        <v>20</v>
      </c>
      <c r="E251" s="5" t="n">
        <v>57390.04</v>
      </c>
      <c r="F251" s="5" t="n">
        <v>7374</v>
      </c>
      <c r="G251" s="5" t="n">
        <v>0.21</v>
      </c>
      <c r="H251" s="5" t="n">
        <v>21</v>
      </c>
      <c r="I251" s="5" t="n">
        <v>91.8</v>
      </c>
      <c r="J251" s="5" t="n">
        <v>0.2</v>
      </c>
      <c r="K251" s="5" t="n">
        <v>0</v>
      </c>
      <c r="L251" s="5" t="n">
        <v>3.1</v>
      </c>
      <c r="M251" s="5" t="n">
        <v>679230.86</v>
      </c>
      <c r="N251" s="5" t="n">
        <v>106927.58</v>
      </c>
    </row>
    <row r="252" customFormat="false" ht="15" hidden="false" customHeight="true" outlineLevel="0" collapsed="false">
      <c r="A252" s="5" t="s">
        <v>85</v>
      </c>
      <c r="B252" s="5" t="s">
        <v>109</v>
      </c>
      <c r="C252" s="5" t="s">
        <v>17</v>
      </c>
      <c r="D252" s="5" t="s">
        <v>20</v>
      </c>
      <c r="E252" s="5" t="n">
        <v>21536.18</v>
      </c>
      <c r="F252" s="5" t="n">
        <v>8119</v>
      </c>
      <c r="G252" s="5" t="n">
        <v>0.227</v>
      </c>
      <c r="H252" s="5" t="n">
        <v>20</v>
      </c>
      <c r="I252" s="5" t="n">
        <v>90.4</v>
      </c>
      <c r="J252" s="5" t="n">
        <v>1.7</v>
      </c>
      <c r="K252" s="5" t="n">
        <v>0</v>
      </c>
      <c r="L252" s="5" t="n">
        <v>3.3</v>
      </c>
      <c r="M252" s="5" t="n">
        <v>679888.74</v>
      </c>
      <c r="N252" s="5" t="n">
        <v>83406.89</v>
      </c>
    </row>
    <row r="253" customFormat="false" ht="15" hidden="false" customHeight="true" outlineLevel="0" collapsed="false">
      <c r="A253" s="5" t="s">
        <v>86</v>
      </c>
      <c r="B253" s="5" t="s">
        <v>106</v>
      </c>
      <c r="C253" s="5" t="s">
        <v>22</v>
      </c>
      <c r="D253" s="5" t="s">
        <v>20</v>
      </c>
      <c r="E253" s="5" t="n">
        <v>40923.67</v>
      </c>
      <c r="F253" s="5" t="n">
        <v>3875</v>
      </c>
      <c r="G253" s="5" t="n">
        <v>0.15</v>
      </c>
      <c r="H253" s="5" t="n">
        <v>10</v>
      </c>
      <c r="I253" s="5" t="n">
        <v>96.1</v>
      </c>
      <c r="J253" s="5" t="n">
        <v>3.365</v>
      </c>
      <c r="K253" s="5" t="n">
        <v>0</v>
      </c>
      <c r="L253" s="5" t="n">
        <v>3.8</v>
      </c>
      <c r="M253" s="5" t="n">
        <v>606783.67</v>
      </c>
      <c r="N253" s="5" t="n">
        <v>74515.87</v>
      </c>
    </row>
    <row r="254" customFormat="false" ht="15" hidden="false" customHeight="true" outlineLevel="0" collapsed="false">
      <c r="A254" s="5" t="s">
        <v>86</v>
      </c>
      <c r="B254" s="5" t="s">
        <v>107</v>
      </c>
      <c r="C254" s="5" t="s">
        <v>22</v>
      </c>
      <c r="D254" s="5" t="s">
        <v>20</v>
      </c>
      <c r="E254" s="5" t="n">
        <v>72932.55</v>
      </c>
      <c r="F254" s="5" t="n">
        <v>5765</v>
      </c>
      <c r="G254" s="5" t="n">
        <v>0.026</v>
      </c>
      <c r="H254" s="5" t="n">
        <v>17</v>
      </c>
      <c r="I254" s="5" t="n">
        <v>81.8</v>
      </c>
      <c r="J254" s="5" t="n">
        <v>5.1</v>
      </c>
      <c r="K254" s="5" t="n">
        <v>0</v>
      </c>
      <c r="L254" s="5" t="n">
        <v>3.6</v>
      </c>
      <c r="M254" s="5" t="n">
        <v>642751.42</v>
      </c>
      <c r="N254" s="5" t="n">
        <v>131942.15</v>
      </c>
    </row>
    <row r="255" customFormat="false" ht="15" hidden="false" customHeight="true" outlineLevel="0" collapsed="false">
      <c r="A255" s="5" t="s">
        <v>86</v>
      </c>
      <c r="B255" s="5" t="s">
        <v>108</v>
      </c>
      <c r="C255" s="5" t="s">
        <v>22</v>
      </c>
      <c r="D255" s="5" t="s">
        <v>20</v>
      </c>
      <c r="E255" s="5" t="n">
        <v>38361.93</v>
      </c>
      <c r="F255" s="5" t="n">
        <v>6322</v>
      </c>
      <c r="G255" s="5" t="n">
        <v>0.273</v>
      </c>
      <c r="H255" s="5" t="n">
        <v>15</v>
      </c>
      <c r="I255" s="5" t="n">
        <v>88.4</v>
      </c>
      <c r="J255" s="5" t="n">
        <v>0.83</v>
      </c>
      <c r="K255" s="5" t="n">
        <v>0</v>
      </c>
      <c r="L255" s="5" t="n">
        <v>4</v>
      </c>
      <c r="M255" s="5" t="n">
        <v>647953.78</v>
      </c>
      <c r="N255" s="5" t="n">
        <v>118497.43</v>
      </c>
    </row>
    <row r="256" customFormat="false" ht="15" hidden="false" customHeight="true" outlineLevel="0" collapsed="false">
      <c r="A256" s="5" t="s">
        <v>86</v>
      </c>
      <c r="B256" s="5" t="s">
        <v>109</v>
      </c>
      <c r="C256" s="5" t="s">
        <v>22</v>
      </c>
      <c r="D256" s="5" t="s">
        <v>20</v>
      </c>
      <c r="E256" s="5" t="n">
        <v>97480.94</v>
      </c>
      <c r="F256" s="5" t="n">
        <v>6840</v>
      </c>
      <c r="G256" s="5" t="n">
        <v>0.087</v>
      </c>
      <c r="H256" s="5" t="n">
        <v>14</v>
      </c>
      <c r="I256" s="5" t="n">
        <v>79.2</v>
      </c>
      <c r="J256" s="5" t="n">
        <v>1.14</v>
      </c>
      <c r="K256" s="5" t="n">
        <v>0</v>
      </c>
      <c r="L256" s="5" t="n">
        <v>4</v>
      </c>
      <c r="M256" s="5" t="n">
        <v>729440.45</v>
      </c>
      <c r="N256" s="5" t="n">
        <v>87614.29</v>
      </c>
    </row>
    <row r="257" customFormat="false" ht="15" hidden="false" customHeight="true" outlineLevel="0" collapsed="false">
      <c r="A257" s="5" t="s">
        <v>87</v>
      </c>
      <c r="B257" s="5" t="s">
        <v>106</v>
      </c>
      <c r="C257" s="5" t="s">
        <v>26</v>
      </c>
      <c r="D257" s="5" t="s">
        <v>23</v>
      </c>
      <c r="E257" s="5" t="n">
        <v>81801.8</v>
      </c>
      <c r="F257" s="5" t="n">
        <v>6782</v>
      </c>
      <c r="G257" s="5" t="n">
        <v>0.05</v>
      </c>
      <c r="H257" s="5" t="n">
        <v>16</v>
      </c>
      <c r="I257" s="5" t="n">
        <v>99</v>
      </c>
      <c r="J257" s="5" t="n">
        <v>9.54</v>
      </c>
      <c r="K257" s="5" t="n">
        <v>0</v>
      </c>
      <c r="L257" s="5" t="n">
        <v>3.7</v>
      </c>
      <c r="M257" s="5" t="n">
        <v>764949</v>
      </c>
      <c r="N257" s="5" t="n">
        <v>148322.43</v>
      </c>
    </row>
    <row r="258" customFormat="false" ht="15" hidden="false" customHeight="true" outlineLevel="0" collapsed="false">
      <c r="A258" s="5" t="s">
        <v>87</v>
      </c>
      <c r="B258" s="5" t="s">
        <v>107</v>
      </c>
      <c r="C258" s="5" t="s">
        <v>26</v>
      </c>
      <c r="D258" s="5" t="s">
        <v>23</v>
      </c>
      <c r="E258" s="5" t="n">
        <v>63582.11</v>
      </c>
      <c r="F258" s="5" t="n">
        <v>6856</v>
      </c>
      <c r="G258" s="5" t="n">
        <v>0.074</v>
      </c>
      <c r="H258" s="5" t="n">
        <v>17</v>
      </c>
      <c r="I258" s="5" t="n">
        <v>89.5</v>
      </c>
      <c r="J258" s="5" t="n">
        <v>5.48</v>
      </c>
      <c r="K258" s="5" t="n">
        <v>0</v>
      </c>
      <c r="L258" s="5" t="n">
        <v>3.2</v>
      </c>
      <c r="M258" s="5" t="n">
        <v>799046.94</v>
      </c>
      <c r="N258" s="5" t="n">
        <v>144553.64</v>
      </c>
    </row>
    <row r="259" customFormat="false" ht="15" hidden="false" customHeight="true" outlineLevel="0" collapsed="false">
      <c r="A259" s="5" t="s">
        <v>87</v>
      </c>
      <c r="B259" s="5" t="s">
        <v>108</v>
      </c>
      <c r="C259" s="5" t="s">
        <v>26</v>
      </c>
      <c r="D259" s="5" t="s">
        <v>23</v>
      </c>
      <c r="E259" s="5" t="n">
        <v>75412.74</v>
      </c>
      <c r="F259" s="5" t="n">
        <v>5641</v>
      </c>
      <c r="G259" s="5" t="n">
        <v>0.059</v>
      </c>
      <c r="H259" s="5" t="n">
        <v>13</v>
      </c>
      <c r="I259" s="5" t="n">
        <v>87.9</v>
      </c>
      <c r="J259" s="5" t="n">
        <v>0.84</v>
      </c>
      <c r="K259" s="5" t="n">
        <v>0</v>
      </c>
      <c r="L259" s="5" t="n">
        <v>3.6</v>
      </c>
      <c r="M259" s="5" t="n">
        <v>720079.54</v>
      </c>
      <c r="N259" s="5" t="n">
        <v>119499.47</v>
      </c>
    </row>
    <row r="260" customFormat="false" ht="15" hidden="false" customHeight="true" outlineLevel="0" collapsed="false">
      <c r="A260" s="5" t="s">
        <v>87</v>
      </c>
      <c r="B260" s="5" t="s">
        <v>109</v>
      </c>
      <c r="C260" s="5" t="s">
        <v>26</v>
      </c>
      <c r="D260" s="5" t="s">
        <v>23</v>
      </c>
      <c r="E260" s="5" t="n">
        <v>36290.08</v>
      </c>
      <c r="F260" s="5" t="n">
        <v>5787</v>
      </c>
      <c r="G260" s="5" t="n">
        <v>0</v>
      </c>
      <c r="H260" s="5" t="n">
        <v>17</v>
      </c>
      <c r="I260" s="5" t="n">
        <v>88.3</v>
      </c>
      <c r="J260" s="5" t="n">
        <v>4.19</v>
      </c>
      <c r="K260" s="5" t="n">
        <v>0</v>
      </c>
      <c r="L260" s="5" t="n">
        <v>4.1</v>
      </c>
      <c r="M260" s="5" t="n">
        <v>612390.14</v>
      </c>
      <c r="N260" s="5" t="n">
        <v>108985.74</v>
      </c>
    </row>
    <row r="261" customFormat="false" ht="15" hidden="false" customHeight="true" outlineLevel="0" collapsed="false">
      <c r="A261" s="5" t="s">
        <v>88</v>
      </c>
      <c r="B261" s="5" t="s">
        <v>106</v>
      </c>
      <c r="C261" s="5" t="s">
        <v>26</v>
      </c>
      <c r="D261" s="5" t="s">
        <v>30</v>
      </c>
      <c r="E261" s="5" t="n">
        <v>65272.58</v>
      </c>
      <c r="F261" s="5" t="n">
        <v>8165</v>
      </c>
      <c r="G261" s="5" t="n">
        <v>0.051</v>
      </c>
      <c r="H261" s="5" t="n">
        <v>19</v>
      </c>
      <c r="I261" s="5" t="n">
        <v>87.8</v>
      </c>
      <c r="J261" s="5" t="n">
        <v>1.26</v>
      </c>
      <c r="K261" s="5" t="n">
        <v>1</v>
      </c>
      <c r="L261" s="5" t="n">
        <v>4.3</v>
      </c>
      <c r="M261" s="5" t="n">
        <v>840108.12</v>
      </c>
      <c r="N261" s="5" t="n">
        <v>126587.01</v>
      </c>
    </row>
    <row r="262" customFormat="false" ht="15" hidden="false" customHeight="true" outlineLevel="0" collapsed="false">
      <c r="A262" s="5" t="s">
        <v>88</v>
      </c>
      <c r="B262" s="5" t="s">
        <v>107</v>
      </c>
      <c r="C262" s="5" t="s">
        <v>26</v>
      </c>
      <c r="D262" s="5" t="s">
        <v>30</v>
      </c>
      <c r="E262" s="5" t="n">
        <v>28670.43</v>
      </c>
      <c r="F262" s="5" t="n">
        <v>7574</v>
      </c>
      <c r="G262" s="5" t="n">
        <v>0.114</v>
      </c>
      <c r="H262" s="5" t="n">
        <v>19</v>
      </c>
      <c r="I262" s="5" t="n">
        <v>82.7</v>
      </c>
      <c r="J262" s="5" t="n">
        <v>2.74</v>
      </c>
      <c r="K262" s="5" t="n">
        <v>0</v>
      </c>
      <c r="L262" s="5" t="n">
        <v>4.6</v>
      </c>
      <c r="M262" s="5" t="n">
        <v>697888.09</v>
      </c>
      <c r="N262" s="5" t="n">
        <v>116249.87</v>
      </c>
    </row>
    <row r="263" customFormat="false" ht="15" hidden="false" customHeight="true" outlineLevel="0" collapsed="false">
      <c r="A263" s="5" t="s">
        <v>88</v>
      </c>
      <c r="B263" s="5" t="s">
        <v>108</v>
      </c>
      <c r="C263" s="5" t="s">
        <v>26</v>
      </c>
      <c r="D263" s="5" t="s">
        <v>30</v>
      </c>
      <c r="E263" s="5" t="n">
        <v>44189.34</v>
      </c>
      <c r="F263" s="5" t="n">
        <v>8634</v>
      </c>
      <c r="G263" s="5" t="n">
        <v>0.143</v>
      </c>
      <c r="H263" s="5" t="n">
        <v>19</v>
      </c>
      <c r="I263" s="5" t="n">
        <v>87.5</v>
      </c>
      <c r="J263" s="5" t="n">
        <v>3.69</v>
      </c>
      <c r="K263" s="5" t="n">
        <v>0</v>
      </c>
      <c r="L263" s="5" t="n">
        <v>4.4</v>
      </c>
      <c r="M263" s="5" t="n">
        <v>746115.59</v>
      </c>
      <c r="N263" s="5" t="n">
        <v>94662.96</v>
      </c>
    </row>
    <row r="264" customFormat="false" ht="15" hidden="false" customHeight="true" outlineLevel="0" collapsed="false">
      <c r="A264" s="5" t="s">
        <v>88</v>
      </c>
      <c r="B264" s="5" t="s">
        <v>109</v>
      </c>
      <c r="C264" s="5" t="s">
        <v>26</v>
      </c>
      <c r="D264" s="5" t="s">
        <v>30</v>
      </c>
      <c r="E264" s="5" t="n">
        <v>38397.82</v>
      </c>
      <c r="F264" s="5" t="n">
        <v>7836</v>
      </c>
      <c r="G264" s="5" t="n">
        <v>0.007</v>
      </c>
      <c r="H264" s="5" t="n">
        <v>21</v>
      </c>
      <c r="I264" s="5" t="n">
        <v>92.2</v>
      </c>
      <c r="J264" s="5" t="n">
        <v>1.82</v>
      </c>
      <c r="K264" s="5" t="n">
        <v>0</v>
      </c>
      <c r="L264" s="5" t="n">
        <v>3.6</v>
      </c>
      <c r="M264" s="5" t="n">
        <v>776110.32</v>
      </c>
      <c r="N264" s="5" t="n">
        <v>139676.21</v>
      </c>
    </row>
    <row r="265" customFormat="false" ht="15" hidden="false" customHeight="true" outlineLevel="0" collapsed="false">
      <c r="A265" s="5" t="s">
        <v>89</v>
      </c>
      <c r="B265" s="5" t="s">
        <v>106</v>
      </c>
      <c r="C265" s="5" t="s">
        <v>29</v>
      </c>
      <c r="D265" s="5" t="s">
        <v>20</v>
      </c>
      <c r="E265" s="5" t="n">
        <v>14519.37</v>
      </c>
      <c r="F265" s="5" t="n">
        <v>3047</v>
      </c>
      <c r="G265" s="5" t="n">
        <v>0.135</v>
      </c>
      <c r="H265" s="5" t="n">
        <v>10</v>
      </c>
      <c r="I265" s="5" t="n">
        <v>90.3</v>
      </c>
      <c r="J265" s="5" t="n">
        <v>6.62</v>
      </c>
      <c r="K265" s="5" t="n">
        <v>0</v>
      </c>
      <c r="L265" s="5" t="n">
        <v>4.2</v>
      </c>
      <c r="M265" s="5" t="n">
        <v>528852.62</v>
      </c>
      <c r="N265" s="5" t="n">
        <v>68426.21</v>
      </c>
    </row>
    <row r="266" customFormat="false" ht="15" hidden="false" customHeight="true" outlineLevel="0" collapsed="false">
      <c r="A266" s="5" t="s">
        <v>89</v>
      </c>
      <c r="B266" s="5" t="s">
        <v>107</v>
      </c>
      <c r="C266" s="5" t="s">
        <v>29</v>
      </c>
      <c r="D266" s="5" t="s">
        <v>20</v>
      </c>
      <c r="E266" s="5" t="n">
        <v>43288.2</v>
      </c>
      <c r="F266" s="5" t="n">
        <v>4783</v>
      </c>
      <c r="G266" s="5" t="n">
        <v>0.169</v>
      </c>
      <c r="H266" s="5" t="n">
        <v>13</v>
      </c>
      <c r="I266" s="5" t="n">
        <v>87.3</v>
      </c>
      <c r="J266" s="5" t="n">
        <v>3.365</v>
      </c>
      <c r="K266" s="5" t="n">
        <v>0</v>
      </c>
      <c r="L266" s="5" t="n">
        <v>4.2</v>
      </c>
      <c r="M266" s="5" t="n">
        <v>605751.33</v>
      </c>
      <c r="N266" s="5" t="n">
        <v>60685.53</v>
      </c>
    </row>
    <row r="267" customFormat="false" ht="15" hidden="false" customHeight="true" outlineLevel="0" collapsed="false">
      <c r="A267" s="5" t="s">
        <v>89</v>
      </c>
      <c r="B267" s="5" t="s">
        <v>108</v>
      </c>
      <c r="C267" s="5" t="s">
        <v>29</v>
      </c>
      <c r="D267" s="5" t="s">
        <v>20</v>
      </c>
      <c r="E267" s="5" t="n">
        <v>51450.55</v>
      </c>
      <c r="F267" s="5" t="n">
        <v>4902</v>
      </c>
      <c r="G267" s="5" t="n">
        <v>0.086</v>
      </c>
      <c r="H267" s="5" t="n">
        <v>11</v>
      </c>
      <c r="I267" s="5" t="n">
        <v>83.7</v>
      </c>
      <c r="J267" s="5" t="n">
        <v>6.92</v>
      </c>
      <c r="K267" s="5" t="n">
        <v>1</v>
      </c>
      <c r="L267" s="5" t="n">
        <v>4.2</v>
      </c>
      <c r="M267" s="5" t="n">
        <v>677640.65</v>
      </c>
      <c r="N267" s="5" t="n">
        <v>111610.89</v>
      </c>
    </row>
    <row r="268" customFormat="false" ht="15" hidden="false" customHeight="true" outlineLevel="0" collapsed="false">
      <c r="A268" s="5" t="s">
        <v>89</v>
      </c>
      <c r="B268" s="5" t="s">
        <v>109</v>
      </c>
      <c r="C268" s="5" t="s">
        <v>29</v>
      </c>
      <c r="D268" s="5" t="s">
        <v>20</v>
      </c>
      <c r="E268" s="5" t="n">
        <v>58688.26</v>
      </c>
      <c r="F268" s="5" t="n">
        <v>4022</v>
      </c>
      <c r="G268" s="5" t="n">
        <v>0.217</v>
      </c>
      <c r="H268" s="5" t="n">
        <v>12</v>
      </c>
      <c r="I268" s="5" t="n">
        <v>93.8</v>
      </c>
      <c r="J268" s="5" t="n">
        <v>11.78</v>
      </c>
      <c r="K268" s="5" t="n">
        <v>0</v>
      </c>
      <c r="L268" s="5" t="n">
        <v>3.7</v>
      </c>
      <c r="M268" s="5" t="n">
        <v>636613.23</v>
      </c>
      <c r="N268" s="5" t="n">
        <v>78908.35</v>
      </c>
    </row>
    <row r="269" customFormat="false" ht="15" hidden="false" customHeight="true" outlineLevel="0" collapsed="false">
      <c r="A269" s="5" t="s">
        <v>90</v>
      </c>
      <c r="B269" s="5" t="s">
        <v>106</v>
      </c>
      <c r="C269" s="5" t="s">
        <v>17</v>
      </c>
      <c r="D269" s="5" t="s">
        <v>20</v>
      </c>
      <c r="E269" s="5" t="n">
        <v>58981.91</v>
      </c>
      <c r="F269" s="5" t="n">
        <v>7324</v>
      </c>
      <c r="G269" s="5" t="n">
        <v>0.094</v>
      </c>
      <c r="H269" s="5" t="n">
        <v>15</v>
      </c>
      <c r="I269" s="5" t="n">
        <v>95.8</v>
      </c>
      <c r="J269" s="5" t="n">
        <v>0.5</v>
      </c>
      <c r="K269" s="5" t="n">
        <v>0</v>
      </c>
      <c r="L269" s="5" t="n">
        <v>3.5</v>
      </c>
      <c r="M269" s="5" t="n">
        <v>708985.19</v>
      </c>
      <c r="N269" s="5" t="n">
        <v>125368.16</v>
      </c>
    </row>
    <row r="270" customFormat="false" ht="15" hidden="false" customHeight="true" outlineLevel="0" collapsed="false">
      <c r="A270" s="5" t="s">
        <v>90</v>
      </c>
      <c r="B270" s="5" t="s">
        <v>107</v>
      </c>
      <c r="C270" s="5" t="s">
        <v>17</v>
      </c>
      <c r="D270" s="5" t="s">
        <v>20</v>
      </c>
      <c r="E270" s="5" t="n">
        <v>73454.54</v>
      </c>
      <c r="F270" s="5" t="n">
        <v>8129</v>
      </c>
      <c r="G270" s="5" t="n">
        <v>0.211</v>
      </c>
      <c r="H270" s="5" t="n">
        <v>20</v>
      </c>
      <c r="I270" s="5" t="n">
        <v>85.2</v>
      </c>
      <c r="J270" s="5" t="n">
        <v>0.88</v>
      </c>
      <c r="K270" s="5" t="n">
        <v>0</v>
      </c>
      <c r="L270" s="5" t="n">
        <v>3.7</v>
      </c>
      <c r="M270" s="5" t="n">
        <v>767792.94</v>
      </c>
      <c r="N270" s="5" t="n">
        <v>96235.77</v>
      </c>
    </row>
    <row r="271" customFormat="false" ht="15" hidden="false" customHeight="true" outlineLevel="0" collapsed="false">
      <c r="A271" s="5" t="s">
        <v>90</v>
      </c>
      <c r="B271" s="5" t="s">
        <v>108</v>
      </c>
      <c r="C271" s="5" t="s">
        <v>17</v>
      </c>
      <c r="D271" s="5" t="s">
        <v>20</v>
      </c>
      <c r="E271" s="5" t="n">
        <v>56602.39</v>
      </c>
      <c r="F271" s="5" t="n">
        <v>7969</v>
      </c>
      <c r="G271" s="5" t="n">
        <v>0.17</v>
      </c>
      <c r="H271" s="5" t="n">
        <v>21</v>
      </c>
      <c r="I271" s="5" t="n">
        <v>88.3</v>
      </c>
      <c r="J271" s="5" t="n">
        <v>2.25</v>
      </c>
      <c r="K271" s="5" t="n">
        <v>0</v>
      </c>
      <c r="L271" s="5" t="n">
        <v>3.7</v>
      </c>
      <c r="M271" s="5" t="n">
        <v>745580.51</v>
      </c>
      <c r="N271" s="5" t="n">
        <v>116273.68</v>
      </c>
    </row>
    <row r="272" customFormat="false" ht="15" hidden="false" customHeight="true" outlineLevel="0" collapsed="false">
      <c r="A272" s="5" t="s">
        <v>90</v>
      </c>
      <c r="B272" s="5" t="s">
        <v>109</v>
      </c>
      <c r="C272" s="5" t="s">
        <v>17</v>
      </c>
      <c r="D272" s="5" t="s">
        <v>20</v>
      </c>
      <c r="E272" s="5" t="n">
        <v>67722.29</v>
      </c>
      <c r="F272" s="5" t="n">
        <v>7240</v>
      </c>
      <c r="G272" s="5" t="n">
        <v>0.026</v>
      </c>
      <c r="H272" s="5" t="n">
        <v>15</v>
      </c>
      <c r="I272" s="5" t="n">
        <v>92.9</v>
      </c>
      <c r="J272" s="5" t="n">
        <v>0.29</v>
      </c>
      <c r="K272" s="5" t="n">
        <v>0</v>
      </c>
      <c r="L272" s="5" t="n">
        <v>3.5</v>
      </c>
      <c r="M272" s="5" t="n">
        <v>762328.31</v>
      </c>
      <c r="N272" s="5" t="n">
        <v>159158.19</v>
      </c>
    </row>
    <row r="273" customFormat="false" ht="15" hidden="false" customHeight="true" outlineLevel="0" collapsed="false">
      <c r="A273" s="5" t="s">
        <v>91</v>
      </c>
      <c r="B273" s="5" t="s">
        <v>106</v>
      </c>
      <c r="C273" s="5" t="s">
        <v>17</v>
      </c>
      <c r="D273" s="5" t="s">
        <v>30</v>
      </c>
      <c r="E273" s="5" t="n">
        <v>48752.92</v>
      </c>
      <c r="F273" s="5" t="n">
        <v>8052</v>
      </c>
      <c r="G273" s="5" t="n">
        <v>0.106</v>
      </c>
      <c r="H273" s="5" t="n">
        <v>16</v>
      </c>
      <c r="I273" s="5" t="n">
        <v>94.9</v>
      </c>
      <c r="J273" s="5" t="n">
        <v>0.65</v>
      </c>
      <c r="K273" s="5" t="n">
        <v>0</v>
      </c>
      <c r="L273" s="5" t="n">
        <v>3.6</v>
      </c>
      <c r="M273" s="5" t="n">
        <v>660633.99</v>
      </c>
      <c r="N273" s="5" t="n">
        <v>118768.66</v>
      </c>
    </row>
    <row r="274" customFormat="false" ht="15" hidden="false" customHeight="true" outlineLevel="0" collapsed="false">
      <c r="A274" s="5" t="s">
        <v>91</v>
      </c>
      <c r="B274" s="5" t="s">
        <v>107</v>
      </c>
      <c r="C274" s="5" t="s">
        <v>17</v>
      </c>
      <c r="D274" s="5" t="s">
        <v>30</v>
      </c>
      <c r="E274" s="5" t="n">
        <v>23914.97</v>
      </c>
      <c r="F274" s="5" t="n">
        <v>8018</v>
      </c>
      <c r="G274" s="5" t="n">
        <v>0.139</v>
      </c>
      <c r="H274" s="5" t="n">
        <v>20</v>
      </c>
      <c r="I274" s="5" t="n">
        <v>89</v>
      </c>
      <c r="J274" s="5" t="n">
        <v>0.2</v>
      </c>
      <c r="K274" s="5" t="n">
        <v>0</v>
      </c>
      <c r="L274" s="5" t="n">
        <v>3.5</v>
      </c>
      <c r="M274" s="5" t="n">
        <v>739374.56</v>
      </c>
      <c r="N274" s="5" t="n">
        <v>121032.29</v>
      </c>
    </row>
    <row r="275" customFormat="false" ht="15" hidden="false" customHeight="true" outlineLevel="0" collapsed="false">
      <c r="A275" s="5" t="s">
        <v>91</v>
      </c>
      <c r="B275" s="5" t="s">
        <v>108</v>
      </c>
      <c r="C275" s="5" t="s">
        <v>17</v>
      </c>
      <c r="D275" s="5" t="s">
        <v>30</v>
      </c>
      <c r="E275" s="5" t="n">
        <v>61995.3</v>
      </c>
      <c r="F275" s="5" t="n">
        <v>10192</v>
      </c>
      <c r="G275" s="5" t="n">
        <v>0.198</v>
      </c>
      <c r="H275" s="5" t="n">
        <v>21</v>
      </c>
      <c r="I275" s="5" t="n">
        <v>87.6</v>
      </c>
      <c r="J275" s="5" t="n">
        <v>3.63</v>
      </c>
      <c r="K275" s="5" t="n">
        <v>1</v>
      </c>
      <c r="L275" s="5" t="n">
        <v>3.8</v>
      </c>
      <c r="M275" s="5" t="n">
        <v>799756.46</v>
      </c>
      <c r="N275" s="5" t="n">
        <v>105052.93</v>
      </c>
    </row>
    <row r="276" customFormat="false" ht="15" hidden="false" customHeight="true" outlineLevel="0" collapsed="false">
      <c r="A276" s="5" t="s">
        <v>91</v>
      </c>
      <c r="B276" s="5" t="s">
        <v>109</v>
      </c>
      <c r="C276" s="5" t="s">
        <v>17</v>
      </c>
      <c r="D276" s="5" t="s">
        <v>30</v>
      </c>
      <c r="E276" s="5" t="n">
        <v>29344.93</v>
      </c>
      <c r="F276" s="5" t="n">
        <v>7446</v>
      </c>
      <c r="G276" s="5" t="n">
        <v>0.111</v>
      </c>
      <c r="H276" s="5" t="n">
        <v>15</v>
      </c>
      <c r="I276" s="5" t="n">
        <v>86.2</v>
      </c>
      <c r="J276" s="5" t="n">
        <v>0.2</v>
      </c>
      <c r="K276" s="5" t="n">
        <v>0</v>
      </c>
      <c r="L276" s="5" t="n">
        <v>3.2</v>
      </c>
      <c r="M276" s="5" t="n">
        <v>593343</v>
      </c>
      <c r="N276" s="5" t="n">
        <v>82832.24</v>
      </c>
    </row>
    <row r="277" customFormat="false" ht="15" hidden="false" customHeight="true" outlineLevel="0" collapsed="false">
      <c r="A277" s="5" t="s">
        <v>92</v>
      </c>
      <c r="B277" s="5" t="s">
        <v>106</v>
      </c>
      <c r="C277" s="5" t="s">
        <v>29</v>
      </c>
      <c r="D277" s="5" t="s">
        <v>20</v>
      </c>
      <c r="E277" s="5" t="n">
        <v>50532.17</v>
      </c>
      <c r="F277" s="5" t="n">
        <v>5689</v>
      </c>
      <c r="G277" s="5" t="n">
        <v>0.052</v>
      </c>
      <c r="H277" s="5" t="n">
        <v>17</v>
      </c>
      <c r="I277" s="5" t="n">
        <v>85.6</v>
      </c>
      <c r="J277" s="5" t="n">
        <v>6.23</v>
      </c>
      <c r="K277" s="5" t="n">
        <v>0</v>
      </c>
      <c r="L277" s="5" t="n">
        <v>3.3</v>
      </c>
      <c r="M277" s="5" t="n">
        <v>645039.97</v>
      </c>
      <c r="N277" s="5" t="n">
        <v>83093.33</v>
      </c>
    </row>
    <row r="278" customFormat="false" ht="15" hidden="false" customHeight="true" outlineLevel="0" collapsed="false">
      <c r="A278" s="5" t="s">
        <v>92</v>
      </c>
      <c r="B278" s="5" t="s">
        <v>107</v>
      </c>
      <c r="C278" s="5" t="s">
        <v>29</v>
      </c>
      <c r="D278" s="5" t="s">
        <v>20</v>
      </c>
      <c r="E278" s="5" t="n">
        <v>17562.57</v>
      </c>
      <c r="F278" s="5" t="n">
        <v>3326</v>
      </c>
      <c r="G278" s="5" t="n">
        <v>0.153</v>
      </c>
      <c r="H278" s="5" t="n">
        <v>14</v>
      </c>
      <c r="I278" s="5" t="n">
        <v>88.1</v>
      </c>
      <c r="J278" s="5" t="n">
        <v>1.04</v>
      </c>
      <c r="K278" s="5" t="n">
        <v>0</v>
      </c>
      <c r="L278" s="5" t="n">
        <v>3.1</v>
      </c>
      <c r="M278" s="5" t="n">
        <v>561597.33</v>
      </c>
      <c r="N278" s="5" t="n">
        <v>75072.75</v>
      </c>
    </row>
    <row r="279" customFormat="false" ht="15" hidden="false" customHeight="true" outlineLevel="0" collapsed="false">
      <c r="A279" s="5" t="s">
        <v>92</v>
      </c>
      <c r="B279" s="5" t="s">
        <v>108</v>
      </c>
      <c r="C279" s="5" t="s">
        <v>29</v>
      </c>
      <c r="D279" s="5" t="s">
        <v>20</v>
      </c>
      <c r="E279" s="5" t="n">
        <v>47648.71</v>
      </c>
      <c r="F279" s="5" t="n">
        <v>5767</v>
      </c>
      <c r="G279" s="5" t="n">
        <v>0.141</v>
      </c>
      <c r="H279" s="5" t="n">
        <v>17</v>
      </c>
      <c r="I279" s="5" t="n">
        <v>89.8</v>
      </c>
      <c r="J279" s="5" t="n">
        <v>1.76</v>
      </c>
      <c r="K279" s="5" t="n">
        <v>0</v>
      </c>
      <c r="L279" s="5" t="n">
        <v>3.1</v>
      </c>
      <c r="M279" s="5" t="n">
        <v>635837.74</v>
      </c>
      <c r="N279" s="5" t="n">
        <v>114740.64</v>
      </c>
    </row>
    <row r="280" customFormat="false" ht="15" hidden="false" customHeight="true" outlineLevel="0" collapsed="false">
      <c r="A280" s="5" t="s">
        <v>92</v>
      </c>
      <c r="B280" s="5" t="s">
        <v>109</v>
      </c>
      <c r="C280" s="5" t="s">
        <v>29</v>
      </c>
      <c r="D280" s="5" t="s">
        <v>20</v>
      </c>
      <c r="E280" s="5" t="n">
        <v>38297.58</v>
      </c>
      <c r="F280" s="5" t="n">
        <v>5893</v>
      </c>
      <c r="G280" s="5" t="n">
        <v>0.247</v>
      </c>
      <c r="H280" s="5" t="n">
        <v>18</v>
      </c>
      <c r="I280" s="5" t="n">
        <v>77.6</v>
      </c>
      <c r="J280" s="5" t="n">
        <v>2.86</v>
      </c>
      <c r="K280" s="5" t="n">
        <v>0</v>
      </c>
      <c r="L280" s="5" t="n">
        <v>3</v>
      </c>
      <c r="M280" s="5" t="n">
        <v>686737.87</v>
      </c>
      <c r="N280" s="5" t="n">
        <v>83839.67</v>
      </c>
    </row>
    <row r="281" customFormat="false" ht="15" hidden="false" customHeight="true" outlineLevel="0" collapsed="false">
      <c r="A281" s="5" t="s">
        <v>93</v>
      </c>
      <c r="B281" s="5" t="s">
        <v>106</v>
      </c>
      <c r="C281" s="5" t="s">
        <v>26</v>
      </c>
      <c r="D281" s="5" t="s">
        <v>18</v>
      </c>
      <c r="E281" s="5" t="n">
        <v>61784.11</v>
      </c>
      <c r="F281" s="5" t="n">
        <v>8564</v>
      </c>
      <c r="G281" s="5" t="n">
        <v>0.13</v>
      </c>
      <c r="H281" s="5" t="n">
        <v>17</v>
      </c>
      <c r="I281" s="5" t="n">
        <v>87.4</v>
      </c>
      <c r="J281" s="5" t="n">
        <v>18.14</v>
      </c>
      <c r="K281" s="5" t="n">
        <v>1</v>
      </c>
      <c r="L281" s="5" t="n">
        <v>3.4</v>
      </c>
      <c r="M281" s="5" t="n">
        <v>673076.34</v>
      </c>
      <c r="N281" s="5" t="n">
        <v>93899.76</v>
      </c>
    </row>
    <row r="282" customFormat="false" ht="15" hidden="false" customHeight="true" outlineLevel="0" collapsed="false">
      <c r="A282" s="5" t="s">
        <v>93</v>
      </c>
      <c r="B282" s="5" t="s">
        <v>107</v>
      </c>
      <c r="C282" s="5" t="s">
        <v>26</v>
      </c>
      <c r="D282" s="5" t="s">
        <v>18</v>
      </c>
      <c r="E282" s="5" t="n">
        <v>36832.33</v>
      </c>
      <c r="F282" s="5" t="n">
        <v>8001</v>
      </c>
      <c r="G282" s="5" t="n">
        <v>0</v>
      </c>
      <c r="H282" s="5" t="n">
        <v>19</v>
      </c>
      <c r="I282" s="5" t="n">
        <v>88.7</v>
      </c>
      <c r="J282" s="5" t="n">
        <v>3.39</v>
      </c>
      <c r="K282" s="5" t="n">
        <v>0</v>
      </c>
      <c r="L282" s="5" t="n">
        <v>4</v>
      </c>
      <c r="M282" s="5" t="n">
        <v>738548.42</v>
      </c>
      <c r="N282" s="5" t="n">
        <v>134282.77</v>
      </c>
    </row>
    <row r="283" customFormat="false" ht="15" hidden="false" customHeight="true" outlineLevel="0" collapsed="false">
      <c r="A283" s="5" t="s">
        <v>93</v>
      </c>
      <c r="B283" s="5" t="s">
        <v>108</v>
      </c>
      <c r="C283" s="5" t="s">
        <v>26</v>
      </c>
      <c r="D283" s="5" t="s">
        <v>18</v>
      </c>
      <c r="E283" s="5" t="n">
        <v>48609.41</v>
      </c>
      <c r="F283" s="5" t="n">
        <v>9324</v>
      </c>
      <c r="G283" s="5" t="n">
        <v>0.213</v>
      </c>
      <c r="H283" s="5" t="n">
        <v>18</v>
      </c>
      <c r="I283" s="5" t="n">
        <v>86.5</v>
      </c>
      <c r="J283" s="5" t="n">
        <v>1.44</v>
      </c>
      <c r="K283" s="5" t="n">
        <v>0</v>
      </c>
      <c r="L283" s="5" t="n">
        <v>3.9</v>
      </c>
      <c r="M283" s="5" t="n">
        <v>756619.77</v>
      </c>
      <c r="N283" s="5" t="n">
        <v>112057.69</v>
      </c>
    </row>
    <row r="284" customFormat="false" ht="15" hidden="false" customHeight="true" outlineLevel="0" collapsed="false">
      <c r="A284" s="5" t="s">
        <v>93</v>
      </c>
      <c r="B284" s="5" t="s">
        <v>109</v>
      </c>
      <c r="C284" s="5" t="s">
        <v>26</v>
      </c>
      <c r="D284" s="5" t="s">
        <v>18</v>
      </c>
      <c r="E284" s="5" t="n">
        <v>70284.06</v>
      </c>
      <c r="F284" s="5" t="n">
        <v>9109</v>
      </c>
      <c r="G284" s="5" t="n">
        <v>0.004</v>
      </c>
      <c r="H284" s="5" t="n">
        <v>23</v>
      </c>
      <c r="I284" s="5" t="n">
        <v>87</v>
      </c>
      <c r="J284" s="5" t="n">
        <v>3.65</v>
      </c>
      <c r="K284" s="5" t="n">
        <v>0</v>
      </c>
      <c r="L284" s="5" t="n">
        <v>3.7</v>
      </c>
      <c r="M284" s="5" t="n">
        <v>761122.42</v>
      </c>
      <c r="N284" s="5" t="n">
        <v>149802.04</v>
      </c>
    </row>
    <row r="285" customFormat="false" ht="15" hidden="false" customHeight="true" outlineLevel="0" collapsed="false">
      <c r="A285" s="5" t="s">
        <v>94</v>
      </c>
      <c r="B285" s="5" t="s">
        <v>106</v>
      </c>
      <c r="C285" s="5" t="s">
        <v>26</v>
      </c>
      <c r="D285" s="5" t="s">
        <v>20</v>
      </c>
      <c r="E285" s="5" t="n">
        <v>45940.39</v>
      </c>
      <c r="F285" s="5" t="n">
        <v>4022</v>
      </c>
      <c r="G285" s="5" t="n">
        <v>0.069</v>
      </c>
      <c r="H285" s="5" t="n">
        <v>10</v>
      </c>
      <c r="I285" s="5" t="n">
        <v>83</v>
      </c>
      <c r="J285" s="5" t="n">
        <v>1.23</v>
      </c>
      <c r="K285" s="5" t="n">
        <v>1</v>
      </c>
      <c r="L285" s="5" t="n">
        <v>3.8</v>
      </c>
      <c r="M285" s="5" t="n">
        <v>524899.57</v>
      </c>
      <c r="N285" s="5" t="n">
        <v>63619.98</v>
      </c>
    </row>
    <row r="286" customFormat="false" ht="15" hidden="false" customHeight="true" outlineLevel="0" collapsed="false">
      <c r="A286" s="5" t="s">
        <v>94</v>
      </c>
      <c r="B286" s="5" t="s">
        <v>107</v>
      </c>
      <c r="C286" s="5" t="s">
        <v>26</v>
      </c>
      <c r="D286" s="5" t="s">
        <v>20</v>
      </c>
      <c r="E286" s="5" t="n">
        <v>34771.26</v>
      </c>
      <c r="F286" s="5" t="n">
        <v>4355</v>
      </c>
      <c r="G286" s="5" t="n">
        <v>0.051</v>
      </c>
      <c r="H286" s="5" t="n">
        <v>15</v>
      </c>
      <c r="I286" s="5" t="n">
        <v>87.9</v>
      </c>
      <c r="J286" s="5" t="n">
        <v>3.09</v>
      </c>
      <c r="K286" s="5" t="n">
        <v>0</v>
      </c>
      <c r="L286" s="5" t="n">
        <v>4</v>
      </c>
      <c r="M286" s="5" t="n">
        <v>555557.77</v>
      </c>
      <c r="N286" s="5" t="n">
        <v>86475.51</v>
      </c>
    </row>
    <row r="287" customFormat="false" ht="15" hidden="false" customHeight="true" outlineLevel="0" collapsed="false">
      <c r="A287" s="5" t="s">
        <v>94</v>
      </c>
      <c r="B287" s="5" t="s">
        <v>108</v>
      </c>
      <c r="C287" s="5" t="s">
        <v>26</v>
      </c>
      <c r="D287" s="5" t="s">
        <v>20</v>
      </c>
      <c r="E287" s="5" t="n">
        <v>66104.19</v>
      </c>
      <c r="F287" s="5" t="n">
        <v>5745</v>
      </c>
      <c r="G287" s="5" t="n">
        <v>0.07</v>
      </c>
      <c r="H287" s="5" t="n">
        <v>17</v>
      </c>
      <c r="I287" s="5" t="n">
        <v>95.8</v>
      </c>
      <c r="J287" s="5" t="n">
        <v>3.15</v>
      </c>
      <c r="K287" s="5" t="n">
        <v>0</v>
      </c>
      <c r="L287" s="5" t="n">
        <v>4</v>
      </c>
      <c r="M287" s="5" t="n">
        <v>714083.68</v>
      </c>
      <c r="N287" s="5" t="n">
        <v>127231.74</v>
      </c>
    </row>
    <row r="288" customFormat="false" ht="15" hidden="false" customHeight="true" outlineLevel="0" collapsed="false">
      <c r="A288" s="5" t="s">
        <v>94</v>
      </c>
      <c r="B288" s="5" t="s">
        <v>109</v>
      </c>
      <c r="C288" s="5" t="s">
        <v>26</v>
      </c>
      <c r="D288" s="5" t="s">
        <v>20</v>
      </c>
      <c r="E288" s="5" t="n">
        <v>18599.21</v>
      </c>
      <c r="F288" s="5" t="n">
        <v>3027</v>
      </c>
      <c r="G288" s="5" t="n">
        <v>0.122</v>
      </c>
      <c r="H288" s="5" t="n">
        <v>11</v>
      </c>
      <c r="I288" s="5" t="n">
        <v>80.9</v>
      </c>
      <c r="J288" s="5" t="n">
        <v>6.44</v>
      </c>
      <c r="K288" s="5" t="n">
        <v>0</v>
      </c>
      <c r="L288" s="5" t="n">
        <v>4.2</v>
      </c>
      <c r="M288" s="5" t="n">
        <v>497439.82</v>
      </c>
      <c r="N288" s="5" t="n">
        <v>93372.75</v>
      </c>
    </row>
    <row r="289" customFormat="false" ht="15" hidden="false" customHeight="true" outlineLevel="0" collapsed="false">
      <c r="A289" s="5" t="s">
        <v>95</v>
      </c>
      <c r="B289" s="5" t="s">
        <v>106</v>
      </c>
      <c r="C289" s="5" t="s">
        <v>29</v>
      </c>
      <c r="D289" s="5" t="s">
        <v>18</v>
      </c>
      <c r="E289" s="5" t="n">
        <v>60183.06</v>
      </c>
      <c r="F289" s="5" t="n">
        <v>5562</v>
      </c>
      <c r="G289" s="5" t="n">
        <v>0.009</v>
      </c>
      <c r="H289" s="5" t="n">
        <v>13</v>
      </c>
      <c r="I289" s="5" t="n">
        <v>86.3</v>
      </c>
      <c r="J289" s="5" t="n">
        <v>0.2</v>
      </c>
      <c r="K289" s="5" t="n">
        <v>1</v>
      </c>
      <c r="L289" s="5" t="n">
        <v>4.5</v>
      </c>
      <c r="M289" s="5" t="n">
        <v>636775.66</v>
      </c>
      <c r="N289" s="5" t="n">
        <v>122636.86</v>
      </c>
    </row>
    <row r="290" customFormat="false" ht="15" hidden="false" customHeight="true" outlineLevel="0" collapsed="false">
      <c r="A290" s="5" t="s">
        <v>95</v>
      </c>
      <c r="B290" s="5" t="s">
        <v>107</v>
      </c>
      <c r="C290" s="5" t="s">
        <v>29</v>
      </c>
      <c r="D290" s="5" t="s">
        <v>18</v>
      </c>
      <c r="E290" s="5" t="n">
        <v>74539.14</v>
      </c>
      <c r="F290" s="5" t="n">
        <v>4487</v>
      </c>
      <c r="G290" s="5" t="n">
        <v>0.14</v>
      </c>
      <c r="H290" s="5" t="n">
        <v>10</v>
      </c>
      <c r="I290" s="5" t="n">
        <v>90.4</v>
      </c>
      <c r="J290" s="5" t="n">
        <v>0.59</v>
      </c>
      <c r="K290" s="5" t="n">
        <v>0</v>
      </c>
      <c r="L290" s="5" t="n">
        <v>4.5</v>
      </c>
      <c r="M290" s="5" t="n">
        <v>633009.53</v>
      </c>
      <c r="N290" s="5" t="n">
        <v>123782.67</v>
      </c>
    </row>
    <row r="291" customFormat="false" ht="15" hidden="false" customHeight="true" outlineLevel="0" collapsed="false">
      <c r="A291" s="5" t="s">
        <v>95</v>
      </c>
      <c r="B291" s="5" t="s">
        <v>108</v>
      </c>
      <c r="C291" s="5" t="s">
        <v>29</v>
      </c>
      <c r="D291" s="5" t="s">
        <v>18</v>
      </c>
      <c r="E291" s="5" t="n">
        <v>55371.97</v>
      </c>
      <c r="F291" s="5" t="n">
        <v>4162</v>
      </c>
      <c r="G291" s="5" t="n">
        <v>0.183</v>
      </c>
      <c r="H291" s="5" t="n">
        <v>11</v>
      </c>
      <c r="I291" s="5" t="n">
        <v>92</v>
      </c>
      <c r="J291" s="5" t="n">
        <v>0.2</v>
      </c>
      <c r="K291" s="5" t="n">
        <v>1</v>
      </c>
      <c r="L291" s="5" t="n">
        <v>4.2</v>
      </c>
      <c r="M291" s="5" t="n">
        <v>609949</v>
      </c>
      <c r="N291" s="5" t="n">
        <v>126789.25</v>
      </c>
    </row>
    <row r="292" customFormat="false" ht="15" hidden="false" customHeight="true" outlineLevel="0" collapsed="false">
      <c r="A292" s="5" t="s">
        <v>95</v>
      </c>
      <c r="B292" s="5" t="s">
        <v>109</v>
      </c>
      <c r="C292" s="5" t="s">
        <v>29</v>
      </c>
      <c r="D292" s="5" t="s">
        <v>18</v>
      </c>
      <c r="E292" s="5" t="n">
        <v>40928.69</v>
      </c>
      <c r="F292" s="5" t="n">
        <v>4094</v>
      </c>
      <c r="G292" s="5" t="n">
        <v>0.174</v>
      </c>
      <c r="H292" s="5" t="n">
        <v>13</v>
      </c>
      <c r="I292" s="5" t="n">
        <v>82.4</v>
      </c>
      <c r="J292" s="5" t="n">
        <v>1.36</v>
      </c>
      <c r="K292" s="5" t="n">
        <v>0</v>
      </c>
      <c r="L292" s="5" t="n">
        <v>4.8</v>
      </c>
      <c r="M292" s="5" t="n">
        <v>548103.7</v>
      </c>
      <c r="N292" s="5" t="n">
        <v>99905.52</v>
      </c>
    </row>
    <row r="293" customFormat="false" ht="15" hidden="false" customHeight="true" outlineLevel="0" collapsed="false">
      <c r="A293" s="5" t="s">
        <v>96</v>
      </c>
      <c r="B293" s="5" t="s">
        <v>106</v>
      </c>
      <c r="C293" s="5" t="s">
        <v>17</v>
      </c>
      <c r="D293" s="5" t="s">
        <v>18</v>
      </c>
      <c r="E293" s="5" t="n">
        <v>70012.41</v>
      </c>
      <c r="F293" s="5" t="n">
        <v>8484</v>
      </c>
      <c r="G293" s="5" t="n">
        <v>0.273</v>
      </c>
      <c r="H293" s="5" t="n">
        <v>23</v>
      </c>
      <c r="I293" s="5" t="n">
        <v>72.9</v>
      </c>
      <c r="J293" s="5" t="n">
        <v>3.34</v>
      </c>
      <c r="K293" s="5" t="n">
        <v>0</v>
      </c>
      <c r="L293" s="5" t="n">
        <v>3.7</v>
      </c>
      <c r="M293" s="5" t="n">
        <v>729424.42</v>
      </c>
      <c r="N293" s="5" t="n">
        <v>75592.28</v>
      </c>
    </row>
    <row r="294" customFormat="false" ht="15" hidden="false" customHeight="true" outlineLevel="0" collapsed="false">
      <c r="A294" s="5" t="s">
        <v>96</v>
      </c>
      <c r="B294" s="5" t="s">
        <v>107</v>
      </c>
      <c r="C294" s="5" t="s">
        <v>17</v>
      </c>
      <c r="D294" s="5" t="s">
        <v>18</v>
      </c>
      <c r="E294" s="5" t="n">
        <v>68909.26</v>
      </c>
      <c r="F294" s="5" t="n">
        <v>7794</v>
      </c>
      <c r="G294" s="5" t="n">
        <v>0.284</v>
      </c>
      <c r="H294" s="5" t="n">
        <v>22</v>
      </c>
      <c r="I294" s="5" t="n">
        <v>89</v>
      </c>
      <c r="J294" s="5" t="n">
        <v>0.33</v>
      </c>
      <c r="K294" s="5" t="n">
        <v>0</v>
      </c>
      <c r="L294" s="5" t="n">
        <v>4</v>
      </c>
      <c r="M294" s="5" t="n">
        <v>696261.49</v>
      </c>
      <c r="N294" s="5" t="n">
        <v>72455.35</v>
      </c>
    </row>
    <row r="295" customFormat="false" ht="15" hidden="false" customHeight="true" outlineLevel="0" collapsed="false">
      <c r="A295" s="5" t="s">
        <v>96</v>
      </c>
      <c r="B295" s="5" t="s">
        <v>108</v>
      </c>
      <c r="C295" s="5" t="s">
        <v>17</v>
      </c>
      <c r="D295" s="5" t="s">
        <v>18</v>
      </c>
      <c r="E295" s="5" t="n">
        <v>56737.3</v>
      </c>
      <c r="F295" s="5" t="n">
        <v>8300</v>
      </c>
      <c r="G295" s="5" t="n">
        <v>0.032</v>
      </c>
      <c r="H295" s="5" t="n">
        <v>21</v>
      </c>
      <c r="I295" s="5" t="n">
        <v>83.2</v>
      </c>
      <c r="J295" s="5" t="n">
        <v>3.44</v>
      </c>
      <c r="K295" s="5" t="n">
        <v>1</v>
      </c>
      <c r="L295" s="5" t="n">
        <v>4.3</v>
      </c>
      <c r="M295" s="5" t="n">
        <v>813316.71</v>
      </c>
      <c r="N295" s="5" t="n">
        <v>110077.42</v>
      </c>
    </row>
    <row r="296" customFormat="false" ht="15" hidden="false" customHeight="true" outlineLevel="0" collapsed="false">
      <c r="A296" s="5" t="s">
        <v>96</v>
      </c>
      <c r="B296" s="5" t="s">
        <v>109</v>
      </c>
      <c r="C296" s="5" t="s">
        <v>17</v>
      </c>
      <c r="D296" s="5" t="s">
        <v>18</v>
      </c>
      <c r="E296" s="5" t="n">
        <v>54080.91</v>
      </c>
      <c r="F296" s="5" t="n">
        <v>7083</v>
      </c>
      <c r="G296" s="5" t="n">
        <v>0</v>
      </c>
      <c r="H296" s="5" t="n">
        <v>15</v>
      </c>
      <c r="I296" s="5" t="n">
        <v>97</v>
      </c>
      <c r="J296" s="5" t="n">
        <v>5.33</v>
      </c>
      <c r="K296" s="5" t="n">
        <v>0</v>
      </c>
      <c r="L296" s="5" t="n">
        <v>4.1</v>
      </c>
      <c r="M296" s="5" t="n">
        <v>702068.92</v>
      </c>
      <c r="N296" s="5" t="n">
        <v>111266.63</v>
      </c>
    </row>
    <row r="297" customFormat="false" ht="15" hidden="false" customHeight="true" outlineLevel="0" collapsed="false">
      <c r="A297" s="5" t="s">
        <v>97</v>
      </c>
      <c r="B297" s="5" t="s">
        <v>106</v>
      </c>
      <c r="C297" s="5" t="s">
        <v>29</v>
      </c>
      <c r="D297" s="5" t="s">
        <v>20</v>
      </c>
      <c r="E297" s="5" t="n">
        <v>51996.32</v>
      </c>
      <c r="F297" s="5" t="n">
        <v>3834</v>
      </c>
      <c r="G297" s="5" t="n">
        <v>0.096</v>
      </c>
      <c r="H297" s="5" t="n">
        <v>8</v>
      </c>
      <c r="I297" s="5" t="n">
        <v>86.7</v>
      </c>
      <c r="J297" s="5" t="n">
        <v>6.04</v>
      </c>
      <c r="K297" s="5" t="n">
        <v>0</v>
      </c>
      <c r="L297" s="5" t="n">
        <v>4.5</v>
      </c>
      <c r="M297" s="5" t="n">
        <v>546223.7</v>
      </c>
      <c r="N297" s="5" t="n">
        <v>100769.17</v>
      </c>
    </row>
    <row r="298" customFormat="false" ht="15" hidden="false" customHeight="true" outlineLevel="0" collapsed="false">
      <c r="A298" s="5" t="s">
        <v>97</v>
      </c>
      <c r="B298" s="5" t="s">
        <v>107</v>
      </c>
      <c r="C298" s="5" t="s">
        <v>29</v>
      </c>
      <c r="D298" s="5" t="s">
        <v>20</v>
      </c>
      <c r="E298" s="5" t="n">
        <v>40102.88</v>
      </c>
      <c r="F298" s="5" t="n">
        <v>2358</v>
      </c>
      <c r="G298" s="5" t="n">
        <v>0.119</v>
      </c>
      <c r="H298" s="5" t="n">
        <v>9</v>
      </c>
      <c r="I298" s="5" t="n">
        <v>88.7</v>
      </c>
      <c r="J298" s="5" t="n">
        <v>1.6</v>
      </c>
      <c r="K298" s="5" t="n">
        <v>0</v>
      </c>
      <c r="L298" s="5" t="n">
        <v>4.2</v>
      </c>
      <c r="M298" s="5" t="n">
        <v>533121.26</v>
      </c>
      <c r="N298" s="5" t="n">
        <v>55063.39</v>
      </c>
    </row>
    <row r="299" customFormat="false" ht="15" hidden="false" customHeight="true" outlineLevel="0" collapsed="false">
      <c r="A299" s="5" t="s">
        <v>97</v>
      </c>
      <c r="B299" s="5" t="s">
        <v>108</v>
      </c>
      <c r="C299" s="5" t="s">
        <v>29</v>
      </c>
      <c r="D299" s="5" t="s">
        <v>20</v>
      </c>
      <c r="E299" s="5" t="n">
        <v>59825.51</v>
      </c>
      <c r="F299" s="5" t="n">
        <v>1231</v>
      </c>
      <c r="G299" s="5" t="n">
        <v>0.214</v>
      </c>
      <c r="H299" s="5" t="n">
        <v>10</v>
      </c>
      <c r="I299" s="5" t="n">
        <v>84.8</v>
      </c>
      <c r="J299" s="5" t="n">
        <v>8.96</v>
      </c>
      <c r="K299" s="5" t="n">
        <v>0</v>
      </c>
      <c r="L299" s="5" t="n">
        <v>4.7</v>
      </c>
      <c r="M299" s="5" t="n">
        <v>498970.32</v>
      </c>
      <c r="N299" s="5" t="n">
        <v>69656.7</v>
      </c>
    </row>
    <row r="300" customFormat="false" ht="15" hidden="false" customHeight="true" outlineLevel="0" collapsed="false">
      <c r="A300" s="5" t="s">
        <v>97</v>
      </c>
      <c r="B300" s="5" t="s">
        <v>109</v>
      </c>
      <c r="C300" s="5" t="s">
        <v>29</v>
      </c>
      <c r="D300" s="5" t="s">
        <v>20</v>
      </c>
      <c r="E300" s="5" t="n">
        <v>27398.28</v>
      </c>
      <c r="F300" s="5" t="n">
        <v>1723</v>
      </c>
      <c r="G300" s="5" t="n">
        <v>0.171</v>
      </c>
      <c r="H300" s="5" t="n">
        <v>9</v>
      </c>
      <c r="I300" s="5" t="n">
        <v>81</v>
      </c>
      <c r="J300" s="5" t="n">
        <v>0.74</v>
      </c>
      <c r="K300" s="5" t="n">
        <v>0</v>
      </c>
      <c r="L300" s="5" t="n">
        <v>4.6</v>
      </c>
      <c r="M300" s="5" t="n">
        <v>487738.26</v>
      </c>
      <c r="N300" s="5" t="n">
        <v>96435.6</v>
      </c>
    </row>
    <row r="301" customFormat="false" ht="15" hidden="false" customHeight="true" outlineLevel="0" collapsed="false">
      <c r="A301" s="5" t="s">
        <v>98</v>
      </c>
      <c r="B301" s="5" t="s">
        <v>106</v>
      </c>
      <c r="C301" s="5" t="s">
        <v>29</v>
      </c>
      <c r="D301" s="5" t="s">
        <v>20</v>
      </c>
      <c r="E301" s="5" t="n">
        <v>55599.56</v>
      </c>
      <c r="F301" s="5" t="n">
        <v>5896</v>
      </c>
      <c r="G301" s="5" t="n">
        <v>0.036</v>
      </c>
      <c r="H301" s="5" t="n">
        <v>12</v>
      </c>
      <c r="I301" s="5" t="n">
        <v>93.1</v>
      </c>
      <c r="J301" s="5" t="n">
        <v>6.13</v>
      </c>
      <c r="K301" s="5" t="n">
        <v>0</v>
      </c>
      <c r="L301" s="5" t="n">
        <v>3.3</v>
      </c>
      <c r="M301" s="5" t="n">
        <v>668459.37</v>
      </c>
      <c r="N301" s="5" t="n">
        <v>126435.42</v>
      </c>
    </row>
    <row r="302" customFormat="false" ht="15" hidden="false" customHeight="true" outlineLevel="0" collapsed="false">
      <c r="A302" s="5" t="s">
        <v>98</v>
      </c>
      <c r="B302" s="5" t="s">
        <v>107</v>
      </c>
      <c r="C302" s="5" t="s">
        <v>29</v>
      </c>
      <c r="D302" s="5" t="s">
        <v>20</v>
      </c>
      <c r="E302" s="5" t="n">
        <v>55477.61</v>
      </c>
      <c r="F302" s="5" t="n">
        <v>5903</v>
      </c>
      <c r="G302" s="5" t="n">
        <v>0.102</v>
      </c>
      <c r="H302" s="5" t="n">
        <v>14</v>
      </c>
      <c r="I302" s="5" t="n">
        <v>96.2</v>
      </c>
      <c r="J302" s="5" t="n">
        <v>1.41</v>
      </c>
      <c r="K302" s="5" t="n">
        <v>0</v>
      </c>
      <c r="L302" s="5" t="n">
        <v>3.3</v>
      </c>
      <c r="M302" s="5" t="n">
        <v>763162.45</v>
      </c>
      <c r="N302" s="5" t="n">
        <v>162524.05</v>
      </c>
    </row>
    <row r="303" customFormat="false" ht="15" hidden="false" customHeight="true" outlineLevel="0" collapsed="false">
      <c r="A303" s="5" t="s">
        <v>98</v>
      </c>
      <c r="B303" s="5" t="s">
        <v>108</v>
      </c>
      <c r="C303" s="5" t="s">
        <v>29</v>
      </c>
      <c r="D303" s="5" t="s">
        <v>20</v>
      </c>
      <c r="E303" s="5" t="n">
        <v>46174.7</v>
      </c>
      <c r="F303" s="5" t="n">
        <v>4898</v>
      </c>
      <c r="G303" s="5" t="n">
        <v>0.114</v>
      </c>
      <c r="H303" s="5" t="n">
        <v>11</v>
      </c>
      <c r="I303" s="5" t="n">
        <v>91.7</v>
      </c>
      <c r="J303" s="5" t="n">
        <v>3.75</v>
      </c>
      <c r="K303" s="5" t="n">
        <v>0</v>
      </c>
      <c r="L303" s="5" t="n">
        <v>3.1</v>
      </c>
      <c r="M303" s="5" t="n">
        <v>599017.33</v>
      </c>
      <c r="N303" s="5" t="n">
        <v>134009.92</v>
      </c>
    </row>
    <row r="304" customFormat="false" ht="15" hidden="false" customHeight="true" outlineLevel="0" collapsed="false">
      <c r="A304" s="5" t="s">
        <v>98</v>
      </c>
      <c r="B304" s="5" t="s">
        <v>109</v>
      </c>
      <c r="C304" s="5" t="s">
        <v>29</v>
      </c>
      <c r="D304" s="5" t="s">
        <v>20</v>
      </c>
      <c r="E304" s="5" t="n">
        <v>24362.98</v>
      </c>
      <c r="F304" s="5" t="n">
        <v>1462</v>
      </c>
      <c r="G304" s="5" t="n">
        <v>0.117</v>
      </c>
      <c r="H304" s="5" t="n">
        <v>6</v>
      </c>
      <c r="I304" s="5" t="n">
        <v>89.3</v>
      </c>
      <c r="J304" s="5" t="n">
        <v>15.06</v>
      </c>
      <c r="K304" s="5" t="n">
        <v>0</v>
      </c>
      <c r="L304" s="5" t="n">
        <v>3.2</v>
      </c>
      <c r="M304" s="5" t="n">
        <v>401582.58</v>
      </c>
      <c r="N304" s="5" t="n">
        <v>68454.93</v>
      </c>
    </row>
    <row r="305" customFormat="false" ht="15" hidden="false" customHeight="true" outlineLevel="0" collapsed="false">
      <c r="A305" s="5" t="s">
        <v>99</v>
      </c>
      <c r="B305" s="5" t="s">
        <v>106</v>
      </c>
      <c r="C305" s="5" t="s">
        <v>22</v>
      </c>
      <c r="D305" s="5" t="s">
        <v>30</v>
      </c>
      <c r="E305" s="5" t="n">
        <v>40647.67</v>
      </c>
      <c r="F305" s="5" t="n">
        <v>8252</v>
      </c>
      <c r="G305" s="5" t="n">
        <v>0.141</v>
      </c>
      <c r="H305" s="5" t="n">
        <v>22</v>
      </c>
      <c r="I305" s="5" t="n">
        <v>88.2</v>
      </c>
      <c r="J305" s="5" t="n">
        <v>5.07</v>
      </c>
      <c r="K305" s="5" t="n">
        <v>1</v>
      </c>
      <c r="L305" s="5" t="n">
        <v>4.1</v>
      </c>
      <c r="M305" s="5" t="n">
        <v>703812.99</v>
      </c>
      <c r="N305" s="5" t="n">
        <v>133577.98</v>
      </c>
    </row>
    <row r="306" customFormat="false" ht="15" hidden="false" customHeight="true" outlineLevel="0" collapsed="false">
      <c r="A306" s="5" t="s">
        <v>99</v>
      </c>
      <c r="B306" s="5" t="s">
        <v>107</v>
      </c>
      <c r="C306" s="5" t="s">
        <v>22</v>
      </c>
      <c r="D306" s="5" t="s">
        <v>30</v>
      </c>
      <c r="E306" s="5" t="n">
        <v>63986.98</v>
      </c>
      <c r="F306" s="5" t="n">
        <v>7989</v>
      </c>
      <c r="G306" s="5" t="n">
        <v>0.074</v>
      </c>
      <c r="H306" s="5" t="n">
        <v>20</v>
      </c>
      <c r="I306" s="5" t="n">
        <v>83.3</v>
      </c>
      <c r="J306" s="5" t="n">
        <v>3.6</v>
      </c>
      <c r="K306" s="5" t="n">
        <v>0</v>
      </c>
      <c r="L306" s="5" t="n">
        <v>3.7</v>
      </c>
      <c r="M306" s="5" t="n">
        <v>724346.73</v>
      </c>
      <c r="N306" s="5" t="n">
        <v>155013.91</v>
      </c>
    </row>
    <row r="307" customFormat="false" ht="15" hidden="false" customHeight="true" outlineLevel="0" collapsed="false">
      <c r="A307" s="5" t="s">
        <v>99</v>
      </c>
      <c r="B307" s="5" t="s">
        <v>108</v>
      </c>
      <c r="C307" s="5" t="s">
        <v>22</v>
      </c>
      <c r="D307" s="5" t="s">
        <v>30</v>
      </c>
      <c r="E307" s="5" t="n">
        <v>52843.75</v>
      </c>
      <c r="F307" s="5" t="n">
        <v>8268</v>
      </c>
      <c r="G307" s="5" t="n">
        <v>0.138</v>
      </c>
      <c r="H307" s="5" t="n">
        <v>19</v>
      </c>
      <c r="I307" s="5" t="n">
        <v>87.3</v>
      </c>
      <c r="J307" s="5" t="n">
        <v>4.39</v>
      </c>
      <c r="K307" s="5" t="n">
        <v>1</v>
      </c>
      <c r="L307" s="5" t="n">
        <v>4.7</v>
      </c>
      <c r="M307" s="5" t="n">
        <v>730890.01</v>
      </c>
      <c r="N307" s="5" t="n">
        <v>105502.56</v>
      </c>
    </row>
    <row r="308" customFormat="false" ht="15" hidden="false" customHeight="true" outlineLevel="0" collapsed="false">
      <c r="A308" s="5" t="s">
        <v>99</v>
      </c>
      <c r="B308" s="5" t="s">
        <v>109</v>
      </c>
      <c r="C308" s="5" t="s">
        <v>22</v>
      </c>
      <c r="D308" s="5" t="s">
        <v>30</v>
      </c>
      <c r="E308" s="5" t="n">
        <v>31997.25</v>
      </c>
      <c r="F308" s="5" t="n">
        <v>8183</v>
      </c>
      <c r="G308" s="5" t="n">
        <v>0.198</v>
      </c>
      <c r="H308" s="5" t="n">
        <v>18</v>
      </c>
      <c r="I308" s="5" t="n">
        <v>93</v>
      </c>
      <c r="J308" s="5" t="n">
        <v>2.79</v>
      </c>
      <c r="K308" s="5" t="n">
        <v>0</v>
      </c>
      <c r="L308" s="5" t="n">
        <v>4.2</v>
      </c>
      <c r="M308" s="5" t="n">
        <v>780580.95</v>
      </c>
      <c r="N308" s="5" t="n">
        <v>138144.46</v>
      </c>
    </row>
    <row r="309" customFormat="false" ht="15" hidden="false" customHeight="true" outlineLevel="0" collapsed="false">
      <c r="A309" s="5" t="s">
        <v>100</v>
      </c>
      <c r="B309" s="5" t="s">
        <v>106</v>
      </c>
      <c r="C309" s="5" t="s">
        <v>26</v>
      </c>
      <c r="D309" s="5" t="s">
        <v>18</v>
      </c>
      <c r="E309" s="5" t="n">
        <v>54948.02</v>
      </c>
      <c r="F309" s="5" t="n">
        <v>6534</v>
      </c>
      <c r="G309" s="5" t="n">
        <v>0.183</v>
      </c>
      <c r="H309" s="5" t="n">
        <v>14</v>
      </c>
      <c r="I309" s="5" t="n">
        <v>94.5</v>
      </c>
      <c r="J309" s="5" t="n">
        <v>1.56</v>
      </c>
      <c r="K309" s="5" t="n">
        <v>0</v>
      </c>
      <c r="L309" s="5" t="n">
        <v>4</v>
      </c>
      <c r="M309" s="5" t="n">
        <v>727957.48</v>
      </c>
      <c r="N309" s="5" t="n">
        <v>74805.23</v>
      </c>
    </row>
    <row r="310" customFormat="false" ht="15" hidden="false" customHeight="true" outlineLevel="0" collapsed="false">
      <c r="A310" s="5" t="s">
        <v>100</v>
      </c>
      <c r="B310" s="5" t="s">
        <v>107</v>
      </c>
      <c r="C310" s="5" t="s">
        <v>26</v>
      </c>
      <c r="D310" s="5" t="s">
        <v>18</v>
      </c>
      <c r="E310" s="5" t="n">
        <v>46146.24</v>
      </c>
      <c r="F310" s="5" t="n">
        <v>5804</v>
      </c>
      <c r="G310" s="5" t="n">
        <v>0.047</v>
      </c>
      <c r="H310" s="5" t="n">
        <v>16</v>
      </c>
      <c r="I310" s="5" t="n">
        <v>86.9</v>
      </c>
      <c r="J310" s="5" t="n">
        <v>15.82</v>
      </c>
      <c r="K310" s="5" t="n">
        <v>0</v>
      </c>
      <c r="L310" s="5" t="n">
        <v>3.8</v>
      </c>
      <c r="M310" s="5" t="n">
        <v>538376</v>
      </c>
      <c r="N310" s="5" t="n">
        <v>87605.62</v>
      </c>
    </row>
    <row r="311" customFormat="false" ht="15" hidden="false" customHeight="true" outlineLevel="0" collapsed="false">
      <c r="A311" s="5" t="s">
        <v>100</v>
      </c>
      <c r="B311" s="5" t="s">
        <v>108</v>
      </c>
      <c r="C311" s="5" t="s">
        <v>26</v>
      </c>
      <c r="D311" s="5" t="s">
        <v>18</v>
      </c>
      <c r="E311" s="5" t="n">
        <v>22387.26</v>
      </c>
      <c r="F311" s="5" t="n">
        <v>6301</v>
      </c>
      <c r="G311" s="5" t="n">
        <v>0.146</v>
      </c>
      <c r="H311" s="5" t="n">
        <v>14</v>
      </c>
      <c r="I311" s="5" t="n">
        <v>85.9</v>
      </c>
      <c r="J311" s="5" t="n">
        <v>1.17</v>
      </c>
      <c r="K311" s="5" t="n">
        <v>1</v>
      </c>
      <c r="L311" s="5" t="n">
        <v>3.7</v>
      </c>
      <c r="M311" s="5" t="n">
        <v>665342.49</v>
      </c>
      <c r="N311" s="5" t="n">
        <v>93441.81</v>
      </c>
    </row>
    <row r="312" customFormat="false" ht="15" hidden="false" customHeight="true" outlineLevel="0" collapsed="false">
      <c r="A312" s="5" t="s">
        <v>100</v>
      </c>
      <c r="B312" s="5" t="s">
        <v>109</v>
      </c>
      <c r="C312" s="5" t="s">
        <v>26</v>
      </c>
      <c r="D312" s="5" t="s">
        <v>18</v>
      </c>
      <c r="E312" s="5" t="n">
        <v>60684.05</v>
      </c>
      <c r="F312" s="5" t="n">
        <v>6399</v>
      </c>
      <c r="G312" s="5" t="n">
        <v>0.075</v>
      </c>
      <c r="H312" s="5" t="n">
        <v>16</v>
      </c>
      <c r="I312" s="5" t="n">
        <v>99</v>
      </c>
      <c r="J312" s="5" t="n">
        <v>3.82</v>
      </c>
      <c r="K312" s="5" t="n">
        <v>0</v>
      </c>
      <c r="L312" s="5" t="n">
        <v>3.5</v>
      </c>
      <c r="M312" s="5" t="n">
        <v>651164.18</v>
      </c>
      <c r="N312" s="5" t="n">
        <v>109466.5</v>
      </c>
    </row>
    <row r="313" customFormat="false" ht="15" hidden="false" customHeight="true" outlineLevel="0" collapsed="false">
      <c r="A313" s="5" t="s">
        <v>101</v>
      </c>
      <c r="B313" s="5" t="s">
        <v>106</v>
      </c>
      <c r="C313" s="5" t="s">
        <v>26</v>
      </c>
      <c r="D313" s="5" t="s">
        <v>20</v>
      </c>
      <c r="E313" s="5" t="n">
        <v>48465.6</v>
      </c>
      <c r="F313" s="5" t="n">
        <v>5759</v>
      </c>
      <c r="G313" s="5" t="n">
        <v>0.154</v>
      </c>
      <c r="H313" s="5" t="n">
        <v>13</v>
      </c>
      <c r="I313" s="5" t="n">
        <v>87.5</v>
      </c>
      <c r="J313" s="5" t="n">
        <v>4.14</v>
      </c>
      <c r="K313" s="5" t="n">
        <v>0</v>
      </c>
      <c r="L313" s="5" t="n">
        <v>4</v>
      </c>
      <c r="M313" s="5" t="n">
        <v>628538.3</v>
      </c>
      <c r="N313" s="5" t="n">
        <v>112509.15</v>
      </c>
    </row>
    <row r="314" customFormat="false" ht="15" hidden="false" customHeight="true" outlineLevel="0" collapsed="false">
      <c r="A314" s="5" t="s">
        <v>101</v>
      </c>
      <c r="B314" s="5" t="s">
        <v>107</v>
      </c>
      <c r="C314" s="5" t="s">
        <v>26</v>
      </c>
      <c r="D314" s="5" t="s">
        <v>20</v>
      </c>
      <c r="E314" s="5" t="n">
        <v>23702.38</v>
      </c>
      <c r="F314" s="5" t="n">
        <v>5285</v>
      </c>
      <c r="G314" s="5" t="n">
        <v>0.167</v>
      </c>
      <c r="H314" s="5" t="n">
        <v>14</v>
      </c>
      <c r="I314" s="5" t="n">
        <v>79.7</v>
      </c>
      <c r="J314" s="5" t="n">
        <v>1.1</v>
      </c>
      <c r="K314" s="5" t="n">
        <v>0</v>
      </c>
      <c r="L314" s="5" t="n">
        <v>4.3</v>
      </c>
      <c r="M314" s="5" t="n">
        <v>536524.84</v>
      </c>
      <c r="N314" s="5" t="n">
        <v>92752.94</v>
      </c>
    </row>
    <row r="315" customFormat="false" ht="15" hidden="false" customHeight="true" outlineLevel="0" collapsed="false">
      <c r="A315" s="5" t="s">
        <v>101</v>
      </c>
      <c r="B315" s="5" t="s">
        <v>108</v>
      </c>
      <c r="C315" s="5" t="s">
        <v>26</v>
      </c>
      <c r="D315" s="5" t="s">
        <v>20</v>
      </c>
      <c r="E315" s="5" t="n">
        <v>54322.94</v>
      </c>
      <c r="F315" s="5" t="n">
        <v>5434</v>
      </c>
      <c r="G315" s="5" t="n">
        <v>0.2</v>
      </c>
      <c r="H315" s="5" t="n">
        <v>13</v>
      </c>
      <c r="I315" s="5" t="n">
        <v>85.7</v>
      </c>
      <c r="J315" s="5" t="n">
        <v>10.6</v>
      </c>
      <c r="K315" s="5" t="n">
        <v>0</v>
      </c>
      <c r="L315" s="5" t="n">
        <v>4.2</v>
      </c>
      <c r="M315" s="5" t="n">
        <v>621677.3</v>
      </c>
      <c r="N315" s="5" t="n">
        <v>105192.52</v>
      </c>
    </row>
    <row r="316" customFormat="false" ht="15" hidden="false" customHeight="true" outlineLevel="0" collapsed="false">
      <c r="A316" s="5" t="s">
        <v>101</v>
      </c>
      <c r="B316" s="5" t="s">
        <v>109</v>
      </c>
      <c r="C316" s="5" t="s">
        <v>26</v>
      </c>
      <c r="D316" s="5" t="s">
        <v>20</v>
      </c>
      <c r="E316" s="5" t="n">
        <v>86026.58</v>
      </c>
      <c r="F316" s="5" t="n">
        <v>7479</v>
      </c>
      <c r="G316" s="5" t="n">
        <v>0.142</v>
      </c>
      <c r="H316" s="5" t="n">
        <v>20</v>
      </c>
      <c r="I316" s="5" t="n">
        <v>89</v>
      </c>
      <c r="J316" s="5" t="n">
        <v>0.9</v>
      </c>
      <c r="K316" s="5" t="n">
        <v>0</v>
      </c>
      <c r="L316" s="5" t="n">
        <v>3.9</v>
      </c>
      <c r="M316" s="5" t="n">
        <v>771129.07</v>
      </c>
      <c r="N316" s="5" t="n">
        <v>116851.13</v>
      </c>
    </row>
    <row r="317" customFormat="false" ht="15" hidden="false" customHeight="true" outlineLevel="0" collapsed="false">
      <c r="A317" s="5" t="s">
        <v>102</v>
      </c>
      <c r="B317" s="5" t="s">
        <v>106</v>
      </c>
      <c r="C317" s="5" t="s">
        <v>22</v>
      </c>
      <c r="D317" s="5" t="s">
        <v>18</v>
      </c>
      <c r="E317" s="5" t="n">
        <v>78967.52</v>
      </c>
      <c r="F317" s="5" t="n">
        <v>6164</v>
      </c>
      <c r="G317" s="5" t="n">
        <v>0.021</v>
      </c>
      <c r="H317" s="5" t="n">
        <v>16</v>
      </c>
      <c r="I317" s="5" t="n">
        <v>85.5</v>
      </c>
      <c r="J317" s="5" t="n">
        <v>0.2</v>
      </c>
      <c r="K317" s="5" t="n">
        <v>0</v>
      </c>
      <c r="L317" s="5" t="n">
        <v>3.4</v>
      </c>
      <c r="M317" s="5" t="n">
        <v>702052.47</v>
      </c>
      <c r="N317" s="5" t="n">
        <v>121732.51</v>
      </c>
    </row>
    <row r="318" customFormat="false" ht="15" hidden="false" customHeight="true" outlineLevel="0" collapsed="false">
      <c r="A318" s="5" t="s">
        <v>102</v>
      </c>
      <c r="B318" s="5" t="s">
        <v>107</v>
      </c>
      <c r="C318" s="5" t="s">
        <v>22</v>
      </c>
      <c r="D318" s="5" t="s">
        <v>18</v>
      </c>
      <c r="E318" s="5" t="n">
        <v>46767.99</v>
      </c>
      <c r="F318" s="5" t="n">
        <v>7973</v>
      </c>
      <c r="G318" s="5" t="n">
        <v>0.183</v>
      </c>
      <c r="H318" s="5" t="n">
        <v>18</v>
      </c>
      <c r="I318" s="5" t="n">
        <v>94.8</v>
      </c>
      <c r="J318" s="5" t="n">
        <v>4.67</v>
      </c>
      <c r="K318" s="5" t="n">
        <v>0</v>
      </c>
      <c r="L318" s="5" t="n">
        <v>3.9</v>
      </c>
      <c r="M318" s="5" t="n">
        <v>688368.46</v>
      </c>
      <c r="N318" s="5" t="n">
        <v>93588.42</v>
      </c>
    </row>
    <row r="319" customFormat="false" ht="15" hidden="false" customHeight="true" outlineLevel="0" collapsed="false">
      <c r="A319" s="5" t="s">
        <v>102</v>
      </c>
      <c r="B319" s="5" t="s">
        <v>108</v>
      </c>
      <c r="C319" s="5" t="s">
        <v>22</v>
      </c>
      <c r="D319" s="5" t="s">
        <v>18</v>
      </c>
      <c r="E319" s="5" t="n">
        <v>62507.16</v>
      </c>
      <c r="F319" s="5" t="n">
        <v>6000</v>
      </c>
      <c r="G319" s="5" t="n">
        <v>0.091</v>
      </c>
      <c r="H319" s="5" t="n">
        <v>14</v>
      </c>
      <c r="I319" s="5" t="n">
        <v>98.2</v>
      </c>
      <c r="J319" s="5" t="n">
        <v>4.38</v>
      </c>
      <c r="K319" s="5" t="n">
        <v>1</v>
      </c>
      <c r="L319" s="5" t="n">
        <v>3.9</v>
      </c>
      <c r="M319" s="5" t="n">
        <v>712375.77</v>
      </c>
      <c r="N319" s="5" t="n">
        <v>104171.53</v>
      </c>
    </row>
    <row r="320" customFormat="false" ht="15" hidden="false" customHeight="true" outlineLevel="0" collapsed="false">
      <c r="A320" s="5" t="s">
        <v>102</v>
      </c>
      <c r="B320" s="5" t="s">
        <v>109</v>
      </c>
      <c r="C320" s="5" t="s">
        <v>22</v>
      </c>
      <c r="D320" s="5" t="s">
        <v>18</v>
      </c>
      <c r="E320" s="5" t="n">
        <v>66456.28</v>
      </c>
      <c r="F320" s="5" t="n">
        <v>9967</v>
      </c>
      <c r="G320" s="5" t="n">
        <v>0.108</v>
      </c>
      <c r="H320" s="5" t="n">
        <v>20</v>
      </c>
      <c r="I320" s="5" t="n">
        <v>94.7</v>
      </c>
      <c r="J320" s="5" t="n">
        <v>4.48</v>
      </c>
      <c r="K320" s="5" t="n">
        <v>0</v>
      </c>
      <c r="L320" s="5" t="n">
        <v>4.2</v>
      </c>
      <c r="M320" s="5" t="n">
        <v>844710.67</v>
      </c>
      <c r="N320" s="5" t="n">
        <v>137140.18</v>
      </c>
    </row>
    <row r="321" customFormat="false" ht="15" hidden="false" customHeight="true" outlineLevel="0" collapsed="false">
      <c r="A321" s="5" t="s">
        <v>103</v>
      </c>
      <c r="B321" s="5" t="s">
        <v>106</v>
      </c>
      <c r="C321" s="5" t="s">
        <v>17</v>
      </c>
      <c r="D321" s="5" t="s">
        <v>18</v>
      </c>
      <c r="E321" s="5" t="n">
        <v>76614.32</v>
      </c>
      <c r="F321" s="5" t="n">
        <v>5639</v>
      </c>
      <c r="G321" s="5" t="n">
        <v>0.174</v>
      </c>
      <c r="H321" s="5" t="n">
        <v>15</v>
      </c>
      <c r="I321" s="5" t="n">
        <v>92.9</v>
      </c>
      <c r="J321" s="5" t="n">
        <v>1.02</v>
      </c>
      <c r="K321" s="5" t="n">
        <v>1</v>
      </c>
      <c r="L321" s="5" t="n">
        <v>4</v>
      </c>
      <c r="M321" s="5" t="n">
        <v>620264.2</v>
      </c>
      <c r="N321" s="5" t="n">
        <v>91365.64</v>
      </c>
    </row>
    <row r="322" customFormat="false" ht="15" hidden="false" customHeight="true" outlineLevel="0" collapsed="false">
      <c r="A322" s="5" t="s">
        <v>103</v>
      </c>
      <c r="B322" s="5" t="s">
        <v>107</v>
      </c>
      <c r="C322" s="5" t="s">
        <v>17</v>
      </c>
      <c r="D322" s="5" t="s">
        <v>18</v>
      </c>
      <c r="E322" s="5" t="n">
        <v>24088.06</v>
      </c>
      <c r="F322" s="5" t="n">
        <v>3466</v>
      </c>
      <c r="G322" s="5" t="n">
        <v>0</v>
      </c>
      <c r="H322" s="5" t="n">
        <v>11</v>
      </c>
      <c r="I322" s="5" t="n">
        <v>88</v>
      </c>
      <c r="J322" s="5" t="n">
        <v>0.2</v>
      </c>
      <c r="K322" s="5" t="n">
        <v>0</v>
      </c>
      <c r="L322" s="5" t="n">
        <v>3.8</v>
      </c>
      <c r="M322" s="5" t="n">
        <v>536845.42</v>
      </c>
      <c r="N322" s="5" t="n">
        <v>107473.75</v>
      </c>
    </row>
    <row r="323" customFormat="false" ht="15" hidden="false" customHeight="true" outlineLevel="0" collapsed="false">
      <c r="A323" s="5" t="s">
        <v>103</v>
      </c>
      <c r="B323" s="5" t="s">
        <v>108</v>
      </c>
      <c r="C323" s="5" t="s">
        <v>17</v>
      </c>
      <c r="D323" s="5" t="s">
        <v>18</v>
      </c>
      <c r="E323" s="5" t="n">
        <v>81902.58</v>
      </c>
      <c r="F323" s="5" t="n">
        <v>7775</v>
      </c>
      <c r="G323" s="5" t="n">
        <v>0.215</v>
      </c>
      <c r="H323" s="5" t="n">
        <v>20</v>
      </c>
      <c r="I323" s="5" t="n">
        <v>85.2</v>
      </c>
      <c r="J323" s="5" t="n">
        <v>4.89</v>
      </c>
      <c r="K323" s="5" t="n">
        <v>1</v>
      </c>
      <c r="L323" s="5" t="n">
        <v>4.2</v>
      </c>
      <c r="M323" s="5" t="n">
        <v>726776.22</v>
      </c>
      <c r="N323" s="5" t="n">
        <v>90804.49</v>
      </c>
    </row>
    <row r="324" customFormat="false" ht="15" hidden="false" customHeight="true" outlineLevel="0" collapsed="false">
      <c r="A324" s="5" t="s">
        <v>103</v>
      </c>
      <c r="B324" s="5" t="s">
        <v>109</v>
      </c>
      <c r="C324" s="5" t="s">
        <v>17</v>
      </c>
      <c r="D324" s="5" t="s">
        <v>18</v>
      </c>
      <c r="E324" s="5" t="n">
        <v>40553.11</v>
      </c>
      <c r="F324" s="5" t="n">
        <v>5317</v>
      </c>
      <c r="G324" s="5" t="n">
        <v>0.165</v>
      </c>
      <c r="H324" s="5" t="n">
        <v>17</v>
      </c>
      <c r="I324" s="5" t="n">
        <v>84.3</v>
      </c>
      <c r="J324" s="5" t="n">
        <v>11.82</v>
      </c>
      <c r="K324" s="5" t="n">
        <v>0</v>
      </c>
      <c r="L324" s="5" t="n">
        <v>4.1</v>
      </c>
      <c r="M324" s="5" t="n">
        <v>559660.84</v>
      </c>
      <c r="N324" s="5" t="n">
        <v>71443.61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9"/>
    <col collapsed="false" customWidth="true" hidden="false" outlineLevel="0" max="3" min="3" style="1" width="13"/>
    <col collapsed="false" customWidth="true" hidden="false" outlineLevel="0" max="4" min="4" style="1" width="10"/>
    <col collapsed="false" customWidth="true" hidden="false" outlineLevel="0" max="5" min="5" style="1" width="9"/>
    <col collapsed="false" customWidth="true" hidden="false" outlineLevel="0" max="6" min="6" style="1" width="14"/>
    <col collapsed="false" customWidth="true" hidden="false" outlineLevel="0" max="8" min="7" style="1" width="10"/>
    <col collapsed="false" customWidth="true" hidden="false" outlineLevel="0" max="9" min="9" style="1" width="9"/>
    <col collapsed="false" customWidth="true" hidden="false" outlineLevel="0" max="10" min="10" style="1" width="13"/>
  </cols>
  <sheetData>
    <row r="1" customFormat="false" ht="15.75" hidden="false" customHeight="true" outlineLevel="0" collapsed="false">
      <c r="A1" s="2" t="s">
        <v>110</v>
      </c>
    </row>
    <row r="2" customFormat="false" ht="15" hidden="false" customHeight="true" outlineLevel="0" collapsed="false">
      <c r="A2" s="7" t="s">
        <v>111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</row>
    <row r="4" customFormat="false" ht="23.25" hidden="false" customHeight="true" outlineLevel="0" collapsed="false">
      <c r="A4" s="4" t="s">
        <v>2</v>
      </c>
      <c r="B4" s="4" t="s">
        <v>4</v>
      </c>
      <c r="C4" s="4" t="s">
        <v>5</v>
      </c>
      <c r="D4" s="4" t="s">
        <v>112</v>
      </c>
      <c r="E4" s="4" t="s">
        <v>113</v>
      </c>
      <c r="F4" s="4" t="s">
        <v>114</v>
      </c>
      <c r="G4" s="4" t="s">
        <v>115</v>
      </c>
      <c r="H4" s="4" t="s">
        <v>116</v>
      </c>
      <c r="I4" s="4" t="s">
        <v>117</v>
      </c>
      <c r="J4" s="4" t="s">
        <v>14</v>
      </c>
    </row>
    <row r="5" customFormat="false" ht="15" hidden="false" customHeight="true" outlineLevel="0" collapsed="false">
      <c r="A5" s="5" t="s">
        <v>16</v>
      </c>
      <c r="B5" s="5" t="s">
        <v>17</v>
      </c>
      <c r="C5" s="5" t="s">
        <v>18</v>
      </c>
      <c r="D5" s="5" t="n">
        <v>0</v>
      </c>
      <c r="E5" s="5" t="n">
        <v>0</v>
      </c>
      <c r="F5" s="5" t="n">
        <v>1</v>
      </c>
      <c r="G5" s="5" t="n">
        <v>0</v>
      </c>
      <c r="H5" s="5" t="n">
        <v>0</v>
      </c>
      <c r="I5" s="5" t="n">
        <v>0</v>
      </c>
      <c r="J5" s="5" t="n">
        <v>658832.62</v>
      </c>
    </row>
    <row r="6" customFormat="false" ht="15" hidden="false" customHeight="true" outlineLevel="0" collapsed="false">
      <c r="A6" s="5" t="s">
        <v>16</v>
      </c>
      <c r="B6" s="5" t="s">
        <v>17</v>
      </c>
      <c r="C6" s="5" t="s">
        <v>18</v>
      </c>
      <c r="D6" s="5" t="n">
        <v>0</v>
      </c>
      <c r="E6" s="5" t="n">
        <v>0</v>
      </c>
      <c r="F6" s="5" t="n">
        <v>1</v>
      </c>
      <c r="G6" s="5" t="n">
        <v>0</v>
      </c>
      <c r="H6" s="5" t="n">
        <v>0</v>
      </c>
      <c r="I6" s="5" t="n">
        <v>0</v>
      </c>
      <c r="J6" s="5" t="n">
        <v>634436</v>
      </c>
    </row>
    <row r="7" customFormat="false" ht="15" hidden="false" customHeight="true" outlineLevel="0" collapsed="false">
      <c r="A7" s="5" t="s">
        <v>16</v>
      </c>
      <c r="B7" s="5" t="s">
        <v>17</v>
      </c>
      <c r="C7" s="5" t="s">
        <v>18</v>
      </c>
      <c r="D7" s="5" t="n">
        <v>0</v>
      </c>
      <c r="E7" s="5" t="n">
        <v>0</v>
      </c>
      <c r="F7" s="5" t="n">
        <v>1</v>
      </c>
      <c r="G7" s="5" t="n">
        <v>0</v>
      </c>
      <c r="H7" s="5" t="n">
        <v>0</v>
      </c>
      <c r="I7" s="5" t="n">
        <v>0</v>
      </c>
      <c r="J7" s="5" t="n">
        <v>678722.06</v>
      </c>
    </row>
    <row r="8" customFormat="false" ht="15" hidden="false" customHeight="true" outlineLevel="0" collapsed="false">
      <c r="A8" s="5" t="s">
        <v>16</v>
      </c>
      <c r="B8" s="5" t="s">
        <v>17</v>
      </c>
      <c r="C8" s="5" t="s">
        <v>18</v>
      </c>
      <c r="D8" s="5" t="n">
        <v>0</v>
      </c>
      <c r="E8" s="5" t="n">
        <v>0</v>
      </c>
      <c r="F8" s="5" t="n">
        <v>1</v>
      </c>
      <c r="G8" s="5" t="n">
        <v>0</v>
      </c>
      <c r="H8" s="5" t="n">
        <v>0</v>
      </c>
      <c r="I8" s="5" t="n">
        <v>0</v>
      </c>
      <c r="J8" s="5" t="n">
        <v>658920.3</v>
      </c>
    </row>
    <row r="9" customFormat="false" ht="15" hidden="false" customHeight="true" outlineLevel="0" collapsed="false">
      <c r="A9" s="5" t="s">
        <v>19</v>
      </c>
      <c r="B9" s="5" t="s">
        <v>17</v>
      </c>
      <c r="C9" s="5" t="s">
        <v>20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5" t="n">
        <v>741341.44</v>
      </c>
    </row>
    <row r="10" customFormat="false" ht="15" hidden="false" customHeight="true" outlineLevel="0" collapsed="false">
      <c r="A10" s="5" t="s">
        <v>19</v>
      </c>
      <c r="B10" s="5" t="s">
        <v>17</v>
      </c>
      <c r="C10" s="5" t="s">
        <v>20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761835.34</v>
      </c>
    </row>
    <row r="11" customFormat="false" ht="15" hidden="false" customHeight="true" outlineLevel="0" collapsed="false">
      <c r="A11" s="5" t="s">
        <v>19</v>
      </c>
      <c r="B11" s="5" t="s">
        <v>17</v>
      </c>
      <c r="C11" s="5" t="s">
        <v>20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806615.54</v>
      </c>
    </row>
    <row r="12" customFormat="false" ht="15" hidden="false" customHeight="true" outlineLevel="0" collapsed="false">
      <c r="A12" s="5" t="s">
        <v>19</v>
      </c>
      <c r="B12" s="5" t="s">
        <v>17</v>
      </c>
      <c r="C12" s="5" t="s">
        <v>20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850164.26</v>
      </c>
    </row>
    <row r="13" customFormat="false" ht="15" hidden="false" customHeight="true" outlineLevel="0" collapsed="false">
      <c r="A13" s="5" t="s">
        <v>21</v>
      </c>
      <c r="B13" s="5" t="s">
        <v>22</v>
      </c>
      <c r="C13" s="5" t="s">
        <v>23</v>
      </c>
      <c r="D13" s="5" t="n">
        <v>1</v>
      </c>
      <c r="E13" s="5" t="n">
        <v>0</v>
      </c>
      <c r="F13" s="5" t="n">
        <v>0</v>
      </c>
      <c r="G13" s="5" t="n">
        <v>1</v>
      </c>
      <c r="H13" s="5" t="n">
        <v>0</v>
      </c>
      <c r="I13" s="5" t="n">
        <v>0</v>
      </c>
      <c r="J13" s="5" t="n">
        <v>930581.7</v>
      </c>
    </row>
    <row r="14" customFormat="false" ht="15" hidden="false" customHeight="true" outlineLevel="0" collapsed="false">
      <c r="A14" s="5" t="s">
        <v>21</v>
      </c>
      <c r="B14" s="5" t="s">
        <v>22</v>
      </c>
      <c r="C14" s="5" t="s">
        <v>23</v>
      </c>
      <c r="D14" s="5" t="n">
        <v>1</v>
      </c>
      <c r="E14" s="5" t="n">
        <v>0</v>
      </c>
      <c r="F14" s="5" t="n">
        <v>0</v>
      </c>
      <c r="G14" s="5" t="n">
        <v>1</v>
      </c>
      <c r="H14" s="5" t="n">
        <v>0</v>
      </c>
      <c r="I14" s="5" t="n">
        <v>0</v>
      </c>
      <c r="J14" s="5" t="n">
        <v>779010.94</v>
      </c>
    </row>
    <row r="15" customFormat="false" ht="15" hidden="false" customHeight="true" outlineLevel="0" collapsed="false">
      <c r="A15" s="5" t="s">
        <v>21</v>
      </c>
      <c r="B15" s="5" t="s">
        <v>22</v>
      </c>
      <c r="C15" s="5" t="s">
        <v>23</v>
      </c>
      <c r="D15" s="5" t="n">
        <v>1</v>
      </c>
      <c r="E15" s="5" t="n">
        <v>0</v>
      </c>
      <c r="F15" s="5" t="n">
        <v>0</v>
      </c>
      <c r="G15" s="5" t="n">
        <v>1</v>
      </c>
      <c r="H15" s="5" t="n">
        <v>0</v>
      </c>
      <c r="I15" s="5" t="n">
        <v>0</v>
      </c>
      <c r="J15" s="5" t="n">
        <v>723060.76</v>
      </c>
    </row>
    <row r="16" customFormat="false" ht="15" hidden="false" customHeight="true" outlineLevel="0" collapsed="false">
      <c r="A16" s="5" t="s">
        <v>21</v>
      </c>
      <c r="B16" s="5" t="s">
        <v>22</v>
      </c>
      <c r="C16" s="5" t="s">
        <v>23</v>
      </c>
      <c r="D16" s="5" t="n">
        <v>1</v>
      </c>
      <c r="E16" s="5" t="n">
        <v>0</v>
      </c>
      <c r="F16" s="5" t="n">
        <v>0</v>
      </c>
      <c r="G16" s="5" t="n">
        <v>1</v>
      </c>
      <c r="H16" s="5" t="n">
        <v>0</v>
      </c>
      <c r="I16" s="5" t="n">
        <v>0</v>
      </c>
      <c r="J16" s="5" t="n">
        <v>910791.94</v>
      </c>
    </row>
    <row r="17" customFormat="false" ht="15" hidden="false" customHeight="true" outlineLevel="0" collapsed="false">
      <c r="A17" s="5" t="s">
        <v>24</v>
      </c>
      <c r="B17" s="5" t="s">
        <v>17</v>
      </c>
      <c r="C17" s="5" t="s">
        <v>18</v>
      </c>
      <c r="D17" s="5" t="n">
        <v>0</v>
      </c>
      <c r="E17" s="5" t="n">
        <v>0</v>
      </c>
      <c r="F17" s="5" t="n">
        <v>1</v>
      </c>
      <c r="G17" s="5" t="n">
        <v>0</v>
      </c>
      <c r="H17" s="5" t="n">
        <v>0</v>
      </c>
      <c r="I17" s="5" t="n">
        <v>0</v>
      </c>
      <c r="J17" s="5" t="n">
        <v>922168.6</v>
      </c>
    </row>
    <row r="18" customFormat="false" ht="15" hidden="false" customHeight="true" outlineLevel="0" collapsed="false">
      <c r="A18" s="5" t="s">
        <v>24</v>
      </c>
      <c r="B18" s="5" t="s">
        <v>17</v>
      </c>
      <c r="C18" s="5" t="s">
        <v>18</v>
      </c>
      <c r="D18" s="5" t="n">
        <v>0</v>
      </c>
      <c r="E18" s="5" t="n">
        <v>0</v>
      </c>
      <c r="F18" s="5" t="n">
        <v>1</v>
      </c>
      <c r="G18" s="5" t="n">
        <v>0</v>
      </c>
      <c r="H18" s="5" t="n">
        <v>0</v>
      </c>
      <c r="I18" s="5" t="n">
        <v>0</v>
      </c>
      <c r="J18" s="5" t="n">
        <v>726606.28</v>
      </c>
    </row>
    <row r="19" customFormat="false" ht="15" hidden="false" customHeight="true" outlineLevel="0" collapsed="false">
      <c r="A19" s="5" t="s">
        <v>24</v>
      </c>
      <c r="B19" s="5" t="s">
        <v>17</v>
      </c>
      <c r="C19" s="5" t="s">
        <v>18</v>
      </c>
      <c r="D19" s="5" t="n">
        <v>0</v>
      </c>
      <c r="E19" s="5" t="n">
        <v>0</v>
      </c>
      <c r="F19" s="5" t="n">
        <v>1</v>
      </c>
      <c r="G19" s="5" t="n">
        <v>0</v>
      </c>
      <c r="H19" s="5" t="n">
        <v>0</v>
      </c>
      <c r="I19" s="5" t="n">
        <v>0</v>
      </c>
      <c r="J19" s="5" t="n">
        <v>746501.09</v>
      </c>
    </row>
    <row r="20" customFormat="false" ht="15" hidden="false" customHeight="true" outlineLevel="0" collapsed="false">
      <c r="A20" s="5" t="s">
        <v>24</v>
      </c>
      <c r="B20" s="5" t="s">
        <v>17</v>
      </c>
      <c r="C20" s="5" t="s">
        <v>18</v>
      </c>
      <c r="D20" s="5" t="n">
        <v>0</v>
      </c>
      <c r="E20" s="5" t="n">
        <v>0</v>
      </c>
      <c r="F20" s="5" t="n">
        <v>1</v>
      </c>
      <c r="G20" s="5" t="n">
        <v>0</v>
      </c>
      <c r="H20" s="5" t="n">
        <v>0</v>
      </c>
      <c r="I20" s="5" t="n">
        <v>0</v>
      </c>
      <c r="J20" s="5" t="n">
        <v>834017.02</v>
      </c>
    </row>
    <row r="21" customFormat="false" ht="15" hidden="false" customHeight="true" outlineLevel="0" collapsed="false">
      <c r="A21" s="5" t="s">
        <v>25</v>
      </c>
      <c r="B21" s="5" t="s">
        <v>26</v>
      </c>
      <c r="C21" s="5" t="s">
        <v>18</v>
      </c>
      <c r="D21" s="5" t="n">
        <v>0</v>
      </c>
      <c r="E21" s="5" t="n">
        <v>0</v>
      </c>
      <c r="F21" s="5" t="n">
        <v>1</v>
      </c>
      <c r="G21" s="5" t="n">
        <v>0</v>
      </c>
      <c r="H21" s="5" t="n">
        <v>1</v>
      </c>
      <c r="I21" s="5" t="n">
        <v>0</v>
      </c>
      <c r="J21" s="5" t="n">
        <v>666152.52</v>
      </c>
    </row>
    <row r="22" customFormat="false" ht="15" hidden="false" customHeight="true" outlineLevel="0" collapsed="false">
      <c r="A22" s="5" t="s">
        <v>25</v>
      </c>
      <c r="B22" s="5" t="s">
        <v>26</v>
      </c>
      <c r="C22" s="5" t="s">
        <v>18</v>
      </c>
      <c r="D22" s="5" t="n">
        <v>0</v>
      </c>
      <c r="E22" s="5" t="n">
        <v>0</v>
      </c>
      <c r="F22" s="5" t="n">
        <v>1</v>
      </c>
      <c r="G22" s="5" t="n">
        <v>0</v>
      </c>
      <c r="H22" s="5" t="n">
        <v>1</v>
      </c>
      <c r="I22" s="5" t="n">
        <v>0</v>
      </c>
      <c r="J22" s="5" t="n">
        <v>573155.19</v>
      </c>
    </row>
    <row r="23" customFormat="false" ht="15" hidden="false" customHeight="true" outlineLevel="0" collapsed="false">
      <c r="A23" s="5" t="s">
        <v>25</v>
      </c>
      <c r="B23" s="5" t="s">
        <v>26</v>
      </c>
      <c r="C23" s="5" t="s">
        <v>18</v>
      </c>
      <c r="D23" s="5" t="n">
        <v>0</v>
      </c>
      <c r="E23" s="5" t="n">
        <v>0</v>
      </c>
      <c r="F23" s="5" t="n">
        <v>1</v>
      </c>
      <c r="G23" s="5" t="n">
        <v>0</v>
      </c>
      <c r="H23" s="5" t="n">
        <v>1</v>
      </c>
      <c r="I23" s="5" t="n">
        <v>0</v>
      </c>
      <c r="J23" s="5" t="n">
        <v>666573.2</v>
      </c>
    </row>
    <row r="24" customFormat="false" ht="15" hidden="false" customHeight="true" outlineLevel="0" collapsed="false">
      <c r="A24" s="5" t="s">
        <v>25</v>
      </c>
      <c r="B24" s="5" t="s">
        <v>26</v>
      </c>
      <c r="C24" s="5" t="s">
        <v>18</v>
      </c>
      <c r="D24" s="5" t="n">
        <v>0</v>
      </c>
      <c r="E24" s="5" t="n">
        <v>0</v>
      </c>
      <c r="F24" s="5" t="n">
        <v>1</v>
      </c>
      <c r="G24" s="5" t="n">
        <v>0</v>
      </c>
      <c r="H24" s="5" t="n">
        <v>1</v>
      </c>
      <c r="I24" s="5" t="n">
        <v>0</v>
      </c>
      <c r="J24" s="5" t="n">
        <v>591619.95</v>
      </c>
    </row>
    <row r="25" customFormat="false" ht="15" hidden="false" customHeight="true" outlineLevel="0" collapsed="false">
      <c r="A25" s="5" t="s">
        <v>27</v>
      </c>
      <c r="B25" s="5" t="s">
        <v>22</v>
      </c>
      <c r="C25" s="5" t="s">
        <v>18</v>
      </c>
      <c r="D25" s="5" t="n">
        <v>0</v>
      </c>
      <c r="E25" s="5" t="n">
        <v>0</v>
      </c>
      <c r="F25" s="5" t="n">
        <v>1</v>
      </c>
      <c r="G25" s="5" t="n">
        <v>1</v>
      </c>
      <c r="H25" s="5" t="n">
        <v>0</v>
      </c>
      <c r="I25" s="5" t="n">
        <v>0</v>
      </c>
      <c r="J25" s="5" t="n">
        <v>415721.82</v>
      </c>
    </row>
    <row r="26" customFormat="false" ht="15" hidden="false" customHeight="true" outlineLevel="0" collapsed="false">
      <c r="A26" s="5" t="s">
        <v>27</v>
      </c>
      <c r="B26" s="5" t="s">
        <v>22</v>
      </c>
      <c r="C26" s="5" t="s">
        <v>18</v>
      </c>
      <c r="D26" s="5" t="n">
        <v>0</v>
      </c>
      <c r="E26" s="5" t="n">
        <v>0</v>
      </c>
      <c r="F26" s="5" t="n">
        <v>1</v>
      </c>
      <c r="G26" s="5" t="n">
        <v>1</v>
      </c>
      <c r="H26" s="5" t="n">
        <v>0</v>
      </c>
      <c r="I26" s="5" t="n">
        <v>0</v>
      </c>
      <c r="J26" s="5" t="n">
        <v>491905.13</v>
      </c>
    </row>
    <row r="27" customFormat="false" ht="15" hidden="false" customHeight="true" outlineLevel="0" collapsed="false">
      <c r="A27" s="5" t="s">
        <v>27</v>
      </c>
      <c r="B27" s="5" t="s">
        <v>22</v>
      </c>
      <c r="C27" s="5" t="s">
        <v>18</v>
      </c>
      <c r="D27" s="5" t="n">
        <v>0</v>
      </c>
      <c r="E27" s="5" t="n">
        <v>0</v>
      </c>
      <c r="F27" s="5" t="n">
        <v>1</v>
      </c>
      <c r="G27" s="5" t="n">
        <v>1</v>
      </c>
      <c r="H27" s="5" t="n">
        <v>0</v>
      </c>
      <c r="I27" s="5" t="n">
        <v>0</v>
      </c>
      <c r="J27" s="5" t="n">
        <v>555929.4</v>
      </c>
    </row>
    <row r="28" customFormat="false" ht="15" hidden="false" customHeight="true" outlineLevel="0" collapsed="false">
      <c r="A28" s="5" t="s">
        <v>27</v>
      </c>
      <c r="B28" s="5" t="s">
        <v>22</v>
      </c>
      <c r="C28" s="5" t="s">
        <v>18</v>
      </c>
      <c r="D28" s="5" t="n">
        <v>0</v>
      </c>
      <c r="E28" s="5" t="n">
        <v>0</v>
      </c>
      <c r="F28" s="5" t="n">
        <v>1</v>
      </c>
      <c r="G28" s="5" t="n">
        <v>1</v>
      </c>
      <c r="H28" s="5" t="n">
        <v>0</v>
      </c>
      <c r="I28" s="5" t="n">
        <v>0</v>
      </c>
      <c r="J28" s="5" t="n">
        <v>565810.99</v>
      </c>
    </row>
    <row r="29" customFormat="false" ht="15" hidden="false" customHeight="true" outlineLevel="0" collapsed="false">
      <c r="A29" s="5" t="s">
        <v>28</v>
      </c>
      <c r="B29" s="5" t="s">
        <v>29</v>
      </c>
      <c r="C29" s="5" t="s">
        <v>30</v>
      </c>
      <c r="D29" s="5" t="n">
        <v>0</v>
      </c>
      <c r="E29" s="5" t="n">
        <v>1</v>
      </c>
      <c r="F29" s="5" t="n">
        <v>0</v>
      </c>
      <c r="G29" s="5" t="n">
        <v>0</v>
      </c>
      <c r="H29" s="5" t="n">
        <v>0</v>
      </c>
      <c r="I29" s="5" t="n">
        <v>1</v>
      </c>
      <c r="J29" s="5" t="n">
        <v>811771.14</v>
      </c>
    </row>
    <row r="30" customFormat="false" ht="15" hidden="false" customHeight="true" outlineLevel="0" collapsed="false">
      <c r="A30" s="5" t="s">
        <v>28</v>
      </c>
      <c r="B30" s="5" t="s">
        <v>29</v>
      </c>
      <c r="C30" s="5" t="s">
        <v>30</v>
      </c>
      <c r="D30" s="5" t="n">
        <v>0</v>
      </c>
      <c r="E30" s="5" t="n">
        <v>1</v>
      </c>
      <c r="F30" s="5" t="n">
        <v>0</v>
      </c>
      <c r="G30" s="5" t="n">
        <v>0</v>
      </c>
      <c r="H30" s="5" t="n">
        <v>0</v>
      </c>
      <c r="I30" s="5" t="n">
        <v>1</v>
      </c>
      <c r="J30" s="5" t="n">
        <v>800451.94</v>
      </c>
    </row>
    <row r="31" customFormat="false" ht="15" hidden="false" customHeight="true" outlineLevel="0" collapsed="false">
      <c r="A31" s="5" t="s">
        <v>28</v>
      </c>
      <c r="B31" s="5" t="s">
        <v>29</v>
      </c>
      <c r="C31" s="5" t="s">
        <v>30</v>
      </c>
      <c r="D31" s="5" t="n">
        <v>0</v>
      </c>
      <c r="E31" s="5" t="n">
        <v>1</v>
      </c>
      <c r="F31" s="5" t="n">
        <v>0</v>
      </c>
      <c r="G31" s="5" t="n">
        <v>0</v>
      </c>
      <c r="H31" s="5" t="n">
        <v>0</v>
      </c>
      <c r="I31" s="5" t="n">
        <v>1</v>
      </c>
      <c r="J31" s="5" t="n">
        <v>783672.82</v>
      </c>
    </row>
    <row r="32" customFormat="false" ht="15" hidden="false" customHeight="true" outlineLevel="0" collapsed="false">
      <c r="A32" s="5" t="s">
        <v>28</v>
      </c>
      <c r="B32" s="5" t="s">
        <v>29</v>
      </c>
      <c r="C32" s="5" t="s">
        <v>30</v>
      </c>
      <c r="D32" s="5" t="n">
        <v>0</v>
      </c>
      <c r="E32" s="5" t="n">
        <v>1</v>
      </c>
      <c r="F32" s="5" t="n">
        <v>0</v>
      </c>
      <c r="G32" s="5" t="n">
        <v>0</v>
      </c>
      <c r="H32" s="5" t="n">
        <v>0</v>
      </c>
      <c r="I32" s="5" t="n">
        <v>1</v>
      </c>
      <c r="J32" s="5" t="n">
        <v>701641.97</v>
      </c>
    </row>
    <row r="33" customFormat="false" ht="15" hidden="false" customHeight="true" outlineLevel="0" collapsed="false">
      <c r="A33" s="5" t="s">
        <v>31</v>
      </c>
      <c r="B33" s="5" t="s">
        <v>17</v>
      </c>
      <c r="C33" s="5" t="s">
        <v>18</v>
      </c>
      <c r="D33" s="5" t="n">
        <v>0</v>
      </c>
      <c r="E33" s="5" t="n">
        <v>0</v>
      </c>
      <c r="F33" s="5" t="n">
        <v>1</v>
      </c>
      <c r="G33" s="5" t="n">
        <v>0</v>
      </c>
      <c r="H33" s="5" t="n">
        <v>0</v>
      </c>
      <c r="I33" s="5" t="n">
        <v>0</v>
      </c>
      <c r="J33" s="5" t="n">
        <v>511844.41</v>
      </c>
    </row>
    <row r="34" customFormat="false" ht="15" hidden="false" customHeight="true" outlineLevel="0" collapsed="false">
      <c r="A34" s="5" t="s">
        <v>31</v>
      </c>
      <c r="B34" s="5" t="s">
        <v>17</v>
      </c>
      <c r="C34" s="5" t="s">
        <v>18</v>
      </c>
      <c r="D34" s="5" t="n">
        <v>0</v>
      </c>
      <c r="E34" s="5" t="n">
        <v>0</v>
      </c>
      <c r="F34" s="5" t="n">
        <v>1</v>
      </c>
      <c r="G34" s="5" t="n">
        <v>0</v>
      </c>
      <c r="H34" s="5" t="n">
        <v>0</v>
      </c>
      <c r="I34" s="5" t="n">
        <v>0</v>
      </c>
      <c r="J34" s="5" t="n">
        <v>537383.79</v>
      </c>
    </row>
    <row r="35" customFormat="false" ht="15" hidden="false" customHeight="true" outlineLevel="0" collapsed="false">
      <c r="A35" s="5" t="s">
        <v>31</v>
      </c>
      <c r="B35" s="5" t="s">
        <v>17</v>
      </c>
      <c r="C35" s="5" t="s">
        <v>18</v>
      </c>
      <c r="D35" s="5" t="n">
        <v>0</v>
      </c>
      <c r="E35" s="5" t="n">
        <v>0</v>
      </c>
      <c r="F35" s="5" t="n">
        <v>1</v>
      </c>
      <c r="G35" s="5" t="n">
        <v>0</v>
      </c>
      <c r="H35" s="5" t="n">
        <v>0</v>
      </c>
      <c r="I35" s="5" t="n">
        <v>0</v>
      </c>
      <c r="J35" s="5" t="n">
        <v>500173.02</v>
      </c>
    </row>
    <row r="36" customFormat="false" ht="15" hidden="false" customHeight="true" outlineLevel="0" collapsed="false">
      <c r="A36" s="5" t="s">
        <v>31</v>
      </c>
      <c r="B36" s="5" t="s">
        <v>17</v>
      </c>
      <c r="C36" s="5" t="s">
        <v>18</v>
      </c>
      <c r="D36" s="5" t="n">
        <v>0</v>
      </c>
      <c r="E36" s="5" t="n">
        <v>0</v>
      </c>
      <c r="F36" s="5" t="n">
        <v>1</v>
      </c>
      <c r="G36" s="5" t="n">
        <v>0</v>
      </c>
      <c r="H36" s="5" t="n">
        <v>0</v>
      </c>
      <c r="I36" s="5" t="n">
        <v>0</v>
      </c>
      <c r="J36" s="5" t="n">
        <v>427917.38</v>
      </c>
    </row>
    <row r="37" customFormat="false" ht="15" hidden="false" customHeight="true" outlineLevel="0" collapsed="false">
      <c r="A37" s="5" t="s">
        <v>32</v>
      </c>
      <c r="B37" s="5" t="s">
        <v>22</v>
      </c>
      <c r="C37" s="5" t="s">
        <v>18</v>
      </c>
      <c r="D37" s="5" t="n">
        <v>0</v>
      </c>
      <c r="E37" s="5" t="n">
        <v>0</v>
      </c>
      <c r="F37" s="5" t="n">
        <v>1</v>
      </c>
      <c r="G37" s="5" t="n">
        <v>1</v>
      </c>
      <c r="H37" s="5" t="n">
        <v>0</v>
      </c>
      <c r="I37" s="5" t="n">
        <v>0</v>
      </c>
      <c r="J37" s="5" t="n">
        <v>641865.03</v>
      </c>
    </row>
    <row r="38" customFormat="false" ht="15" hidden="false" customHeight="true" outlineLevel="0" collapsed="false">
      <c r="A38" s="5" t="s">
        <v>32</v>
      </c>
      <c r="B38" s="5" t="s">
        <v>22</v>
      </c>
      <c r="C38" s="5" t="s">
        <v>18</v>
      </c>
      <c r="D38" s="5" t="n">
        <v>0</v>
      </c>
      <c r="E38" s="5" t="n">
        <v>0</v>
      </c>
      <c r="F38" s="5" t="n">
        <v>1</v>
      </c>
      <c r="G38" s="5" t="n">
        <v>1</v>
      </c>
      <c r="H38" s="5" t="n">
        <v>0</v>
      </c>
      <c r="I38" s="5" t="n">
        <v>0</v>
      </c>
      <c r="J38" s="5" t="n">
        <v>799477.76</v>
      </c>
    </row>
    <row r="39" customFormat="false" ht="15" hidden="false" customHeight="true" outlineLevel="0" collapsed="false">
      <c r="A39" s="5" t="s">
        <v>32</v>
      </c>
      <c r="B39" s="5" t="s">
        <v>22</v>
      </c>
      <c r="C39" s="5" t="s">
        <v>18</v>
      </c>
      <c r="D39" s="5" t="n">
        <v>0</v>
      </c>
      <c r="E39" s="5" t="n">
        <v>0</v>
      </c>
      <c r="F39" s="5" t="n">
        <v>1</v>
      </c>
      <c r="G39" s="5" t="n">
        <v>1</v>
      </c>
      <c r="H39" s="5" t="n">
        <v>0</v>
      </c>
      <c r="I39" s="5" t="n">
        <v>0</v>
      </c>
      <c r="J39" s="5" t="n">
        <v>798952.17</v>
      </c>
    </row>
    <row r="40" customFormat="false" ht="15" hidden="false" customHeight="true" outlineLevel="0" collapsed="false">
      <c r="A40" s="5" t="s">
        <v>32</v>
      </c>
      <c r="B40" s="5" t="s">
        <v>22</v>
      </c>
      <c r="C40" s="5" t="s">
        <v>18</v>
      </c>
      <c r="D40" s="5" t="n">
        <v>0</v>
      </c>
      <c r="E40" s="5" t="n">
        <v>0</v>
      </c>
      <c r="F40" s="5" t="n">
        <v>1</v>
      </c>
      <c r="G40" s="5" t="n">
        <v>1</v>
      </c>
      <c r="H40" s="5" t="n">
        <v>0</v>
      </c>
      <c r="I40" s="5" t="n">
        <v>0</v>
      </c>
      <c r="J40" s="5" t="n">
        <v>800979.78</v>
      </c>
    </row>
    <row r="41" customFormat="false" ht="15" hidden="false" customHeight="true" outlineLevel="0" collapsed="false">
      <c r="A41" s="5" t="s">
        <v>33</v>
      </c>
      <c r="B41" s="5" t="s">
        <v>22</v>
      </c>
      <c r="C41" s="5" t="s">
        <v>30</v>
      </c>
      <c r="D41" s="5" t="n">
        <v>0</v>
      </c>
      <c r="E41" s="5" t="n">
        <v>1</v>
      </c>
      <c r="F41" s="5" t="n">
        <v>0</v>
      </c>
      <c r="G41" s="5" t="n">
        <v>1</v>
      </c>
      <c r="H41" s="5" t="n">
        <v>0</v>
      </c>
      <c r="I41" s="5" t="n">
        <v>0</v>
      </c>
      <c r="J41" s="5" t="n">
        <v>820593.93</v>
      </c>
    </row>
    <row r="42" customFormat="false" ht="15" hidden="false" customHeight="true" outlineLevel="0" collapsed="false">
      <c r="A42" s="5" t="s">
        <v>33</v>
      </c>
      <c r="B42" s="5" t="s">
        <v>22</v>
      </c>
      <c r="C42" s="5" t="s">
        <v>30</v>
      </c>
      <c r="D42" s="5" t="n">
        <v>0</v>
      </c>
      <c r="E42" s="5" t="n">
        <v>1</v>
      </c>
      <c r="F42" s="5" t="n">
        <v>0</v>
      </c>
      <c r="G42" s="5" t="n">
        <v>1</v>
      </c>
      <c r="H42" s="5" t="n">
        <v>0</v>
      </c>
      <c r="I42" s="5" t="n">
        <v>0</v>
      </c>
      <c r="J42" s="5" t="n">
        <v>718330.53</v>
      </c>
    </row>
    <row r="43" customFormat="false" ht="15" hidden="false" customHeight="true" outlineLevel="0" collapsed="false">
      <c r="A43" s="5" t="s">
        <v>33</v>
      </c>
      <c r="B43" s="5" t="s">
        <v>22</v>
      </c>
      <c r="C43" s="5" t="s">
        <v>30</v>
      </c>
      <c r="D43" s="5" t="n">
        <v>0</v>
      </c>
      <c r="E43" s="5" t="n">
        <v>1</v>
      </c>
      <c r="F43" s="5" t="n">
        <v>0</v>
      </c>
      <c r="G43" s="5" t="n">
        <v>1</v>
      </c>
      <c r="H43" s="5" t="n">
        <v>0</v>
      </c>
      <c r="I43" s="5" t="n">
        <v>0</v>
      </c>
      <c r="J43" s="5" t="n">
        <v>736633.4</v>
      </c>
    </row>
    <row r="44" customFormat="false" ht="15" hidden="false" customHeight="true" outlineLevel="0" collapsed="false">
      <c r="A44" s="5" t="s">
        <v>33</v>
      </c>
      <c r="B44" s="5" t="s">
        <v>22</v>
      </c>
      <c r="C44" s="5" t="s">
        <v>30</v>
      </c>
      <c r="D44" s="5" t="n">
        <v>0</v>
      </c>
      <c r="E44" s="5" t="n">
        <v>1</v>
      </c>
      <c r="F44" s="5" t="n">
        <v>0</v>
      </c>
      <c r="G44" s="5" t="n">
        <v>1</v>
      </c>
      <c r="H44" s="5" t="n">
        <v>0</v>
      </c>
      <c r="I44" s="5" t="n">
        <v>0</v>
      </c>
      <c r="J44" s="5" t="n">
        <v>828623.85</v>
      </c>
    </row>
    <row r="45" customFormat="false" ht="15" hidden="false" customHeight="true" outlineLevel="0" collapsed="false">
      <c r="A45" s="5" t="s">
        <v>34</v>
      </c>
      <c r="B45" s="5" t="s">
        <v>17</v>
      </c>
      <c r="C45" s="5" t="s">
        <v>30</v>
      </c>
      <c r="D45" s="5" t="n">
        <v>0</v>
      </c>
      <c r="E45" s="5" t="n">
        <v>1</v>
      </c>
      <c r="F45" s="5" t="n">
        <v>0</v>
      </c>
      <c r="G45" s="5" t="n">
        <v>0</v>
      </c>
      <c r="H45" s="5" t="n">
        <v>0</v>
      </c>
      <c r="I45" s="5" t="n">
        <v>0</v>
      </c>
      <c r="J45" s="5" t="n">
        <v>592195.85</v>
      </c>
    </row>
    <row r="46" customFormat="false" ht="15" hidden="false" customHeight="true" outlineLevel="0" collapsed="false">
      <c r="A46" s="5" t="s">
        <v>34</v>
      </c>
      <c r="B46" s="5" t="s">
        <v>17</v>
      </c>
      <c r="C46" s="5" t="s">
        <v>30</v>
      </c>
      <c r="D46" s="5" t="n">
        <v>0</v>
      </c>
      <c r="E46" s="5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532644.46</v>
      </c>
    </row>
    <row r="47" customFormat="false" ht="15" hidden="false" customHeight="true" outlineLevel="0" collapsed="false">
      <c r="A47" s="5" t="s">
        <v>34</v>
      </c>
      <c r="B47" s="5" t="s">
        <v>17</v>
      </c>
      <c r="C47" s="5" t="s">
        <v>30</v>
      </c>
      <c r="D47" s="5" t="n">
        <v>0</v>
      </c>
      <c r="E47" s="5" t="n">
        <v>1</v>
      </c>
      <c r="F47" s="5" t="n">
        <v>0</v>
      </c>
      <c r="G47" s="5" t="n">
        <v>0</v>
      </c>
      <c r="H47" s="5" t="n">
        <v>0</v>
      </c>
      <c r="I47" s="5" t="n">
        <v>0</v>
      </c>
      <c r="J47" s="5" t="n">
        <v>657429.18</v>
      </c>
    </row>
    <row r="48" customFormat="false" ht="15" hidden="false" customHeight="true" outlineLevel="0" collapsed="false">
      <c r="A48" s="5" t="s">
        <v>34</v>
      </c>
      <c r="B48" s="5" t="s">
        <v>17</v>
      </c>
      <c r="C48" s="5" t="s">
        <v>30</v>
      </c>
      <c r="D48" s="5" t="n">
        <v>0</v>
      </c>
      <c r="E48" s="5" t="n">
        <v>1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605178</v>
      </c>
    </row>
    <row r="49" customFormat="false" ht="15" hidden="false" customHeight="true" outlineLevel="0" collapsed="false">
      <c r="A49" s="5" t="s">
        <v>35</v>
      </c>
      <c r="B49" s="5" t="s">
        <v>29</v>
      </c>
      <c r="C49" s="5" t="s">
        <v>18</v>
      </c>
      <c r="D49" s="5" t="n">
        <v>0</v>
      </c>
      <c r="E49" s="5" t="n">
        <v>0</v>
      </c>
      <c r="F49" s="5" t="n">
        <v>1</v>
      </c>
      <c r="G49" s="5" t="n">
        <v>0</v>
      </c>
      <c r="H49" s="5" t="n">
        <v>0</v>
      </c>
      <c r="I49" s="5" t="n">
        <v>1</v>
      </c>
      <c r="J49" s="5" t="n">
        <v>595467.6</v>
      </c>
    </row>
    <row r="50" customFormat="false" ht="15" hidden="false" customHeight="true" outlineLevel="0" collapsed="false">
      <c r="A50" s="5" t="s">
        <v>35</v>
      </c>
      <c r="B50" s="5" t="s">
        <v>29</v>
      </c>
      <c r="C50" s="5" t="s">
        <v>18</v>
      </c>
      <c r="D50" s="5" t="n">
        <v>0</v>
      </c>
      <c r="E50" s="5" t="n">
        <v>0</v>
      </c>
      <c r="F50" s="5" t="n">
        <v>1</v>
      </c>
      <c r="G50" s="5" t="n">
        <v>0</v>
      </c>
      <c r="H50" s="5" t="n">
        <v>0</v>
      </c>
      <c r="I50" s="5" t="n">
        <v>1</v>
      </c>
      <c r="J50" s="5" t="n">
        <v>599603.4</v>
      </c>
    </row>
    <row r="51" customFormat="false" ht="15" hidden="false" customHeight="true" outlineLevel="0" collapsed="false">
      <c r="A51" s="5" t="s">
        <v>35</v>
      </c>
      <c r="B51" s="5" t="s">
        <v>29</v>
      </c>
      <c r="C51" s="5" t="s">
        <v>18</v>
      </c>
      <c r="D51" s="5" t="n">
        <v>0</v>
      </c>
      <c r="E51" s="5" t="n">
        <v>0</v>
      </c>
      <c r="F51" s="5" t="n">
        <v>1</v>
      </c>
      <c r="G51" s="5" t="n">
        <v>0</v>
      </c>
      <c r="H51" s="5" t="n">
        <v>0</v>
      </c>
      <c r="I51" s="5" t="n">
        <v>1</v>
      </c>
      <c r="J51" s="5" t="n">
        <v>614800.09</v>
      </c>
    </row>
    <row r="52" customFormat="false" ht="15" hidden="false" customHeight="true" outlineLevel="0" collapsed="false">
      <c r="A52" s="5" t="s">
        <v>35</v>
      </c>
      <c r="B52" s="5" t="s">
        <v>29</v>
      </c>
      <c r="C52" s="5" t="s">
        <v>18</v>
      </c>
      <c r="D52" s="5" t="n">
        <v>0</v>
      </c>
      <c r="E52" s="5" t="n">
        <v>0</v>
      </c>
      <c r="F52" s="5" t="n">
        <v>1</v>
      </c>
      <c r="G52" s="5" t="n">
        <v>0</v>
      </c>
      <c r="H52" s="5" t="n">
        <v>0</v>
      </c>
      <c r="I52" s="5" t="n">
        <v>1</v>
      </c>
      <c r="J52" s="5" t="n">
        <v>585365.73</v>
      </c>
    </row>
    <row r="53" customFormat="false" ht="15" hidden="false" customHeight="true" outlineLevel="0" collapsed="false">
      <c r="A53" s="5" t="s">
        <v>36</v>
      </c>
      <c r="B53" s="5" t="s">
        <v>22</v>
      </c>
      <c r="C53" s="5" t="s">
        <v>30</v>
      </c>
      <c r="D53" s="5" t="n">
        <v>0</v>
      </c>
      <c r="E53" s="5" t="n">
        <v>1</v>
      </c>
      <c r="F53" s="5" t="n">
        <v>0</v>
      </c>
      <c r="G53" s="5" t="n">
        <v>1</v>
      </c>
      <c r="H53" s="5" t="n">
        <v>0</v>
      </c>
      <c r="I53" s="5" t="n">
        <v>0</v>
      </c>
      <c r="J53" s="5" t="n">
        <v>622811.74</v>
      </c>
    </row>
    <row r="54" customFormat="false" ht="15" hidden="false" customHeight="true" outlineLevel="0" collapsed="false">
      <c r="A54" s="5" t="s">
        <v>36</v>
      </c>
      <c r="B54" s="5" t="s">
        <v>22</v>
      </c>
      <c r="C54" s="5" t="s">
        <v>30</v>
      </c>
      <c r="D54" s="5" t="n">
        <v>0</v>
      </c>
      <c r="E54" s="5" t="n">
        <v>1</v>
      </c>
      <c r="F54" s="5" t="n">
        <v>0</v>
      </c>
      <c r="G54" s="5" t="n">
        <v>1</v>
      </c>
      <c r="H54" s="5" t="n">
        <v>0</v>
      </c>
      <c r="I54" s="5" t="n">
        <v>0</v>
      </c>
      <c r="J54" s="5" t="n">
        <v>603297.57</v>
      </c>
    </row>
    <row r="55" customFormat="false" ht="15" hidden="false" customHeight="true" outlineLevel="0" collapsed="false">
      <c r="A55" s="5" t="s">
        <v>36</v>
      </c>
      <c r="B55" s="5" t="s">
        <v>22</v>
      </c>
      <c r="C55" s="5" t="s">
        <v>30</v>
      </c>
      <c r="D55" s="5" t="n">
        <v>0</v>
      </c>
      <c r="E55" s="5" t="n">
        <v>1</v>
      </c>
      <c r="F55" s="5" t="n">
        <v>0</v>
      </c>
      <c r="G55" s="5" t="n">
        <v>1</v>
      </c>
      <c r="H55" s="5" t="n">
        <v>0</v>
      </c>
      <c r="I55" s="5" t="n">
        <v>0</v>
      </c>
      <c r="J55" s="5" t="n">
        <v>625672.86</v>
      </c>
    </row>
    <row r="56" customFormat="false" ht="15" hidden="false" customHeight="true" outlineLevel="0" collapsed="false">
      <c r="A56" s="5" t="s">
        <v>36</v>
      </c>
      <c r="B56" s="5" t="s">
        <v>22</v>
      </c>
      <c r="C56" s="5" t="s">
        <v>30</v>
      </c>
      <c r="D56" s="5" t="n">
        <v>0</v>
      </c>
      <c r="E56" s="5" t="n">
        <v>1</v>
      </c>
      <c r="F56" s="5" t="n">
        <v>0</v>
      </c>
      <c r="G56" s="5" t="n">
        <v>1</v>
      </c>
      <c r="H56" s="5" t="n">
        <v>0</v>
      </c>
      <c r="I56" s="5" t="n">
        <v>0</v>
      </c>
      <c r="J56" s="5" t="n">
        <v>773815.14</v>
      </c>
    </row>
    <row r="57" customFormat="false" ht="15" hidden="false" customHeight="true" outlineLevel="0" collapsed="false">
      <c r="A57" s="5" t="s">
        <v>37</v>
      </c>
      <c r="B57" s="5" t="s">
        <v>29</v>
      </c>
      <c r="C57" s="5" t="s">
        <v>20</v>
      </c>
      <c r="D57" s="5" t="n">
        <v>0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1</v>
      </c>
      <c r="J57" s="5" t="n">
        <v>463534.25</v>
      </c>
    </row>
    <row r="58" customFormat="false" ht="15" hidden="false" customHeight="true" outlineLevel="0" collapsed="false">
      <c r="A58" s="5" t="s">
        <v>37</v>
      </c>
      <c r="B58" s="5" t="s">
        <v>29</v>
      </c>
      <c r="C58" s="5" t="s">
        <v>20</v>
      </c>
      <c r="D58" s="5" t="n">
        <v>0</v>
      </c>
      <c r="E58" s="5" t="n">
        <v>0</v>
      </c>
      <c r="F58" s="5" t="n">
        <v>0</v>
      </c>
      <c r="G58" s="5" t="n">
        <v>0</v>
      </c>
      <c r="H58" s="5" t="n">
        <v>0</v>
      </c>
      <c r="I58" s="5" t="n">
        <v>1</v>
      </c>
      <c r="J58" s="5" t="n">
        <v>746677.75</v>
      </c>
    </row>
    <row r="59" customFormat="false" ht="15" hidden="false" customHeight="true" outlineLevel="0" collapsed="false">
      <c r="A59" s="5" t="s">
        <v>37</v>
      </c>
      <c r="B59" s="5" t="s">
        <v>29</v>
      </c>
      <c r="C59" s="5" t="s">
        <v>20</v>
      </c>
      <c r="D59" s="5" t="n">
        <v>0</v>
      </c>
      <c r="E59" s="5" t="n">
        <v>0</v>
      </c>
      <c r="F59" s="5" t="n">
        <v>0</v>
      </c>
      <c r="G59" s="5" t="n">
        <v>0</v>
      </c>
      <c r="H59" s="5" t="n">
        <v>0</v>
      </c>
      <c r="I59" s="5" t="n">
        <v>1</v>
      </c>
      <c r="J59" s="5" t="n">
        <v>720852.5</v>
      </c>
    </row>
    <row r="60" customFormat="false" ht="15" hidden="false" customHeight="true" outlineLevel="0" collapsed="false">
      <c r="A60" s="5" t="s">
        <v>37</v>
      </c>
      <c r="B60" s="5" t="s">
        <v>29</v>
      </c>
      <c r="C60" s="5" t="s">
        <v>20</v>
      </c>
      <c r="D60" s="5" t="n">
        <v>0</v>
      </c>
      <c r="E60" s="5" t="n">
        <v>0</v>
      </c>
      <c r="F60" s="5" t="n">
        <v>0</v>
      </c>
      <c r="G60" s="5" t="n">
        <v>0</v>
      </c>
      <c r="H60" s="5" t="n">
        <v>0</v>
      </c>
      <c r="I60" s="5" t="n">
        <v>1</v>
      </c>
      <c r="J60" s="5" t="n">
        <v>487464.91</v>
      </c>
    </row>
    <row r="61" customFormat="false" ht="15" hidden="false" customHeight="true" outlineLevel="0" collapsed="false">
      <c r="A61" s="5" t="s">
        <v>38</v>
      </c>
      <c r="B61" s="5" t="s">
        <v>17</v>
      </c>
      <c r="C61" s="5" t="s">
        <v>23</v>
      </c>
      <c r="D61" s="5" t="n">
        <v>1</v>
      </c>
      <c r="E61" s="5" t="n">
        <v>0</v>
      </c>
      <c r="F61" s="5" t="n">
        <v>0</v>
      </c>
      <c r="G61" s="5" t="n">
        <v>0</v>
      </c>
      <c r="H61" s="5" t="n">
        <v>0</v>
      </c>
      <c r="I61" s="5" t="n">
        <v>0</v>
      </c>
      <c r="J61" s="5" t="n">
        <v>518049.26</v>
      </c>
    </row>
    <row r="62" customFormat="false" ht="15" hidden="false" customHeight="true" outlineLevel="0" collapsed="false">
      <c r="A62" s="5" t="s">
        <v>38</v>
      </c>
      <c r="B62" s="5" t="s">
        <v>17</v>
      </c>
      <c r="C62" s="5" t="s">
        <v>23</v>
      </c>
      <c r="D62" s="5" t="n">
        <v>1</v>
      </c>
      <c r="E62" s="5" t="n">
        <v>0</v>
      </c>
      <c r="F62" s="5" t="n">
        <v>0</v>
      </c>
      <c r="G62" s="5" t="n">
        <v>0</v>
      </c>
      <c r="H62" s="5" t="n">
        <v>0</v>
      </c>
      <c r="I62" s="5" t="n">
        <v>0</v>
      </c>
      <c r="J62" s="5" t="n">
        <v>500298.48</v>
      </c>
    </row>
    <row r="63" customFormat="false" ht="15" hidden="false" customHeight="true" outlineLevel="0" collapsed="false">
      <c r="A63" s="5" t="s">
        <v>38</v>
      </c>
      <c r="B63" s="5" t="s">
        <v>17</v>
      </c>
      <c r="C63" s="5" t="s">
        <v>23</v>
      </c>
      <c r="D63" s="5" t="n">
        <v>1</v>
      </c>
      <c r="E63" s="5" t="n">
        <v>0</v>
      </c>
      <c r="F63" s="5" t="n">
        <v>0</v>
      </c>
      <c r="G63" s="5" t="n">
        <v>0</v>
      </c>
      <c r="H63" s="5" t="n">
        <v>0</v>
      </c>
      <c r="I63" s="5" t="n">
        <v>0</v>
      </c>
      <c r="J63" s="5" t="n">
        <v>617291.15</v>
      </c>
    </row>
    <row r="64" customFormat="false" ht="15" hidden="false" customHeight="true" outlineLevel="0" collapsed="false">
      <c r="A64" s="5" t="s">
        <v>38</v>
      </c>
      <c r="B64" s="5" t="s">
        <v>17</v>
      </c>
      <c r="C64" s="5" t="s">
        <v>23</v>
      </c>
      <c r="D64" s="5" t="n">
        <v>1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  <c r="J64" s="5" t="n">
        <v>553756.43</v>
      </c>
    </row>
    <row r="65" customFormat="false" ht="15" hidden="false" customHeight="true" outlineLevel="0" collapsed="false">
      <c r="A65" s="5" t="s">
        <v>39</v>
      </c>
      <c r="B65" s="5" t="s">
        <v>26</v>
      </c>
      <c r="C65" s="5" t="s">
        <v>20</v>
      </c>
      <c r="D65" s="5" t="n">
        <v>0</v>
      </c>
      <c r="E65" s="5" t="n">
        <v>0</v>
      </c>
      <c r="F65" s="5" t="n">
        <v>0</v>
      </c>
      <c r="G65" s="5" t="n">
        <v>0</v>
      </c>
      <c r="H65" s="5" t="n">
        <v>1</v>
      </c>
      <c r="I65" s="5" t="n">
        <v>0</v>
      </c>
      <c r="J65" s="5" t="n">
        <v>749559.71</v>
      </c>
    </row>
    <row r="66" customFormat="false" ht="15" hidden="false" customHeight="true" outlineLevel="0" collapsed="false">
      <c r="A66" s="5" t="s">
        <v>39</v>
      </c>
      <c r="B66" s="5" t="s">
        <v>26</v>
      </c>
      <c r="C66" s="5" t="s">
        <v>20</v>
      </c>
      <c r="D66" s="5" t="n">
        <v>0</v>
      </c>
      <c r="E66" s="5" t="n">
        <v>0</v>
      </c>
      <c r="F66" s="5" t="n">
        <v>0</v>
      </c>
      <c r="G66" s="5" t="n">
        <v>0</v>
      </c>
      <c r="H66" s="5" t="n">
        <v>1</v>
      </c>
      <c r="I66" s="5" t="n">
        <v>0</v>
      </c>
      <c r="J66" s="5" t="n">
        <v>615966.48</v>
      </c>
    </row>
    <row r="67" customFormat="false" ht="15" hidden="false" customHeight="true" outlineLevel="0" collapsed="false">
      <c r="A67" s="5" t="s">
        <v>39</v>
      </c>
      <c r="B67" s="5" t="s">
        <v>26</v>
      </c>
      <c r="C67" s="5" t="s">
        <v>20</v>
      </c>
      <c r="D67" s="5" t="n">
        <v>0</v>
      </c>
      <c r="E67" s="5" t="n">
        <v>0</v>
      </c>
      <c r="F67" s="5" t="n">
        <v>0</v>
      </c>
      <c r="G67" s="5" t="n">
        <v>0</v>
      </c>
      <c r="H67" s="5" t="n">
        <v>1</v>
      </c>
      <c r="I67" s="5" t="n">
        <v>0</v>
      </c>
      <c r="J67" s="5" t="n">
        <v>572011.2</v>
      </c>
    </row>
    <row r="68" customFormat="false" ht="15" hidden="false" customHeight="true" outlineLevel="0" collapsed="false">
      <c r="A68" s="5" t="s">
        <v>39</v>
      </c>
      <c r="B68" s="5" t="s">
        <v>26</v>
      </c>
      <c r="C68" s="5" t="s">
        <v>20</v>
      </c>
      <c r="D68" s="5" t="n">
        <v>0</v>
      </c>
      <c r="E68" s="5" t="n">
        <v>0</v>
      </c>
      <c r="F68" s="5" t="n">
        <v>0</v>
      </c>
      <c r="G68" s="5" t="n">
        <v>0</v>
      </c>
      <c r="H68" s="5" t="n">
        <v>1</v>
      </c>
      <c r="I68" s="5" t="n">
        <v>0</v>
      </c>
      <c r="J68" s="5" t="n">
        <v>761860.19</v>
      </c>
    </row>
    <row r="69" customFormat="false" ht="15" hidden="false" customHeight="true" outlineLevel="0" collapsed="false">
      <c r="A69" s="5" t="s">
        <v>40</v>
      </c>
      <c r="B69" s="5" t="s">
        <v>29</v>
      </c>
      <c r="C69" s="5" t="s">
        <v>20</v>
      </c>
      <c r="D69" s="5" t="n">
        <v>0</v>
      </c>
      <c r="E69" s="5" t="n">
        <v>0</v>
      </c>
      <c r="F69" s="5" t="n">
        <v>0</v>
      </c>
      <c r="G69" s="5" t="n">
        <v>0</v>
      </c>
      <c r="H69" s="5" t="n">
        <v>0</v>
      </c>
      <c r="I69" s="5" t="n">
        <v>1</v>
      </c>
      <c r="J69" s="5" t="n">
        <v>784502.68</v>
      </c>
    </row>
    <row r="70" customFormat="false" ht="15" hidden="false" customHeight="true" outlineLevel="0" collapsed="false">
      <c r="A70" s="5" t="s">
        <v>40</v>
      </c>
      <c r="B70" s="5" t="s">
        <v>29</v>
      </c>
      <c r="C70" s="5" t="s">
        <v>20</v>
      </c>
      <c r="D70" s="5" t="n">
        <v>0</v>
      </c>
      <c r="E70" s="5" t="n">
        <v>0</v>
      </c>
      <c r="F70" s="5" t="n">
        <v>0</v>
      </c>
      <c r="G70" s="5" t="n">
        <v>0</v>
      </c>
      <c r="H70" s="5" t="n">
        <v>0</v>
      </c>
      <c r="I70" s="5" t="n">
        <v>1</v>
      </c>
      <c r="J70" s="5" t="n">
        <v>717141.55</v>
      </c>
    </row>
    <row r="71" customFormat="false" ht="15" hidden="false" customHeight="true" outlineLevel="0" collapsed="false">
      <c r="A71" s="5" t="s">
        <v>40</v>
      </c>
      <c r="B71" s="5" t="s">
        <v>29</v>
      </c>
      <c r="C71" s="5" t="s">
        <v>20</v>
      </c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1</v>
      </c>
      <c r="J71" s="5" t="n">
        <v>685379.08</v>
      </c>
    </row>
    <row r="72" customFormat="false" ht="15" hidden="false" customHeight="true" outlineLevel="0" collapsed="false">
      <c r="A72" s="5" t="s">
        <v>40</v>
      </c>
      <c r="B72" s="5" t="s">
        <v>29</v>
      </c>
      <c r="C72" s="5" t="s">
        <v>20</v>
      </c>
      <c r="D72" s="5" t="n">
        <v>0</v>
      </c>
      <c r="E72" s="5" t="n">
        <v>0</v>
      </c>
      <c r="F72" s="5" t="n">
        <v>0</v>
      </c>
      <c r="G72" s="5" t="n">
        <v>0</v>
      </c>
      <c r="H72" s="5" t="n">
        <v>0</v>
      </c>
      <c r="I72" s="5" t="n">
        <v>1</v>
      </c>
      <c r="J72" s="5" t="n">
        <v>740496.65</v>
      </c>
    </row>
    <row r="73" customFormat="false" ht="15" hidden="false" customHeight="true" outlineLevel="0" collapsed="false">
      <c r="A73" s="5" t="s">
        <v>41</v>
      </c>
      <c r="B73" s="5" t="s">
        <v>17</v>
      </c>
      <c r="C73" s="5" t="s">
        <v>20</v>
      </c>
      <c r="D73" s="5" t="n">
        <v>0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661927.14</v>
      </c>
    </row>
    <row r="74" customFormat="false" ht="15" hidden="false" customHeight="true" outlineLevel="0" collapsed="false">
      <c r="A74" s="5" t="s">
        <v>41</v>
      </c>
      <c r="B74" s="5" t="s">
        <v>17</v>
      </c>
      <c r="C74" s="5" t="s">
        <v>20</v>
      </c>
      <c r="D74" s="5" t="n">
        <v>0</v>
      </c>
      <c r="E74" s="5" t="n">
        <v>0</v>
      </c>
      <c r="F74" s="5" t="n">
        <v>0</v>
      </c>
      <c r="G74" s="5" t="n">
        <v>0</v>
      </c>
      <c r="H74" s="5" t="n">
        <v>0</v>
      </c>
      <c r="I74" s="5" t="n">
        <v>0</v>
      </c>
      <c r="J74" s="5" t="n">
        <v>479050.5</v>
      </c>
    </row>
    <row r="75" customFormat="false" ht="15" hidden="false" customHeight="true" outlineLevel="0" collapsed="false">
      <c r="A75" s="5" t="s">
        <v>41</v>
      </c>
      <c r="B75" s="5" t="s">
        <v>17</v>
      </c>
      <c r="C75" s="5" t="s">
        <v>20</v>
      </c>
      <c r="D75" s="5" t="n">
        <v>0</v>
      </c>
      <c r="E75" s="5" t="n">
        <v>0</v>
      </c>
      <c r="F75" s="5" t="n">
        <v>0</v>
      </c>
      <c r="G75" s="5" t="n">
        <v>0</v>
      </c>
      <c r="H75" s="5" t="n">
        <v>0</v>
      </c>
      <c r="I75" s="5" t="n">
        <v>0</v>
      </c>
      <c r="J75" s="5" t="n">
        <v>605023.87</v>
      </c>
    </row>
    <row r="76" customFormat="false" ht="15" hidden="false" customHeight="true" outlineLevel="0" collapsed="false">
      <c r="A76" s="5" t="s">
        <v>41</v>
      </c>
      <c r="B76" s="5" t="s">
        <v>17</v>
      </c>
      <c r="C76" s="5" t="s">
        <v>20</v>
      </c>
      <c r="D76" s="5" t="n">
        <v>0</v>
      </c>
      <c r="E76" s="5" t="n">
        <v>0</v>
      </c>
      <c r="F76" s="5" t="n">
        <v>0</v>
      </c>
      <c r="G76" s="5" t="n">
        <v>0</v>
      </c>
      <c r="H76" s="5" t="n">
        <v>0</v>
      </c>
      <c r="I76" s="5" t="n">
        <v>0</v>
      </c>
      <c r="J76" s="5" t="n">
        <v>674774.09</v>
      </c>
    </row>
    <row r="77" customFormat="false" ht="15" hidden="false" customHeight="true" outlineLevel="0" collapsed="false">
      <c r="A77" s="5" t="s">
        <v>42</v>
      </c>
      <c r="B77" s="5" t="s">
        <v>17</v>
      </c>
      <c r="C77" s="5" t="s">
        <v>18</v>
      </c>
      <c r="D77" s="5" t="n">
        <v>0</v>
      </c>
      <c r="E77" s="5" t="n">
        <v>0</v>
      </c>
      <c r="F77" s="5" t="n">
        <v>1</v>
      </c>
      <c r="G77" s="5" t="n">
        <v>0</v>
      </c>
      <c r="H77" s="5" t="n">
        <v>0</v>
      </c>
      <c r="I77" s="5" t="n">
        <v>0</v>
      </c>
      <c r="J77" s="5" t="n">
        <v>616069.41</v>
      </c>
    </row>
    <row r="78" customFormat="false" ht="15" hidden="false" customHeight="true" outlineLevel="0" collapsed="false">
      <c r="A78" s="5" t="s">
        <v>42</v>
      </c>
      <c r="B78" s="5" t="s">
        <v>17</v>
      </c>
      <c r="C78" s="5" t="s">
        <v>18</v>
      </c>
      <c r="D78" s="5" t="n">
        <v>0</v>
      </c>
      <c r="E78" s="5" t="n">
        <v>0</v>
      </c>
      <c r="F78" s="5" t="n">
        <v>1</v>
      </c>
      <c r="G78" s="5" t="n">
        <v>0</v>
      </c>
      <c r="H78" s="5" t="n">
        <v>0</v>
      </c>
      <c r="I78" s="5" t="n">
        <v>0</v>
      </c>
      <c r="J78" s="5" t="n">
        <v>630829.94</v>
      </c>
    </row>
    <row r="79" customFormat="false" ht="15" hidden="false" customHeight="true" outlineLevel="0" collapsed="false">
      <c r="A79" s="5" t="s">
        <v>42</v>
      </c>
      <c r="B79" s="5" t="s">
        <v>17</v>
      </c>
      <c r="C79" s="5" t="s">
        <v>18</v>
      </c>
      <c r="D79" s="5" t="n">
        <v>0</v>
      </c>
      <c r="E79" s="5" t="n">
        <v>0</v>
      </c>
      <c r="F79" s="5" t="n">
        <v>1</v>
      </c>
      <c r="G79" s="5" t="n">
        <v>0</v>
      </c>
      <c r="H79" s="5" t="n">
        <v>0</v>
      </c>
      <c r="I79" s="5" t="n">
        <v>0</v>
      </c>
      <c r="J79" s="5" t="n">
        <v>788087.68</v>
      </c>
    </row>
    <row r="80" customFormat="false" ht="15" hidden="false" customHeight="true" outlineLevel="0" collapsed="false">
      <c r="A80" s="5" t="s">
        <v>42</v>
      </c>
      <c r="B80" s="5" t="s">
        <v>17</v>
      </c>
      <c r="C80" s="5" t="s">
        <v>18</v>
      </c>
      <c r="D80" s="5" t="n">
        <v>0</v>
      </c>
      <c r="E80" s="5" t="n">
        <v>0</v>
      </c>
      <c r="F80" s="5" t="n">
        <v>1</v>
      </c>
      <c r="G80" s="5" t="n">
        <v>0</v>
      </c>
      <c r="H80" s="5" t="n">
        <v>0</v>
      </c>
      <c r="I80" s="5" t="n">
        <v>0</v>
      </c>
      <c r="J80" s="5" t="n">
        <v>680840.36</v>
      </c>
    </row>
    <row r="81" customFormat="false" ht="15" hidden="false" customHeight="true" outlineLevel="0" collapsed="false">
      <c r="A81" s="5" t="s">
        <v>43</v>
      </c>
      <c r="B81" s="5" t="s">
        <v>26</v>
      </c>
      <c r="C81" s="5" t="s">
        <v>20</v>
      </c>
      <c r="D81" s="5" t="n">
        <v>0</v>
      </c>
      <c r="E81" s="5" t="n">
        <v>0</v>
      </c>
      <c r="F81" s="5" t="n">
        <v>0</v>
      </c>
      <c r="G81" s="5" t="n">
        <v>0</v>
      </c>
      <c r="H81" s="5" t="n">
        <v>1</v>
      </c>
      <c r="I81" s="5" t="n">
        <v>0</v>
      </c>
      <c r="J81" s="5" t="n">
        <v>643657.47</v>
      </c>
    </row>
    <row r="82" customFormat="false" ht="15" hidden="false" customHeight="true" outlineLevel="0" collapsed="false">
      <c r="A82" s="5" t="s">
        <v>43</v>
      </c>
      <c r="B82" s="5" t="s">
        <v>26</v>
      </c>
      <c r="C82" s="5" t="s">
        <v>20</v>
      </c>
      <c r="D82" s="5" t="n">
        <v>0</v>
      </c>
      <c r="E82" s="5" t="n">
        <v>0</v>
      </c>
      <c r="F82" s="5" t="n">
        <v>0</v>
      </c>
      <c r="G82" s="5" t="n">
        <v>0</v>
      </c>
      <c r="H82" s="5" t="n">
        <v>1</v>
      </c>
      <c r="I82" s="5" t="n">
        <v>0</v>
      </c>
      <c r="J82" s="5" t="n">
        <v>691112.6</v>
      </c>
    </row>
    <row r="83" customFormat="false" ht="15" hidden="false" customHeight="true" outlineLevel="0" collapsed="false">
      <c r="A83" s="5" t="s">
        <v>43</v>
      </c>
      <c r="B83" s="5" t="s">
        <v>26</v>
      </c>
      <c r="C83" s="5" t="s">
        <v>20</v>
      </c>
      <c r="D83" s="5" t="n">
        <v>0</v>
      </c>
      <c r="E83" s="5" t="n">
        <v>0</v>
      </c>
      <c r="F83" s="5" t="n">
        <v>0</v>
      </c>
      <c r="G83" s="5" t="n">
        <v>0</v>
      </c>
      <c r="H83" s="5" t="n">
        <v>1</v>
      </c>
      <c r="I83" s="5" t="n">
        <v>0</v>
      </c>
      <c r="J83" s="5" t="n">
        <v>776922.17</v>
      </c>
    </row>
    <row r="84" customFormat="false" ht="15" hidden="false" customHeight="true" outlineLevel="0" collapsed="false">
      <c r="A84" s="5" t="s">
        <v>43</v>
      </c>
      <c r="B84" s="5" t="s">
        <v>26</v>
      </c>
      <c r="C84" s="5" t="s">
        <v>20</v>
      </c>
      <c r="D84" s="5" t="n">
        <v>0</v>
      </c>
      <c r="E84" s="5" t="n">
        <v>0</v>
      </c>
      <c r="F84" s="5" t="n">
        <v>0</v>
      </c>
      <c r="G84" s="5" t="n">
        <v>0</v>
      </c>
      <c r="H84" s="5" t="n">
        <v>1</v>
      </c>
      <c r="I84" s="5" t="n">
        <v>0</v>
      </c>
      <c r="J84" s="5" t="n">
        <v>636561.34</v>
      </c>
    </row>
    <row r="85" customFormat="false" ht="15" hidden="false" customHeight="true" outlineLevel="0" collapsed="false">
      <c r="A85" s="5" t="s">
        <v>44</v>
      </c>
      <c r="B85" s="5" t="s">
        <v>29</v>
      </c>
      <c r="C85" s="5" t="s">
        <v>30</v>
      </c>
      <c r="D85" s="5" t="n">
        <v>0</v>
      </c>
      <c r="E85" s="5" t="n">
        <v>1</v>
      </c>
      <c r="F85" s="5" t="n">
        <v>0</v>
      </c>
      <c r="G85" s="5" t="n">
        <v>0</v>
      </c>
      <c r="H85" s="5" t="n">
        <v>0</v>
      </c>
      <c r="I85" s="5" t="n">
        <v>1</v>
      </c>
      <c r="J85" s="5" t="n">
        <v>621369.58</v>
      </c>
    </row>
    <row r="86" customFormat="false" ht="15" hidden="false" customHeight="true" outlineLevel="0" collapsed="false">
      <c r="A86" s="5" t="s">
        <v>44</v>
      </c>
      <c r="B86" s="5" t="s">
        <v>29</v>
      </c>
      <c r="C86" s="5" t="s">
        <v>30</v>
      </c>
      <c r="D86" s="5" t="n">
        <v>0</v>
      </c>
      <c r="E86" s="5" t="n">
        <v>1</v>
      </c>
      <c r="F86" s="5" t="n">
        <v>0</v>
      </c>
      <c r="G86" s="5" t="n">
        <v>0</v>
      </c>
      <c r="H86" s="5" t="n">
        <v>0</v>
      </c>
      <c r="I86" s="5" t="n">
        <v>1</v>
      </c>
      <c r="J86" s="5" t="n">
        <v>682208.01</v>
      </c>
    </row>
    <row r="87" customFormat="false" ht="15" hidden="false" customHeight="true" outlineLevel="0" collapsed="false">
      <c r="A87" s="5" t="s">
        <v>44</v>
      </c>
      <c r="B87" s="5" t="s">
        <v>29</v>
      </c>
      <c r="C87" s="5" t="s">
        <v>30</v>
      </c>
      <c r="D87" s="5" t="n">
        <v>0</v>
      </c>
      <c r="E87" s="5" t="n">
        <v>1</v>
      </c>
      <c r="F87" s="5" t="n">
        <v>0</v>
      </c>
      <c r="G87" s="5" t="n">
        <v>0</v>
      </c>
      <c r="H87" s="5" t="n">
        <v>0</v>
      </c>
      <c r="I87" s="5" t="n">
        <v>1</v>
      </c>
      <c r="J87" s="5" t="n">
        <v>727241.86</v>
      </c>
    </row>
    <row r="88" customFormat="false" ht="15" hidden="false" customHeight="true" outlineLevel="0" collapsed="false">
      <c r="A88" s="5" t="s">
        <v>44</v>
      </c>
      <c r="B88" s="5" t="s">
        <v>29</v>
      </c>
      <c r="C88" s="5" t="s">
        <v>30</v>
      </c>
      <c r="D88" s="5" t="n">
        <v>0</v>
      </c>
      <c r="E88" s="5" t="n">
        <v>1</v>
      </c>
      <c r="F88" s="5" t="n">
        <v>0</v>
      </c>
      <c r="G88" s="5" t="n">
        <v>0</v>
      </c>
      <c r="H88" s="5" t="n">
        <v>0</v>
      </c>
      <c r="I88" s="5" t="n">
        <v>1</v>
      </c>
      <c r="J88" s="5" t="n">
        <v>569100.78</v>
      </c>
    </row>
    <row r="89" customFormat="false" ht="15" hidden="false" customHeight="true" outlineLevel="0" collapsed="false">
      <c r="A89" s="5" t="s">
        <v>45</v>
      </c>
      <c r="B89" s="5" t="s">
        <v>29</v>
      </c>
      <c r="C89" s="5" t="s">
        <v>20</v>
      </c>
      <c r="D89" s="5" t="n">
        <v>0</v>
      </c>
      <c r="E89" s="5" t="n">
        <v>0</v>
      </c>
      <c r="F89" s="5" t="n">
        <v>0</v>
      </c>
      <c r="G89" s="5" t="n">
        <v>0</v>
      </c>
      <c r="H89" s="5" t="n">
        <v>0</v>
      </c>
      <c r="I89" s="5" t="n">
        <v>1</v>
      </c>
      <c r="J89" s="5" t="n">
        <v>574436.29</v>
      </c>
    </row>
    <row r="90" customFormat="false" ht="15" hidden="false" customHeight="true" outlineLevel="0" collapsed="false">
      <c r="A90" s="5" t="s">
        <v>45</v>
      </c>
      <c r="B90" s="5" t="s">
        <v>29</v>
      </c>
      <c r="C90" s="5" t="s">
        <v>20</v>
      </c>
      <c r="D90" s="5" t="n">
        <v>0</v>
      </c>
      <c r="E90" s="5" t="n">
        <v>0</v>
      </c>
      <c r="F90" s="5" t="n">
        <v>0</v>
      </c>
      <c r="G90" s="5" t="n">
        <v>0</v>
      </c>
      <c r="H90" s="5" t="n">
        <v>0</v>
      </c>
      <c r="I90" s="5" t="n">
        <v>1</v>
      </c>
      <c r="J90" s="5" t="n">
        <v>611766.72</v>
      </c>
    </row>
    <row r="91" customFormat="false" ht="15" hidden="false" customHeight="true" outlineLevel="0" collapsed="false">
      <c r="A91" s="5" t="s">
        <v>45</v>
      </c>
      <c r="B91" s="5" t="s">
        <v>29</v>
      </c>
      <c r="C91" s="5" t="s">
        <v>20</v>
      </c>
      <c r="D91" s="5" t="n">
        <v>0</v>
      </c>
      <c r="E91" s="5" t="n">
        <v>0</v>
      </c>
      <c r="F91" s="5" t="n">
        <v>0</v>
      </c>
      <c r="G91" s="5" t="n">
        <v>0</v>
      </c>
      <c r="H91" s="5" t="n">
        <v>0</v>
      </c>
      <c r="I91" s="5" t="n">
        <v>1</v>
      </c>
      <c r="J91" s="5" t="n">
        <v>614596.32</v>
      </c>
    </row>
    <row r="92" customFormat="false" ht="15" hidden="false" customHeight="true" outlineLevel="0" collapsed="false">
      <c r="A92" s="5" t="s">
        <v>45</v>
      </c>
      <c r="B92" s="5" t="s">
        <v>29</v>
      </c>
      <c r="C92" s="5" t="s">
        <v>20</v>
      </c>
      <c r="D92" s="5" t="n">
        <v>0</v>
      </c>
      <c r="E92" s="5" t="n">
        <v>0</v>
      </c>
      <c r="F92" s="5" t="n">
        <v>0</v>
      </c>
      <c r="G92" s="5" t="n">
        <v>0</v>
      </c>
      <c r="H92" s="5" t="n">
        <v>0</v>
      </c>
      <c r="I92" s="5" t="n">
        <v>1</v>
      </c>
      <c r="J92" s="5" t="n">
        <v>450711.92</v>
      </c>
    </row>
    <row r="93" customFormat="false" ht="15" hidden="false" customHeight="true" outlineLevel="0" collapsed="false">
      <c r="A93" s="5" t="s">
        <v>46</v>
      </c>
      <c r="B93" s="5" t="s">
        <v>26</v>
      </c>
      <c r="C93" s="5" t="s">
        <v>30</v>
      </c>
      <c r="D93" s="5" t="n">
        <v>0</v>
      </c>
      <c r="E93" s="5" t="n">
        <v>1</v>
      </c>
      <c r="F93" s="5" t="n">
        <v>0</v>
      </c>
      <c r="G93" s="5" t="n">
        <v>0</v>
      </c>
      <c r="H93" s="5" t="n">
        <v>1</v>
      </c>
      <c r="I93" s="5" t="n">
        <v>0</v>
      </c>
      <c r="J93" s="5" t="n">
        <v>711213.46</v>
      </c>
    </row>
    <row r="94" customFormat="false" ht="15" hidden="false" customHeight="true" outlineLevel="0" collapsed="false">
      <c r="A94" s="5" t="s">
        <v>46</v>
      </c>
      <c r="B94" s="5" t="s">
        <v>26</v>
      </c>
      <c r="C94" s="5" t="s">
        <v>30</v>
      </c>
      <c r="D94" s="5" t="n">
        <v>0</v>
      </c>
      <c r="E94" s="5" t="n">
        <v>1</v>
      </c>
      <c r="F94" s="5" t="n">
        <v>0</v>
      </c>
      <c r="G94" s="5" t="n">
        <v>0</v>
      </c>
      <c r="H94" s="5" t="n">
        <v>1</v>
      </c>
      <c r="I94" s="5" t="n">
        <v>0</v>
      </c>
      <c r="J94" s="5" t="n">
        <v>627171.9</v>
      </c>
    </row>
    <row r="95" customFormat="false" ht="15" hidden="false" customHeight="true" outlineLevel="0" collapsed="false">
      <c r="A95" s="5" t="s">
        <v>46</v>
      </c>
      <c r="B95" s="5" t="s">
        <v>26</v>
      </c>
      <c r="C95" s="5" t="s">
        <v>30</v>
      </c>
      <c r="D95" s="5" t="n">
        <v>0</v>
      </c>
      <c r="E95" s="5" t="n">
        <v>1</v>
      </c>
      <c r="F95" s="5" t="n">
        <v>0</v>
      </c>
      <c r="G95" s="5" t="n">
        <v>0</v>
      </c>
      <c r="H95" s="5" t="n">
        <v>1</v>
      </c>
      <c r="I95" s="5" t="n">
        <v>0</v>
      </c>
      <c r="J95" s="5" t="n">
        <v>739852.58</v>
      </c>
    </row>
    <row r="96" customFormat="false" ht="15" hidden="false" customHeight="true" outlineLevel="0" collapsed="false">
      <c r="A96" s="5" t="s">
        <v>46</v>
      </c>
      <c r="B96" s="5" t="s">
        <v>26</v>
      </c>
      <c r="C96" s="5" t="s">
        <v>30</v>
      </c>
      <c r="D96" s="5" t="n">
        <v>0</v>
      </c>
      <c r="E96" s="5" t="n">
        <v>1</v>
      </c>
      <c r="F96" s="5" t="n">
        <v>0</v>
      </c>
      <c r="G96" s="5" t="n">
        <v>0</v>
      </c>
      <c r="H96" s="5" t="n">
        <v>1</v>
      </c>
      <c r="I96" s="5" t="n">
        <v>0</v>
      </c>
      <c r="J96" s="5" t="n">
        <v>586307.22</v>
      </c>
    </row>
    <row r="97" customFormat="false" ht="15" hidden="false" customHeight="true" outlineLevel="0" collapsed="false">
      <c r="A97" s="5" t="s">
        <v>47</v>
      </c>
      <c r="B97" s="5" t="s">
        <v>29</v>
      </c>
      <c r="C97" s="5" t="s">
        <v>18</v>
      </c>
      <c r="D97" s="5" t="n">
        <v>0</v>
      </c>
      <c r="E97" s="5" t="n">
        <v>0</v>
      </c>
      <c r="F97" s="5" t="n">
        <v>1</v>
      </c>
      <c r="G97" s="5" t="n">
        <v>0</v>
      </c>
      <c r="H97" s="5" t="n">
        <v>0</v>
      </c>
      <c r="I97" s="5" t="n">
        <v>1</v>
      </c>
      <c r="J97" s="5" t="n">
        <v>585937.48</v>
      </c>
    </row>
    <row r="98" customFormat="false" ht="15" hidden="false" customHeight="true" outlineLevel="0" collapsed="false">
      <c r="A98" s="5" t="s">
        <v>47</v>
      </c>
      <c r="B98" s="5" t="s">
        <v>29</v>
      </c>
      <c r="C98" s="5" t="s">
        <v>18</v>
      </c>
      <c r="D98" s="5" t="n">
        <v>0</v>
      </c>
      <c r="E98" s="5" t="n">
        <v>0</v>
      </c>
      <c r="F98" s="5" t="n">
        <v>1</v>
      </c>
      <c r="G98" s="5" t="n">
        <v>0</v>
      </c>
      <c r="H98" s="5" t="n">
        <v>0</v>
      </c>
      <c r="I98" s="5" t="n">
        <v>1</v>
      </c>
      <c r="J98" s="5" t="n">
        <v>753473.55</v>
      </c>
    </row>
    <row r="99" customFormat="false" ht="15" hidden="false" customHeight="true" outlineLevel="0" collapsed="false">
      <c r="A99" s="5" t="s">
        <v>47</v>
      </c>
      <c r="B99" s="5" t="s">
        <v>29</v>
      </c>
      <c r="C99" s="5" t="s">
        <v>18</v>
      </c>
      <c r="D99" s="5" t="n">
        <v>0</v>
      </c>
      <c r="E99" s="5" t="n">
        <v>0</v>
      </c>
      <c r="F99" s="5" t="n">
        <v>1</v>
      </c>
      <c r="G99" s="5" t="n">
        <v>0</v>
      </c>
      <c r="H99" s="5" t="n">
        <v>0</v>
      </c>
      <c r="I99" s="5" t="n">
        <v>1</v>
      </c>
      <c r="J99" s="5" t="n">
        <v>838250.32</v>
      </c>
    </row>
    <row r="100" customFormat="false" ht="15" hidden="false" customHeight="true" outlineLevel="0" collapsed="false">
      <c r="A100" s="5" t="s">
        <v>47</v>
      </c>
      <c r="B100" s="5" t="s">
        <v>29</v>
      </c>
      <c r="C100" s="5" t="s">
        <v>18</v>
      </c>
      <c r="D100" s="5" t="n">
        <v>0</v>
      </c>
      <c r="E100" s="5" t="n">
        <v>0</v>
      </c>
      <c r="F100" s="5" t="n">
        <v>1</v>
      </c>
      <c r="G100" s="5" t="n">
        <v>0</v>
      </c>
      <c r="H100" s="5" t="n">
        <v>0</v>
      </c>
      <c r="I100" s="5" t="n">
        <v>1</v>
      </c>
      <c r="J100" s="5" t="n">
        <v>607898.12</v>
      </c>
    </row>
    <row r="101" customFormat="false" ht="15" hidden="false" customHeight="true" outlineLevel="0" collapsed="false">
      <c r="A101" s="5" t="s">
        <v>48</v>
      </c>
      <c r="B101" s="5" t="s">
        <v>29</v>
      </c>
      <c r="C101" s="5" t="s">
        <v>30</v>
      </c>
      <c r="D101" s="5" t="n">
        <v>0</v>
      </c>
      <c r="E101" s="5" t="n">
        <v>1</v>
      </c>
      <c r="F101" s="5" t="n">
        <v>0</v>
      </c>
      <c r="G101" s="5" t="n">
        <v>0</v>
      </c>
      <c r="H101" s="5" t="n">
        <v>0</v>
      </c>
      <c r="I101" s="5" t="n">
        <v>1</v>
      </c>
      <c r="J101" s="5" t="n">
        <v>691113.62</v>
      </c>
    </row>
    <row r="102" customFormat="false" ht="15" hidden="false" customHeight="true" outlineLevel="0" collapsed="false">
      <c r="A102" s="5" t="s">
        <v>48</v>
      </c>
      <c r="B102" s="5" t="s">
        <v>29</v>
      </c>
      <c r="C102" s="5" t="s">
        <v>30</v>
      </c>
      <c r="D102" s="5" t="n">
        <v>0</v>
      </c>
      <c r="E102" s="5" t="n">
        <v>1</v>
      </c>
      <c r="F102" s="5" t="n">
        <v>0</v>
      </c>
      <c r="G102" s="5" t="n">
        <v>0</v>
      </c>
      <c r="H102" s="5" t="n">
        <v>0</v>
      </c>
      <c r="I102" s="5" t="n">
        <v>1</v>
      </c>
      <c r="J102" s="5" t="n">
        <v>735509.4</v>
      </c>
    </row>
    <row r="103" customFormat="false" ht="15" hidden="false" customHeight="true" outlineLevel="0" collapsed="false">
      <c r="A103" s="5" t="s">
        <v>48</v>
      </c>
      <c r="B103" s="5" t="s">
        <v>29</v>
      </c>
      <c r="C103" s="5" t="s">
        <v>30</v>
      </c>
      <c r="D103" s="5" t="n">
        <v>0</v>
      </c>
      <c r="E103" s="5" t="n">
        <v>1</v>
      </c>
      <c r="F103" s="5" t="n">
        <v>0</v>
      </c>
      <c r="G103" s="5" t="n">
        <v>0</v>
      </c>
      <c r="H103" s="5" t="n">
        <v>0</v>
      </c>
      <c r="I103" s="5" t="n">
        <v>1</v>
      </c>
      <c r="J103" s="5" t="n">
        <v>605775.33</v>
      </c>
    </row>
    <row r="104" customFormat="false" ht="15" hidden="false" customHeight="true" outlineLevel="0" collapsed="false">
      <c r="A104" s="5" t="s">
        <v>48</v>
      </c>
      <c r="B104" s="5" t="s">
        <v>29</v>
      </c>
      <c r="C104" s="5" t="s">
        <v>30</v>
      </c>
      <c r="D104" s="5" t="n">
        <v>0</v>
      </c>
      <c r="E104" s="5" t="n">
        <v>1</v>
      </c>
      <c r="F104" s="5" t="n">
        <v>0</v>
      </c>
      <c r="G104" s="5" t="n">
        <v>0</v>
      </c>
      <c r="H104" s="5" t="n">
        <v>0</v>
      </c>
      <c r="I104" s="5" t="n">
        <v>1</v>
      </c>
      <c r="J104" s="5" t="n">
        <v>675177.68</v>
      </c>
    </row>
    <row r="105" customFormat="false" ht="15" hidden="false" customHeight="true" outlineLevel="0" collapsed="false">
      <c r="A105" s="5" t="s">
        <v>49</v>
      </c>
      <c r="B105" s="5" t="s">
        <v>17</v>
      </c>
      <c r="C105" s="5" t="s">
        <v>30</v>
      </c>
      <c r="D105" s="5" t="n">
        <v>0</v>
      </c>
      <c r="E105" s="5" t="n">
        <v>1</v>
      </c>
      <c r="F105" s="5" t="n">
        <v>0</v>
      </c>
      <c r="G105" s="5" t="n">
        <v>0</v>
      </c>
      <c r="H105" s="5" t="n">
        <v>0</v>
      </c>
      <c r="I105" s="5" t="n">
        <v>0</v>
      </c>
      <c r="J105" s="5" t="n">
        <v>635181.35</v>
      </c>
    </row>
    <row r="106" customFormat="false" ht="15" hidden="false" customHeight="true" outlineLevel="0" collapsed="false">
      <c r="A106" s="5" t="s">
        <v>49</v>
      </c>
      <c r="B106" s="5" t="s">
        <v>17</v>
      </c>
      <c r="C106" s="5" t="s">
        <v>30</v>
      </c>
      <c r="D106" s="5" t="n">
        <v>0</v>
      </c>
      <c r="E106" s="5" t="n">
        <v>1</v>
      </c>
      <c r="F106" s="5" t="n">
        <v>0</v>
      </c>
      <c r="G106" s="5" t="n">
        <v>0</v>
      </c>
      <c r="H106" s="5" t="n">
        <v>0</v>
      </c>
      <c r="I106" s="5" t="n">
        <v>0</v>
      </c>
      <c r="J106" s="5" t="n">
        <v>586626.94</v>
      </c>
    </row>
    <row r="107" customFormat="false" ht="15" hidden="false" customHeight="true" outlineLevel="0" collapsed="false">
      <c r="A107" s="5" t="s">
        <v>49</v>
      </c>
      <c r="B107" s="5" t="s">
        <v>17</v>
      </c>
      <c r="C107" s="5" t="s">
        <v>30</v>
      </c>
      <c r="D107" s="5" t="n">
        <v>0</v>
      </c>
      <c r="E107" s="5" t="n">
        <v>1</v>
      </c>
      <c r="F107" s="5" t="n">
        <v>0</v>
      </c>
      <c r="G107" s="5" t="n">
        <v>0</v>
      </c>
      <c r="H107" s="5" t="n">
        <v>0</v>
      </c>
      <c r="I107" s="5" t="n">
        <v>0</v>
      </c>
      <c r="J107" s="5" t="n">
        <v>740102.64</v>
      </c>
    </row>
    <row r="108" customFormat="false" ht="15" hidden="false" customHeight="true" outlineLevel="0" collapsed="false">
      <c r="A108" s="5" t="s">
        <v>49</v>
      </c>
      <c r="B108" s="5" t="s">
        <v>17</v>
      </c>
      <c r="C108" s="5" t="s">
        <v>30</v>
      </c>
      <c r="D108" s="5" t="n">
        <v>0</v>
      </c>
      <c r="E108" s="5" t="n">
        <v>1</v>
      </c>
      <c r="F108" s="5" t="n">
        <v>0</v>
      </c>
      <c r="G108" s="5" t="n">
        <v>0</v>
      </c>
      <c r="H108" s="5" t="n">
        <v>0</v>
      </c>
      <c r="I108" s="5" t="n">
        <v>0</v>
      </c>
      <c r="J108" s="5" t="n">
        <v>625514.04</v>
      </c>
    </row>
    <row r="109" customFormat="false" ht="15" hidden="false" customHeight="true" outlineLevel="0" collapsed="false">
      <c r="A109" s="5" t="s">
        <v>50</v>
      </c>
      <c r="B109" s="5" t="s">
        <v>29</v>
      </c>
      <c r="C109" s="5" t="s">
        <v>20</v>
      </c>
      <c r="D109" s="5" t="n">
        <v>0</v>
      </c>
      <c r="E109" s="5" t="n">
        <v>0</v>
      </c>
      <c r="F109" s="5" t="n">
        <v>0</v>
      </c>
      <c r="G109" s="5" t="n">
        <v>0</v>
      </c>
      <c r="H109" s="5" t="n">
        <v>0</v>
      </c>
      <c r="I109" s="5" t="n">
        <v>1</v>
      </c>
      <c r="J109" s="5" t="n">
        <v>727227.2</v>
      </c>
    </row>
    <row r="110" customFormat="false" ht="15" hidden="false" customHeight="true" outlineLevel="0" collapsed="false">
      <c r="A110" s="5" t="s">
        <v>50</v>
      </c>
      <c r="B110" s="5" t="s">
        <v>29</v>
      </c>
      <c r="C110" s="5" t="s">
        <v>20</v>
      </c>
      <c r="D110" s="5" t="n">
        <v>0</v>
      </c>
      <c r="E110" s="5" t="n">
        <v>0</v>
      </c>
      <c r="F110" s="5" t="n">
        <v>0</v>
      </c>
      <c r="G110" s="5" t="n">
        <v>0</v>
      </c>
      <c r="H110" s="5" t="n">
        <v>0</v>
      </c>
      <c r="I110" s="5" t="n">
        <v>1</v>
      </c>
      <c r="J110" s="5" t="n">
        <v>783797.89</v>
      </c>
    </row>
    <row r="111" customFormat="false" ht="15" hidden="false" customHeight="true" outlineLevel="0" collapsed="false">
      <c r="A111" s="5" t="s">
        <v>50</v>
      </c>
      <c r="B111" s="5" t="s">
        <v>29</v>
      </c>
      <c r="C111" s="5" t="s">
        <v>20</v>
      </c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1</v>
      </c>
      <c r="J111" s="5" t="n">
        <v>795153.84</v>
      </c>
    </row>
    <row r="112" customFormat="false" ht="15" hidden="false" customHeight="true" outlineLevel="0" collapsed="false">
      <c r="A112" s="5" t="s">
        <v>50</v>
      </c>
      <c r="B112" s="5" t="s">
        <v>29</v>
      </c>
      <c r="C112" s="5" t="s">
        <v>20</v>
      </c>
      <c r="D112" s="5" t="n">
        <v>0</v>
      </c>
      <c r="E112" s="5" t="n">
        <v>0</v>
      </c>
      <c r="F112" s="5" t="n">
        <v>0</v>
      </c>
      <c r="G112" s="5" t="n">
        <v>0</v>
      </c>
      <c r="H112" s="5" t="n">
        <v>0</v>
      </c>
      <c r="I112" s="5" t="n">
        <v>1</v>
      </c>
      <c r="J112" s="5" t="n">
        <v>665594.94</v>
      </c>
    </row>
    <row r="113" customFormat="false" ht="15" hidden="false" customHeight="true" outlineLevel="0" collapsed="false">
      <c r="A113" s="5" t="s">
        <v>51</v>
      </c>
      <c r="B113" s="5" t="s">
        <v>17</v>
      </c>
      <c r="C113" s="5" t="s">
        <v>30</v>
      </c>
      <c r="D113" s="5" t="n">
        <v>0</v>
      </c>
      <c r="E113" s="5" t="n">
        <v>1</v>
      </c>
      <c r="F113" s="5" t="n">
        <v>0</v>
      </c>
      <c r="G113" s="5" t="n">
        <v>0</v>
      </c>
      <c r="H113" s="5" t="n">
        <v>0</v>
      </c>
      <c r="I113" s="5" t="n">
        <v>0</v>
      </c>
      <c r="J113" s="5" t="n">
        <v>709478.39</v>
      </c>
    </row>
    <row r="114" customFormat="false" ht="15" hidden="false" customHeight="true" outlineLevel="0" collapsed="false">
      <c r="A114" s="5" t="s">
        <v>51</v>
      </c>
      <c r="B114" s="5" t="s">
        <v>17</v>
      </c>
      <c r="C114" s="5" t="s">
        <v>30</v>
      </c>
      <c r="D114" s="5" t="n">
        <v>0</v>
      </c>
      <c r="E114" s="5" t="n">
        <v>1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664162.49</v>
      </c>
    </row>
    <row r="115" customFormat="false" ht="15" hidden="false" customHeight="true" outlineLevel="0" collapsed="false">
      <c r="A115" s="5" t="s">
        <v>51</v>
      </c>
      <c r="B115" s="5" t="s">
        <v>17</v>
      </c>
      <c r="C115" s="5" t="s">
        <v>30</v>
      </c>
      <c r="D115" s="5" t="n">
        <v>0</v>
      </c>
      <c r="E115" s="5" t="n">
        <v>1</v>
      </c>
      <c r="F115" s="5" t="n">
        <v>0</v>
      </c>
      <c r="G115" s="5" t="n">
        <v>0</v>
      </c>
      <c r="H115" s="5" t="n">
        <v>0</v>
      </c>
      <c r="I115" s="5" t="n">
        <v>0</v>
      </c>
      <c r="J115" s="5" t="n">
        <v>633494.21</v>
      </c>
    </row>
    <row r="116" customFormat="false" ht="15" hidden="false" customHeight="true" outlineLevel="0" collapsed="false">
      <c r="A116" s="5" t="s">
        <v>51</v>
      </c>
      <c r="B116" s="5" t="s">
        <v>17</v>
      </c>
      <c r="C116" s="5" t="s">
        <v>30</v>
      </c>
      <c r="D116" s="5" t="n">
        <v>0</v>
      </c>
      <c r="E116" s="5" t="n">
        <v>1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713611.16</v>
      </c>
    </row>
    <row r="117" customFormat="false" ht="15" hidden="false" customHeight="true" outlineLevel="0" collapsed="false">
      <c r="A117" s="5" t="s">
        <v>52</v>
      </c>
      <c r="B117" s="5" t="s">
        <v>29</v>
      </c>
      <c r="C117" s="5" t="s">
        <v>30</v>
      </c>
      <c r="D117" s="5" t="n">
        <v>0</v>
      </c>
      <c r="E117" s="5" t="n">
        <v>1</v>
      </c>
      <c r="F117" s="5" t="n">
        <v>0</v>
      </c>
      <c r="G117" s="5" t="n">
        <v>0</v>
      </c>
      <c r="H117" s="5" t="n">
        <v>0</v>
      </c>
      <c r="I117" s="5" t="n">
        <v>1</v>
      </c>
      <c r="J117" s="5" t="n">
        <v>778397.97</v>
      </c>
    </row>
    <row r="118" customFormat="false" ht="15" hidden="false" customHeight="true" outlineLevel="0" collapsed="false">
      <c r="A118" s="5" t="s">
        <v>52</v>
      </c>
      <c r="B118" s="5" t="s">
        <v>29</v>
      </c>
      <c r="C118" s="5" t="s">
        <v>30</v>
      </c>
      <c r="D118" s="5" t="n">
        <v>0</v>
      </c>
      <c r="E118" s="5" t="n">
        <v>1</v>
      </c>
      <c r="F118" s="5" t="n">
        <v>0</v>
      </c>
      <c r="G118" s="5" t="n">
        <v>0</v>
      </c>
      <c r="H118" s="5" t="n">
        <v>0</v>
      </c>
      <c r="I118" s="5" t="n">
        <v>1</v>
      </c>
      <c r="J118" s="5" t="n">
        <v>873380.02</v>
      </c>
    </row>
    <row r="119" customFormat="false" ht="15" hidden="false" customHeight="true" outlineLevel="0" collapsed="false">
      <c r="A119" s="5" t="s">
        <v>52</v>
      </c>
      <c r="B119" s="5" t="s">
        <v>29</v>
      </c>
      <c r="C119" s="5" t="s">
        <v>30</v>
      </c>
      <c r="D119" s="5" t="n">
        <v>0</v>
      </c>
      <c r="E119" s="5" t="n">
        <v>1</v>
      </c>
      <c r="F119" s="5" t="n">
        <v>0</v>
      </c>
      <c r="G119" s="5" t="n">
        <v>0</v>
      </c>
      <c r="H119" s="5" t="n">
        <v>0</v>
      </c>
      <c r="I119" s="5" t="n">
        <v>1</v>
      </c>
      <c r="J119" s="5" t="n">
        <v>697287.9</v>
      </c>
    </row>
    <row r="120" customFormat="false" ht="15" hidden="false" customHeight="true" outlineLevel="0" collapsed="false">
      <c r="A120" s="5" t="s">
        <v>52</v>
      </c>
      <c r="B120" s="5" t="s">
        <v>29</v>
      </c>
      <c r="C120" s="5" t="s">
        <v>30</v>
      </c>
      <c r="D120" s="5" t="n">
        <v>0</v>
      </c>
      <c r="E120" s="5" t="n">
        <v>1</v>
      </c>
      <c r="F120" s="5" t="n">
        <v>0</v>
      </c>
      <c r="G120" s="5" t="n">
        <v>0</v>
      </c>
      <c r="H120" s="5" t="n">
        <v>0</v>
      </c>
      <c r="I120" s="5" t="n">
        <v>1</v>
      </c>
      <c r="J120" s="5" t="n">
        <v>718074.79</v>
      </c>
    </row>
    <row r="121" customFormat="false" ht="15" hidden="false" customHeight="true" outlineLevel="0" collapsed="false">
      <c r="A121" s="5" t="s">
        <v>53</v>
      </c>
      <c r="B121" s="5" t="s">
        <v>29</v>
      </c>
      <c r="C121" s="5" t="s">
        <v>18</v>
      </c>
      <c r="D121" s="5" t="n">
        <v>0</v>
      </c>
      <c r="E121" s="5" t="n">
        <v>0</v>
      </c>
      <c r="F121" s="5" t="n">
        <v>1</v>
      </c>
      <c r="G121" s="5" t="n">
        <v>0</v>
      </c>
      <c r="H121" s="5" t="n">
        <v>0</v>
      </c>
      <c r="I121" s="5" t="n">
        <v>1</v>
      </c>
      <c r="J121" s="5" t="n">
        <v>714942.43</v>
      </c>
    </row>
    <row r="122" customFormat="false" ht="15" hidden="false" customHeight="true" outlineLevel="0" collapsed="false">
      <c r="A122" s="5" t="s">
        <v>53</v>
      </c>
      <c r="B122" s="5" t="s">
        <v>29</v>
      </c>
      <c r="C122" s="5" t="s">
        <v>18</v>
      </c>
      <c r="D122" s="5" t="n">
        <v>0</v>
      </c>
      <c r="E122" s="5" t="n">
        <v>0</v>
      </c>
      <c r="F122" s="5" t="n">
        <v>1</v>
      </c>
      <c r="G122" s="5" t="n">
        <v>0</v>
      </c>
      <c r="H122" s="5" t="n">
        <v>0</v>
      </c>
      <c r="I122" s="5" t="n">
        <v>1</v>
      </c>
      <c r="J122" s="5" t="n">
        <v>820519.04</v>
      </c>
    </row>
    <row r="123" customFormat="false" ht="15" hidden="false" customHeight="true" outlineLevel="0" collapsed="false">
      <c r="A123" s="5" t="s">
        <v>53</v>
      </c>
      <c r="B123" s="5" t="s">
        <v>29</v>
      </c>
      <c r="C123" s="5" t="s">
        <v>18</v>
      </c>
      <c r="D123" s="5" t="n">
        <v>0</v>
      </c>
      <c r="E123" s="5" t="n">
        <v>0</v>
      </c>
      <c r="F123" s="5" t="n">
        <v>1</v>
      </c>
      <c r="G123" s="5" t="n">
        <v>0</v>
      </c>
      <c r="H123" s="5" t="n">
        <v>0</v>
      </c>
      <c r="I123" s="5" t="n">
        <v>1</v>
      </c>
      <c r="J123" s="5" t="n">
        <v>684217.32</v>
      </c>
    </row>
    <row r="124" customFormat="false" ht="15" hidden="false" customHeight="true" outlineLevel="0" collapsed="false">
      <c r="A124" s="5" t="s">
        <v>53</v>
      </c>
      <c r="B124" s="5" t="s">
        <v>29</v>
      </c>
      <c r="C124" s="5" t="s">
        <v>18</v>
      </c>
      <c r="D124" s="5" t="n">
        <v>0</v>
      </c>
      <c r="E124" s="5" t="n">
        <v>0</v>
      </c>
      <c r="F124" s="5" t="n">
        <v>1</v>
      </c>
      <c r="G124" s="5" t="n">
        <v>0</v>
      </c>
      <c r="H124" s="5" t="n">
        <v>0</v>
      </c>
      <c r="I124" s="5" t="n">
        <v>1</v>
      </c>
      <c r="J124" s="5" t="n">
        <v>735480.19</v>
      </c>
    </row>
    <row r="125" customFormat="false" ht="15" hidden="false" customHeight="true" outlineLevel="0" collapsed="false">
      <c r="A125" s="5" t="s">
        <v>54</v>
      </c>
      <c r="B125" s="5" t="s">
        <v>22</v>
      </c>
      <c r="C125" s="5" t="s">
        <v>20</v>
      </c>
      <c r="D125" s="5" t="n">
        <v>0</v>
      </c>
      <c r="E125" s="5" t="n">
        <v>0</v>
      </c>
      <c r="F125" s="5" t="n">
        <v>0</v>
      </c>
      <c r="G125" s="5" t="n">
        <v>1</v>
      </c>
      <c r="H125" s="5" t="n">
        <v>0</v>
      </c>
      <c r="I125" s="5" t="n">
        <v>0</v>
      </c>
      <c r="J125" s="5" t="n">
        <v>509484.81</v>
      </c>
    </row>
    <row r="126" customFormat="false" ht="15" hidden="false" customHeight="true" outlineLevel="0" collapsed="false">
      <c r="A126" s="5" t="s">
        <v>54</v>
      </c>
      <c r="B126" s="5" t="s">
        <v>22</v>
      </c>
      <c r="C126" s="5" t="s">
        <v>20</v>
      </c>
      <c r="D126" s="5" t="n">
        <v>0</v>
      </c>
      <c r="E126" s="5" t="n">
        <v>0</v>
      </c>
      <c r="F126" s="5" t="n">
        <v>0</v>
      </c>
      <c r="G126" s="5" t="n">
        <v>1</v>
      </c>
      <c r="H126" s="5" t="n">
        <v>0</v>
      </c>
      <c r="I126" s="5" t="n">
        <v>0</v>
      </c>
      <c r="J126" s="5" t="n">
        <v>654317.09</v>
      </c>
    </row>
    <row r="127" customFormat="false" ht="15" hidden="false" customHeight="true" outlineLevel="0" collapsed="false">
      <c r="A127" s="5" t="s">
        <v>54</v>
      </c>
      <c r="B127" s="5" t="s">
        <v>22</v>
      </c>
      <c r="C127" s="5" t="s">
        <v>20</v>
      </c>
      <c r="D127" s="5" t="n">
        <v>0</v>
      </c>
      <c r="E127" s="5" t="n">
        <v>0</v>
      </c>
      <c r="F127" s="5" t="n">
        <v>0</v>
      </c>
      <c r="G127" s="5" t="n">
        <v>1</v>
      </c>
      <c r="H127" s="5" t="n">
        <v>0</v>
      </c>
      <c r="I127" s="5" t="n">
        <v>0</v>
      </c>
      <c r="J127" s="5" t="n">
        <v>557487.26</v>
      </c>
    </row>
    <row r="128" customFormat="false" ht="15" hidden="false" customHeight="true" outlineLevel="0" collapsed="false">
      <c r="A128" s="5" t="s">
        <v>54</v>
      </c>
      <c r="B128" s="5" t="s">
        <v>22</v>
      </c>
      <c r="C128" s="5" t="s">
        <v>20</v>
      </c>
      <c r="D128" s="5" t="n">
        <v>0</v>
      </c>
      <c r="E128" s="5" t="n">
        <v>0</v>
      </c>
      <c r="F128" s="5" t="n">
        <v>0</v>
      </c>
      <c r="G128" s="5" t="n">
        <v>1</v>
      </c>
      <c r="H128" s="5" t="n">
        <v>0</v>
      </c>
      <c r="I128" s="5" t="n">
        <v>0</v>
      </c>
      <c r="J128" s="5" t="n">
        <v>441275.42</v>
      </c>
    </row>
    <row r="129" customFormat="false" ht="15" hidden="false" customHeight="true" outlineLevel="0" collapsed="false">
      <c r="A129" s="5" t="s">
        <v>55</v>
      </c>
      <c r="B129" s="5" t="s">
        <v>26</v>
      </c>
      <c r="C129" s="5" t="s">
        <v>20</v>
      </c>
      <c r="D129" s="5" t="n">
        <v>0</v>
      </c>
      <c r="E129" s="5" t="n">
        <v>0</v>
      </c>
      <c r="F129" s="5" t="n">
        <v>0</v>
      </c>
      <c r="G129" s="5" t="n">
        <v>0</v>
      </c>
      <c r="H129" s="5" t="n">
        <v>1</v>
      </c>
      <c r="I129" s="5" t="n">
        <v>0</v>
      </c>
      <c r="J129" s="5" t="n">
        <v>914544.17</v>
      </c>
    </row>
    <row r="130" customFormat="false" ht="15" hidden="false" customHeight="true" outlineLevel="0" collapsed="false">
      <c r="A130" s="5" t="s">
        <v>55</v>
      </c>
      <c r="B130" s="5" t="s">
        <v>26</v>
      </c>
      <c r="C130" s="5" t="s">
        <v>20</v>
      </c>
      <c r="D130" s="5" t="n">
        <v>0</v>
      </c>
      <c r="E130" s="5" t="n">
        <v>0</v>
      </c>
      <c r="F130" s="5" t="n">
        <v>0</v>
      </c>
      <c r="G130" s="5" t="n">
        <v>0</v>
      </c>
      <c r="H130" s="5" t="n">
        <v>1</v>
      </c>
      <c r="I130" s="5" t="n">
        <v>0</v>
      </c>
      <c r="J130" s="5" t="n">
        <v>842439.67</v>
      </c>
    </row>
    <row r="131" customFormat="false" ht="15" hidden="false" customHeight="true" outlineLevel="0" collapsed="false">
      <c r="A131" s="5" t="s">
        <v>55</v>
      </c>
      <c r="B131" s="5" t="s">
        <v>26</v>
      </c>
      <c r="C131" s="5" t="s">
        <v>20</v>
      </c>
      <c r="D131" s="5" t="n">
        <v>0</v>
      </c>
      <c r="E131" s="5" t="n">
        <v>0</v>
      </c>
      <c r="F131" s="5" t="n">
        <v>0</v>
      </c>
      <c r="G131" s="5" t="n">
        <v>0</v>
      </c>
      <c r="H131" s="5" t="n">
        <v>1</v>
      </c>
      <c r="I131" s="5" t="n">
        <v>0</v>
      </c>
      <c r="J131" s="5" t="n">
        <v>842157.92</v>
      </c>
    </row>
    <row r="132" customFormat="false" ht="15" hidden="false" customHeight="true" outlineLevel="0" collapsed="false">
      <c r="A132" s="5" t="s">
        <v>55</v>
      </c>
      <c r="B132" s="5" t="s">
        <v>26</v>
      </c>
      <c r="C132" s="5" t="s">
        <v>20</v>
      </c>
      <c r="D132" s="5" t="n">
        <v>0</v>
      </c>
      <c r="E132" s="5" t="n">
        <v>0</v>
      </c>
      <c r="F132" s="5" t="n">
        <v>0</v>
      </c>
      <c r="G132" s="5" t="n">
        <v>0</v>
      </c>
      <c r="H132" s="5" t="n">
        <v>1</v>
      </c>
      <c r="I132" s="5" t="n">
        <v>0</v>
      </c>
      <c r="J132" s="5" t="n">
        <v>697155.3</v>
      </c>
    </row>
    <row r="133" customFormat="false" ht="15" hidden="false" customHeight="true" outlineLevel="0" collapsed="false">
      <c r="A133" s="5" t="s">
        <v>56</v>
      </c>
      <c r="B133" s="5" t="s">
        <v>17</v>
      </c>
      <c r="C133" s="5" t="s">
        <v>20</v>
      </c>
      <c r="D133" s="5" t="n">
        <v>0</v>
      </c>
      <c r="E133" s="5" t="n">
        <v>0</v>
      </c>
      <c r="F133" s="5" t="n">
        <v>0</v>
      </c>
      <c r="G133" s="5" t="n">
        <v>0</v>
      </c>
      <c r="H133" s="5" t="n">
        <v>0</v>
      </c>
      <c r="I133" s="5" t="n">
        <v>0</v>
      </c>
      <c r="J133" s="5" t="n">
        <v>849018.3</v>
      </c>
    </row>
    <row r="134" customFormat="false" ht="15" hidden="false" customHeight="true" outlineLevel="0" collapsed="false">
      <c r="A134" s="5" t="s">
        <v>56</v>
      </c>
      <c r="B134" s="5" t="s">
        <v>17</v>
      </c>
      <c r="C134" s="5" t="s">
        <v>20</v>
      </c>
      <c r="D134" s="5" t="n">
        <v>0</v>
      </c>
      <c r="E134" s="5" t="n">
        <v>0</v>
      </c>
      <c r="F134" s="5" t="n">
        <v>0</v>
      </c>
      <c r="G134" s="5" t="n">
        <v>0</v>
      </c>
      <c r="H134" s="5" t="n">
        <v>0</v>
      </c>
      <c r="I134" s="5" t="n">
        <v>0</v>
      </c>
      <c r="J134" s="5" t="n">
        <v>801830.35</v>
      </c>
    </row>
    <row r="135" customFormat="false" ht="15" hidden="false" customHeight="true" outlineLevel="0" collapsed="false">
      <c r="A135" s="5" t="s">
        <v>56</v>
      </c>
      <c r="B135" s="5" t="s">
        <v>17</v>
      </c>
      <c r="C135" s="5" t="s">
        <v>20</v>
      </c>
      <c r="D135" s="5" t="n">
        <v>0</v>
      </c>
      <c r="E135" s="5" t="n">
        <v>0</v>
      </c>
      <c r="F135" s="5" t="n">
        <v>0</v>
      </c>
      <c r="G135" s="5" t="n">
        <v>0</v>
      </c>
      <c r="H135" s="5" t="n">
        <v>0</v>
      </c>
      <c r="I135" s="5" t="n">
        <v>0</v>
      </c>
      <c r="J135" s="5" t="n">
        <v>725235.28</v>
      </c>
    </row>
    <row r="136" customFormat="false" ht="15" hidden="false" customHeight="true" outlineLevel="0" collapsed="false">
      <c r="A136" s="5" t="s">
        <v>56</v>
      </c>
      <c r="B136" s="5" t="s">
        <v>17</v>
      </c>
      <c r="C136" s="5" t="s">
        <v>20</v>
      </c>
      <c r="D136" s="5" t="n">
        <v>0</v>
      </c>
      <c r="E136" s="5" t="n">
        <v>0</v>
      </c>
      <c r="F136" s="5" t="n">
        <v>0</v>
      </c>
      <c r="G136" s="5" t="n">
        <v>0</v>
      </c>
      <c r="H136" s="5" t="n">
        <v>0</v>
      </c>
      <c r="I136" s="5" t="n">
        <v>0</v>
      </c>
      <c r="J136" s="5" t="n">
        <v>811452.72</v>
      </c>
    </row>
    <row r="137" customFormat="false" ht="15" hidden="false" customHeight="true" outlineLevel="0" collapsed="false">
      <c r="A137" s="5" t="s">
        <v>57</v>
      </c>
      <c r="B137" s="5" t="s">
        <v>22</v>
      </c>
      <c r="C137" s="5" t="s">
        <v>20</v>
      </c>
      <c r="D137" s="5" t="n">
        <v>0</v>
      </c>
      <c r="E137" s="5" t="n">
        <v>0</v>
      </c>
      <c r="F137" s="5" t="n">
        <v>0</v>
      </c>
      <c r="G137" s="5" t="n">
        <v>1</v>
      </c>
      <c r="H137" s="5" t="n">
        <v>0</v>
      </c>
      <c r="I137" s="5" t="n">
        <v>0</v>
      </c>
      <c r="J137" s="5" t="n">
        <v>527300.13</v>
      </c>
    </row>
    <row r="138" customFormat="false" ht="15" hidden="false" customHeight="true" outlineLevel="0" collapsed="false">
      <c r="A138" s="5" t="s">
        <v>57</v>
      </c>
      <c r="B138" s="5" t="s">
        <v>22</v>
      </c>
      <c r="C138" s="5" t="s">
        <v>20</v>
      </c>
      <c r="D138" s="5" t="n">
        <v>0</v>
      </c>
      <c r="E138" s="5" t="n">
        <v>0</v>
      </c>
      <c r="F138" s="5" t="n">
        <v>0</v>
      </c>
      <c r="G138" s="5" t="n">
        <v>1</v>
      </c>
      <c r="H138" s="5" t="n">
        <v>0</v>
      </c>
      <c r="I138" s="5" t="n">
        <v>0</v>
      </c>
      <c r="J138" s="5" t="n">
        <v>400831.65</v>
      </c>
    </row>
    <row r="139" customFormat="false" ht="15" hidden="false" customHeight="true" outlineLevel="0" collapsed="false">
      <c r="A139" s="5" t="s">
        <v>57</v>
      </c>
      <c r="B139" s="5" t="s">
        <v>22</v>
      </c>
      <c r="C139" s="5" t="s">
        <v>20</v>
      </c>
      <c r="D139" s="5" t="n">
        <v>0</v>
      </c>
      <c r="E139" s="5" t="n">
        <v>0</v>
      </c>
      <c r="F139" s="5" t="n">
        <v>0</v>
      </c>
      <c r="G139" s="5" t="n">
        <v>1</v>
      </c>
      <c r="H139" s="5" t="n">
        <v>0</v>
      </c>
      <c r="I139" s="5" t="n">
        <v>0</v>
      </c>
      <c r="J139" s="5" t="n">
        <v>593247.25</v>
      </c>
    </row>
    <row r="140" customFormat="false" ht="15" hidden="false" customHeight="true" outlineLevel="0" collapsed="false">
      <c r="A140" s="5" t="s">
        <v>57</v>
      </c>
      <c r="B140" s="5" t="s">
        <v>22</v>
      </c>
      <c r="C140" s="5" t="s">
        <v>20</v>
      </c>
      <c r="D140" s="5" t="n">
        <v>0</v>
      </c>
      <c r="E140" s="5" t="n">
        <v>0</v>
      </c>
      <c r="F140" s="5" t="n">
        <v>0</v>
      </c>
      <c r="G140" s="5" t="n">
        <v>1</v>
      </c>
      <c r="H140" s="5" t="n">
        <v>0</v>
      </c>
      <c r="I140" s="5" t="n">
        <v>0</v>
      </c>
      <c r="J140" s="5" t="n">
        <v>529075.95</v>
      </c>
    </row>
    <row r="141" customFormat="false" ht="15" hidden="false" customHeight="true" outlineLevel="0" collapsed="false">
      <c r="A141" s="5" t="s">
        <v>58</v>
      </c>
      <c r="B141" s="5" t="s">
        <v>26</v>
      </c>
      <c r="C141" s="5" t="s">
        <v>18</v>
      </c>
      <c r="D141" s="5" t="n">
        <v>0</v>
      </c>
      <c r="E141" s="5" t="n">
        <v>0</v>
      </c>
      <c r="F141" s="5" t="n">
        <v>1</v>
      </c>
      <c r="G141" s="5" t="n">
        <v>0</v>
      </c>
      <c r="H141" s="5" t="n">
        <v>1</v>
      </c>
      <c r="I141" s="5" t="n">
        <v>0</v>
      </c>
      <c r="J141" s="5" t="n">
        <v>633638.03</v>
      </c>
    </row>
    <row r="142" customFormat="false" ht="15" hidden="false" customHeight="true" outlineLevel="0" collapsed="false">
      <c r="A142" s="5" t="s">
        <v>58</v>
      </c>
      <c r="B142" s="5" t="s">
        <v>26</v>
      </c>
      <c r="C142" s="5" t="s">
        <v>18</v>
      </c>
      <c r="D142" s="5" t="n">
        <v>0</v>
      </c>
      <c r="E142" s="5" t="n">
        <v>0</v>
      </c>
      <c r="F142" s="5" t="n">
        <v>1</v>
      </c>
      <c r="G142" s="5" t="n">
        <v>0</v>
      </c>
      <c r="H142" s="5" t="n">
        <v>1</v>
      </c>
      <c r="I142" s="5" t="n">
        <v>0</v>
      </c>
      <c r="J142" s="5" t="n">
        <v>743348.84</v>
      </c>
    </row>
    <row r="143" customFormat="false" ht="15" hidden="false" customHeight="true" outlineLevel="0" collapsed="false">
      <c r="A143" s="5" t="s">
        <v>58</v>
      </c>
      <c r="B143" s="5" t="s">
        <v>26</v>
      </c>
      <c r="C143" s="5" t="s">
        <v>18</v>
      </c>
      <c r="D143" s="5" t="n">
        <v>0</v>
      </c>
      <c r="E143" s="5" t="n">
        <v>0</v>
      </c>
      <c r="F143" s="5" t="n">
        <v>1</v>
      </c>
      <c r="G143" s="5" t="n">
        <v>0</v>
      </c>
      <c r="H143" s="5" t="n">
        <v>1</v>
      </c>
      <c r="I143" s="5" t="n">
        <v>0</v>
      </c>
      <c r="J143" s="5" t="n">
        <v>758827.64</v>
      </c>
    </row>
    <row r="144" customFormat="false" ht="15" hidden="false" customHeight="true" outlineLevel="0" collapsed="false">
      <c r="A144" s="5" t="s">
        <v>58</v>
      </c>
      <c r="B144" s="5" t="s">
        <v>26</v>
      </c>
      <c r="C144" s="5" t="s">
        <v>18</v>
      </c>
      <c r="D144" s="5" t="n">
        <v>0</v>
      </c>
      <c r="E144" s="5" t="n">
        <v>0</v>
      </c>
      <c r="F144" s="5" t="n">
        <v>1</v>
      </c>
      <c r="G144" s="5" t="n">
        <v>0</v>
      </c>
      <c r="H144" s="5" t="n">
        <v>1</v>
      </c>
      <c r="I144" s="5" t="n">
        <v>0</v>
      </c>
      <c r="J144" s="5" t="n">
        <v>646559.71</v>
      </c>
    </row>
    <row r="145" customFormat="false" ht="15" hidden="false" customHeight="true" outlineLevel="0" collapsed="false">
      <c r="A145" s="5" t="s">
        <v>59</v>
      </c>
      <c r="B145" s="5" t="s">
        <v>29</v>
      </c>
      <c r="C145" s="5" t="s">
        <v>20</v>
      </c>
      <c r="D145" s="5" t="n">
        <v>0</v>
      </c>
      <c r="E145" s="5" t="n">
        <v>0</v>
      </c>
      <c r="F145" s="5" t="n">
        <v>0</v>
      </c>
      <c r="G145" s="5" t="n">
        <v>0</v>
      </c>
      <c r="H145" s="5" t="n">
        <v>0</v>
      </c>
      <c r="I145" s="5" t="n">
        <v>1</v>
      </c>
      <c r="J145" s="5" t="n">
        <v>715890.53</v>
      </c>
    </row>
    <row r="146" customFormat="false" ht="15" hidden="false" customHeight="true" outlineLevel="0" collapsed="false">
      <c r="A146" s="5" t="s">
        <v>59</v>
      </c>
      <c r="B146" s="5" t="s">
        <v>29</v>
      </c>
      <c r="C146" s="5" t="s">
        <v>20</v>
      </c>
      <c r="D146" s="5" t="n">
        <v>0</v>
      </c>
      <c r="E146" s="5" t="n">
        <v>0</v>
      </c>
      <c r="F146" s="5" t="n">
        <v>0</v>
      </c>
      <c r="G146" s="5" t="n">
        <v>0</v>
      </c>
      <c r="H146" s="5" t="n">
        <v>0</v>
      </c>
      <c r="I146" s="5" t="n">
        <v>1</v>
      </c>
      <c r="J146" s="5" t="n">
        <v>715097.57</v>
      </c>
    </row>
    <row r="147" customFormat="false" ht="15" hidden="false" customHeight="true" outlineLevel="0" collapsed="false">
      <c r="A147" s="5" t="s">
        <v>59</v>
      </c>
      <c r="B147" s="5" t="s">
        <v>29</v>
      </c>
      <c r="C147" s="5" t="s">
        <v>20</v>
      </c>
      <c r="D147" s="5" t="n">
        <v>0</v>
      </c>
      <c r="E147" s="5" t="n">
        <v>0</v>
      </c>
      <c r="F147" s="5" t="n">
        <v>0</v>
      </c>
      <c r="G147" s="5" t="n">
        <v>0</v>
      </c>
      <c r="H147" s="5" t="n">
        <v>0</v>
      </c>
      <c r="I147" s="5" t="n">
        <v>1</v>
      </c>
      <c r="J147" s="5" t="n">
        <v>682639.28</v>
      </c>
    </row>
    <row r="148" customFormat="false" ht="15" hidden="false" customHeight="true" outlineLevel="0" collapsed="false">
      <c r="A148" s="5" t="s">
        <v>59</v>
      </c>
      <c r="B148" s="5" t="s">
        <v>29</v>
      </c>
      <c r="C148" s="5" t="s">
        <v>20</v>
      </c>
      <c r="D148" s="5" t="n">
        <v>0</v>
      </c>
      <c r="E148" s="5" t="n">
        <v>0</v>
      </c>
      <c r="F148" s="5" t="n">
        <v>0</v>
      </c>
      <c r="G148" s="5" t="n">
        <v>0</v>
      </c>
      <c r="H148" s="5" t="n">
        <v>0</v>
      </c>
      <c r="I148" s="5" t="n">
        <v>1</v>
      </c>
      <c r="J148" s="5" t="n">
        <v>695098.51</v>
      </c>
    </row>
    <row r="149" customFormat="false" ht="15" hidden="false" customHeight="true" outlineLevel="0" collapsed="false">
      <c r="A149" s="5" t="s">
        <v>60</v>
      </c>
      <c r="B149" s="5" t="s">
        <v>22</v>
      </c>
      <c r="C149" s="5" t="s">
        <v>18</v>
      </c>
      <c r="D149" s="5" t="n">
        <v>0</v>
      </c>
      <c r="E149" s="5" t="n">
        <v>0</v>
      </c>
      <c r="F149" s="5" t="n">
        <v>1</v>
      </c>
      <c r="G149" s="5" t="n">
        <v>1</v>
      </c>
      <c r="H149" s="5" t="n">
        <v>0</v>
      </c>
      <c r="I149" s="5" t="n">
        <v>0</v>
      </c>
      <c r="J149" s="5" t="n">
        <v>577732.57</v>
      </c>
    </row>
    <row r="150" customFormat="false" ht="15" hidden="false" customHeight="true" outlineLevel="0" collapsed="false">
      <c r="A150" s="5" t="s">
        <v>60</v>
      </c>
      <c r="B150" s="5" t="s">
        <v>22</v>
      </c>
      <c r="C150" s="5" t="s">
        <v>18</v>
      </c>
      <c r="D150" s="5" t="n">
        <v>0</v>
      </c>
      <c r="E150" s="5" t="n">
        <v>0</v>
      </c>
      <c r="F150" s="5" t="n">
        <v>1</v>
      </c>
      <c r="G150" s="5" t="n">
        <v>1</v>
      </c>
      <c r="H150" s="5" t="n">
        <v>0</v>
      </c>
      <c r="I150" s="5" t="n">
        <v>0</v>
      </c>
      <c r="J150" s="5" t="n">
        <v>537058.33</v>
      </c>
    </row>
    <row r="151" customFormat="false" ht="15" hidden="false" customHeight="true" outlineLevel="0" collapsed="false">
      <c r="A151" s="5" t="s">
        <v>60</v>
      </c>
      <c r="B151" s="5" t="s">
        <v>22</v>
      </c>
      <c r="C151" s="5" t="s">
        <v>18</v>
      </c>
      <c r="D151" s="5" t="n">
        <v>0</v>
      </c>
      <c r="E151" s="5" t="n">
        <v>0</v>
      </c>
      <c r="F151" s="5" t="n">
        <v>1</v>
      </c>
      <c r="G151" s="5" t="n">
        <v>1</v>
      </c>
      <c r="H151" s="5" t="n">
        <v>0</v>
      </c>
      <c r="I151" s="5" t="n">
        <v>0</v>
      </c>
      <c r="J151" s="5" t="n">
        <v>601568.87</v>
      </c>
    </row>
    <row r="152" customFormat="false" ht="15" hidden="false" customHeight="true" outlineLevel="0" collapsed="false">
      <c r="A152" s="5" t="s">
        <v>60</v>
      </c>
      <c r="B152" s="5" t="s">
        <v>22</v>
      </c>
      <c r="C152" s="5" t="s">
        <v>18</v>
      </c>
      <c r="D152" s="5" t="n">
        <v>0</v>
      </c>
      <c r="E152" s="5" t="n">
        <v>0</v>
      </c>
      <c r="F152" s="5" t="n">
        <v>1</v>
      </c>
      <c r="G152" s="5" t="n">
        <v>1</v>
      </c>
      <c r="H152" s="5" t="n">
        <v>0</v>
      </c>
      <c r="I152" s="5" t="n">
        <v>0</v>
      </c>
      <c r="J152" s="5" t="n">
        <v>570964.84</v>
      </c>
    </row>
    <row r="153" customFormat="false" ht="15" hidden="false" customHeight="true" outlineLevel="0" collapsed="false">
      <c r="A153" s="5" t="s">
        <v>61</v>
      </c>
      <c r="B153" s="5" t="s">
        <v>26</v>
      </c>
      <c r="C153" s="5" t="s">
        <v>30</v>
      </c>
      <c r="D153" s="5" t="n">
        <v>0</v>
      </c>
      <c r="E153" s="5" t="n">
        <v>1</v>
      </c>
      <c r="F153" s="5" t="n">
        <v>0</v>
      </c>
      <c r="G153" s="5" t="n">
        <v>0</v>
      </c>
      <c r="H153" s="5" t="n">
        <v>1</v>
      </c>
      <c r="I153" s="5" t="n">
        <v>0</v>
      </c>
      <c r="J153" s="5" t="n">
        <v>614024.91</v>
      </c>
    </row>
    <row r="154" customFormat="false" ht="15" hidden="false" customHeight="true" outlineLevel="0" collapsed="false">
      <c r="A154" s="5" t="s">
        <v>61</v>
      </c>
      <c r="B154" s="5" t="s">
        <v>26</v>
      </c>
      <c r="C154" s="5" t="s">
        <v>30</v>
      </c>
      <c r="D154" s="5" t="n">
        <v>0</v>
      </c>
      <c r="E154" s="5" t="n">
        <v>1</v>
      </c>
      <c r="F154" s="5" t="n">
        <v>0</v>
      </c>
      <c r="G154" s="5" t="n">
        <v>0</v>
      </c>
      <c r="H154" s="5" t="n">
        <v>1</v>
      </c>
      <c r="I154" s="5" t="n">
        <v>0</v>
      </c>
      <c r="J154" s="5" t="n">
        <v>712868.35</v>
      </c>
    </row>
    <row r="155" customFormat="false" ht="15" hidden="false" customHeight="true" outlineLevel="0" collapsed="false">
      <c r="A155" s="5" t="s">
        <v>61</v>
      </c>
      <c r="B155" s="5" t="s">
        <v>26</v>
      </c>
      <c r="C155" s="5" t="s">
        <v>30</v>
      </c>
      <c r="D155" s="5" t="n">
        <v>0</v>
      </c>
      <c r="E155" s="5" t="n">
        <v>1</v>
      </c>
      <c r="F155" s="5" t="n">
        <v>0</v>
      </c>
      <c r="G155" s="5" t="n">
        <v>0</v>
      </c>
      <c r="H155" s="5" t="n">
        <v>1</v>
      </c>
      <c r="I155" s="5" t="n">
        <v>0</v>
      </c>
      <c r="J155" s="5" t="n">
        <v>696744.15</v>
      </c>
    </row>
    <row r="156" customFormat="false" ht="15" hidden="false" customHeight="true" outlineLevel="0" collapsed="false">
      <c r="A156" s="5" t="s">
        <v>61</v>
      </c>
      <c r="B156" s="5" t="s">
        <v>26</v>
      </c>
      <c r="C156" s="5" t="s">
        <v>30</v>
      </c>
      <c r="D156" s="5" t="n">
        <v>0</v>
      </c>
      <c r="E156" s="5" t="n">
        <v>1</v>
      </c>
      <c r="F156" s="5" t="n">
        <v>0</v>
      </c>
      <c r="G156" s="5" t="n">
        <v>0</v>
      </c>
      <c r="H156" s="5" t="n">
        <v>1</v>
      </c>
      <c r="I156" s="5" t="n">
        <v>0</v>
      </c>
      <c r="J156" s="5" t="n">
        <v>725847.99</v>
      </c>
    </row>
    <row r="157" customFormat="false" ht="15" hidden="false" customHeight="true" outlineLevel="0" collapsed="false">
      <c r="A157" s="5" t="s">
        <v>62</v>
      </c>
      <c r="B157" s="5" t="s">
        <v>17</v>
      </c>
      <c r="C157" s="5" t="s">
        <v>20</v>
      </c>
      <c r="D157" s="5" t="n">
        <v>0</v>
      </c>
      <c r="E157" s="5" t="n">
        <v>0</v>
      </c>
      <c r="F157" s="5" t="n">
        <v>0</v>
      </c>
      <c r="G157" s="5" t="n">
        <v>0</v>
      </c>
      <c r="H157" s="5" t="n">
        <v>0</v>
      </c>
      <c r="I157" s="5" t="n">
        <v>0</v>
      </c>
      <c r="J157" s="5" t="n">
        <v>785028.25</v>
      </c>
    </row>
    <row r="158" customFormat="false" ht="15" hidden="false" customHeight="true" outlineLevel="0" collapsed="false">
      <c r="A158" s="5" t="s">
        <v>62</v>
      </c>
      <c r="B158" s="5" t="s">
        <v>17</v>
      </c>
      <c r="C158" s="5" t="s">
        <v>20</v>
      </c>
      <c r="D158" s="5" t="n">
        <v>0</v>
      </c>
      <c r="E158" s="5" t="n">
        <v>0</v>
      </c>
      <c r="F158" s="5" t="n">
        <v>0</v>
      </c>
      <c r="G158" s="5" t="n">
        <v>0</v>
      </c>
      <c r="H158" s="5" t="n">
        <v>0</v>
      </c>
      <c r="I158" s="5" t="n">
        <v>0</v>
      </c>
      <c r="J158" s="5" t="n">
        <v>698492.67</v>
      </c>
    </row>
    <row r="159" customFormat="false" ht="15" hidden="false" customHeight="true" outlineLevel="0" collapsed="false">
      <c r="A159" s="5" t="s">
        <v>62</v>
      </c>
      <c r="B159" s="5" t="s">
        <v>17</v>
      </c>
      <c r="C159" s="5" t="s">
        <v>20</v>
      </c>
      <c r="D159" s="5" t="n">
        <v>0</v>
      </c>
      <c r="E159" s="5" t="n">
        <v>0</v>
      </c>
      <c r="F159" s="5" t="n">
        <v>0</v>
      </c>
      <c r="G159" s="5" t="n">
        <v>0</v>
      </c>
      <c r="H159" s="5" t="n">
        <v>0</v>
      </c>
      <c r="I159" s="5" t="n">
        <v>0</v>
      </c>
      <c r="J159" s="5" t="n">
        <v>685830.24</v>
      </c>
    </row>
    <row r="160" customFormat="false" ht="15" hidden="false" customHeight="true" outlineLevel="0" collapsed="false">
      <c r="A160" s="5" t="s">
        <v>62</v>
      </c>
      <c r="B160" s="5" t="s">
        <v>17</v>
      </c>
      <c r="C160" s="5" t="s">
        <v>20</v>
      </c>
      <c r="D160" s="5" t="n">
        <v>0</v>
      </c>
      <c r="E160" s="5" t="n">
        <v>0</v>
      </c>
      <c r="F160" s="5" t="n">
        <v>0</v>
      </c>
      <c r="G160" s="5" t="n">
        <v>0</v>
      </c>
      <c r="H160" s="5" t="n">
        <v>0</v>
      </c>
      <c r="I160" s="5" t="n">
        <v>0</v>
      </c>
      <c r="J160" s="5" t="n">
        <v>702318.94</v>
      </c>
    </row>
    <row r="161" customFormat="false" ht="15" hidden="false" customHeight="true" outlineLevel="0" collapsed="false">
      <c r="A161" s="5" t="s">
        <v>63</v>
      </c>
      <c r="B161" s="5" t="s">
        <v>22</v>
      </c>
      <c r="C161" s="5" t="s">
        <v>30</v>
      </c>
      <c r="D161" s="5" t="n">
        <v>0</v>
      </c>
      <c r="E161" s="5" t="n">
        <v>1</v>
      </c>
      <c r="F161" s="5" t="n">
        <v>0</v>
      </c>
      <c r="G161" s="5" t="n">
        <v>1</v>
      </c>
      <c r="H161" s="5" t="n">
        <v>0</v>
      </c>
      <c r="I161" s="5" t="n">
        <v>0</v>
      </c>
      <c r="J161" s="5" t="n">
        <v>700078.32</v>
      </c>
    </row>
    <row r="162" customFormat="false" ht="15" hidden="false" customHeight="true" outlineLevel="0" collapsed="false">
      <c r="A162" s="5" t="s">
        <v>63</v>
      </c>
      <c r="B162" s="5" t="s">
        <v>22</v>
      </c>
      <c r="C162" s="5" t="s">
        <v>30</v>
      </c>
      <c r="D162" s="5" t="n">
        <v>0</v>
      </c>
      <c r="E162" s="5" t="n">
        <v>1</v>
      </c>
      <c r="F162" s="5" t="n">
        <v>0</v>
      </c>
      <c r="G162" s="5" t="n">
        <v>1</v>
      </c>
      <c r="H162" s="5" t="n">
        <v>0</v>
      </c>
      <c r="I162" s="5" t="n">
        <v>0</v>
      </c>
      <c r="J162" s="5" t="n">
        <v>602002.32</v>
      </c>
    </row>
    <row r="163" customFormat="false" ht="15" hidden="false" customHeight="true" outlineLevel="0" collapsed="false">
      <c r="A163" s="5" t="s">
        <v>63</v>
      </c>
      <c r="B163" s="5" t="s">
        <v>22</v>
      </c>
      <c r="C163" s="5" t="s">
        <v>30</v>
      </c>
      <c r="D163" s="5" t="n">
        <v>0</v>
      </c>
      <c r="E163" s="5" t="n">
        <v>1</v>
      </c>
      <c r="F163" s="5" t="n">
        <v>0</v>
      </c>
      <c r="G163" s="5" t="n">
        <v>1</v>
      </c>
      <c r="H163" s="5" t="n">
        <v>0</v>
      </c>
      <c r="I163" s="5" t="n">
        <v>0</v>
      </c>
      <c r="J163" s="5" t="n">
        <v>724216.07</v>
      </c>
    </row>
    <row r="164" customFormat="false" ht="15" hidden="false" customHeight="true" outlineLevel="0" collapsed="false">
      <c r="A164" s="5" t="s">
        <v>63</v>
      </c>
      <c r="B164" s="5" t="s">
        <v>22</v>
      </c>
      <c r="C164" s="5" t="s">
        <v>30</v>
      </c>
      <c r="D164" s="5" t="n">
        <v>0</v>
      </c>
      <c r="E164" s="5" t="n">
        <v>1</v>
      </c>
      <c r="F164" s="5" t="n">
        <v>0</v>
      </c>
      <c r="G164" s="5" t="n">
        <v>1</v>
      </c>
      <c r="H164" s="5" t="n">
        <v>0</v>
      </c>
      <c r="I164" s="5" t="n">
        <v>0</v>
      </c>
      <c r="J164" s="5" t="n">
        <v>620973.03</v>
      </c>
    </row>
    <row r="165" customFormat="false" ht="15" hidden="false" customHeight="true" outlineLevel="0" collapsed="false">
      <c r="A165" s="5" t="s">
        <v>64</v>
      </c>
      <c r="B165" s="5" t="s">
        <v>26</v>
      </c>
      <c r="C165" s="5" t="s">
        <v>20</v>
      </c>
      <c r="D165" s="5" t="n">
        <v>0</v>
      </c>
      <c r="E165" s="5" t="n">
        <v>0</v>
      </c>
      <c r="F165" s="5" t="n">
        <v>0</v>
      </c>
      <c r="G165" s="5" t="n">
        <v>0</v>
      </c>
      <c r="H165" s="5" t="n">
        <v>1</v>
      </c>
      <c r="I165" s="5" t="n">
        <v>0</v>
      </c>
      <c r="J165" s="5" t="n">
        <v>650480.06</v>
      </c>
    </row>
    <row r="166" customFormat="false" ht="15" hidden="false" customHeight="true" outlineLevel="0" collapsed="false">
      <c r="A166" s="5" t="s">
        <v>64</v>
      </c>
      <c r="B166" s="5" t="s">
        <v>26</v>
      </c>
      <c r="C166" s="5" t="s">
        <v>20</v>
      </c>
      <c r="D166" s="5" t="n">
        <v>0</v>
      </c>
      <c r="E166" s="5" t="n">
        <v>0</v>
      </c>
      <c r="F166" s="5" t="n">
        <v>0</v>
      </c>
      <c r="G166" s="5" t="n">
        <v>0</v>
      </c>
      <c r="H166" s="5" t="n">
        <v>1</v>
      </c>
      <c r="I166" s="5" t="n">
        <v>0</v>
      </c>
      <c r="J166" s="5" t="n">
        <v>778298.88</v>
      </c>
    </row>
    <row r="167" customFormat="false" ht="15" hidden="false" customHeight="true" outlineLevel="0" collapsed="false">
      <c r="A167" s="5" t="s">
        <v>64</v>
      </c>
      <c r="B167" s="5" t="s">
        <v>26</v>
      </c>
      <c r="C167" s="5" t="s">
        <v>20</v>
      </c>
      <c r="D167" s="5" t="n">
        <v>0</v>
      </c>
      <c r="E167" s="5" t="n">
        <v>0</v>
      </c>
      <c r="F167" s="5" t="n">
        <v>0</v>
      </c>
      <c r="G167" s="5" t="n">
        <v>0</v>
      </c>
      <c r="H167" s="5" t="n">
        <v>1</v>
      </c>
      <c r="I167" s="5" t="n">
        <v>0</v>
      </c>
      <c r="J167" s="5" t="n">
        <v>677096.71</v>
      </c>
    </row>
    <row r="168" customFormat="false" ht="15" hidden="false" customHeight="true" outlineLevel="0" collapsed="false">
      <c r="A168" s="5" t="s">
        <v>64</v>
      </c>
      <c r="B168" s="5" t="s">
        <v>26</v>
      </c>
      <c r="C168" s="5" t="s">
        <v>20</v>
      </c>
      <c r="D168" s="5" t="n">
        <v>0</v>
      </c>
      <c r="E168" s="5" t="n">
        <v>0</v>
      </c>
      <c r="F168" s="5" t="n">
        <v>0</v>
      </c>
      <c r="G168" s="5" t="n">
        <v>0</v>
      </c>
      <c r="H168" s="5" t="n">
        <v>1</v>
      </c>
      <c r="I168" s="5" t="n">
        <v>0</v>
      </c>
      <c r="J168" s="5" t="n">
        <v>692008.64</v>
      </c>
    </row>
    <row r="169" customFormat="false" ht="15" hidden="false" customHeight="true" outlineLevel="0" collapsed="false">
      <c r="A169" s="5" t="s">
        <v>65</v>
      </c>
      <c r="B169" s="5" t="s">
        <v>22</v>
      </c>
      <c r="C169" s="5" t="s">
        <v>30</v>
      </c>
      <c r="D169" s="5" t="n">
        <v>0</v>
      </c>
      <c r="E169" s="5" t="n">
        <v>1</v>
      </c>
      <c r="F169" s="5" t="n">
        <v>0</v>
      </c>
      <c r="G169" s="5" t="n">
        <v>1</v>
      </c>
      <c r="H169" s="5" t="n">
        <v>0</v>
      </c>
      <c r="I169" s="5" t="n">
        <v>0</v>
      </c>
      <c r="J169" s="5" t="n">
        <v>825797.91</v>
      </c>
    </row>
    <row r="170" customFormat="false" ht="15" hidden="false" customHeight="true" outlineLevel="0" collapsed="false">
      <c r="A170" s="5" t="s">
        <v>65</v>
      </c>
      <c r="B170" s="5" t="s">
        <v>22</v>
      </c>
      <c r="C170" s="5" t="s">
        <v>30</v>
      </c>
      <c r="D170" s="5" t="n">
        <v>0</v>
      </c>
      <c r="E170" s="5" t="n">
        <v>1</v>
      </c>
      <c r="F170" s="5" t="n">
        <v>0</v>
      </c>
      <c r="G170" s="5" t="n">
        <v>1</v>
      </c>
      <c r="H170" s="5" t="n">
        <v>0</v>
      </c>
      <c r="I170" s="5" t="n">
        <v>0</v>
      </c>
      <c r="J170" s="5" t="n">
        <v>706285.52</v>
      </c>
    </row>
    <row r="171" customFormat="false" ht="15" hidden="false" customHeight="true" outlineLevel="0" collapsed="false">
      <c r="A171" s="5" t="s">
        <v>65</v>
      </c>
      <c r="B171" s="5" t="s">
        <v>22</v>
      </c>
      <c r="C171" s="5" t="s">
        <v>30</v>
      </c>
      <c r="D171" s="5" t="n">
        <v>0</v>
      </c>
      <c r="E171" s="5" t="n">
        <v>1</v>
      </c>
      <c r="F171" s="5" t="n">
        <v>0</v>
      </c>
      <c r="G171" s="5" t="n">
        <v>1</v>
      </c>
      <c r="H171" s="5" t="n">
        <v>0</v>
      </c>
      <c r="I171" s="5" t="n">
        <v>0</v>
      </c>
      <c r="J171" s="5" t="n">
        <v>665534.7</v>
      </c>
    </row>
    <row r="172" customFormat="false" ht="15" hidden="false" customHeight="true" outlineLevel="0" collapsed="false">
      <c r="A172" s="5" t="s">
        <v>65</v>
      </c>
      <c r="B172" s="5" t="s">
        <v>22</v>
      </c>
      <c r="C172" s="5" t="s">
        <v>30</v>
      </c>
      <c r="D172" s="5" t="n">
        <v>0</v>
      </c>
      <c r="E172" s="5" t="n">
        <v>1</v>
      </c>
      <c r="F172" s="5" t="n">
        <v>0</v>
      </c>
      <c r="G172" s="5" t="n">
        <v>1</v>
      </c>
      <c r="H172" s="5" t="n">
        <v>0</v>
      </c>
      <c r="I172" s="5" t="n">
        <v>0</v>
      </c>
      <c r="J172" s="5" t="n">
        <v>820729.29</v>
      </c>
    </row>
    <row r="173" customFormat="false" ht="15" hidden="false" customHeight="true" outlineLevel="0" collapsed="false">
      <c r="A173" s="5" t="s">
        <v>66</v>
      </c>
      <c r="B173" s="5" t="s">
        <v>17</v>
      </c>
      <c r="C173" s="5" t="s">
        <v>18</v>
      </c>
      <c r="D173" s="5" t="n">
        <v>0</v>
      </c>
      <c r="E173" s="5" t="n">
        <v>0</v>
      </c>
      <c r="F173" s="5" t="n">
        <v>1</v>
      </c>
      <c r="G173" s="5" t="n">
        <v>0</v>
      </c>
      <c r="H173" s="5" t="n">
        <v>0</v>
      </c>
      <c r="I173" s="5" t="n">
        <v>0</v>
      </c>
      <c r="J173" s="5" t="n">
        <v>739831.73</v>
      </c>
    </row>
    <row r="174" customFormat="false" ht="15" hidden="false" customHeight="true" outlineLevel="0" collapsed="false">
      <c r="A174" s="5" t="s">
        <v>66</v>
      </c>
      <c r="B174" s="5" t="s">
        <v>17</v>
      </c>
      <c r="C174" s="5" t="s">
        <v>18</v>
      </c>
      <c r="D174" s="5" t="n">
        <v>0</v>
      </c>
      <c r="E174" s="5" t="n">
        <v>0</v>
      </c>
      <c r="F174" s="5" t="n">
        <v>1</v>
      </c>
      <c r="G174" s="5" t="n">
        <v>0</v>
      </c>
      <c r="H174" s="5" t="n">
        <v>0</v>
      </c>
      <c r="I174" s="5" t="n">
        <v>0</v>
      </c>
      <c r="J174" s="5" t="n">
        <v>593637.14</v>
      </c>
    </row>
    <row r="175" customFormat="false" ht="15" hidden="false" customHeight="true" outlineLevel="0" collapsed="false">
      <c r="A175" s="5" t="s">
        <v>66</v>
      </c>
      <c r="B175" s="5" t="s">
        <v>17</v>
      </c>
      <c r="C175" s="5" t="s">
        <v>18</v>
      </c>
      <c r="D175" s="5" t="n">
        <v>0</v>
      </c>
      <c r="E175" s="5" t="n">
        <v>0</v>
      </c>
      <c r="F175" s="5" t="n">
        <v>1</v>
      </c>
      <c r="G175" s="5" t="n">
        <v>0</v>
      </c>
      <c r="H175" s="5" t="n">
        <v>0</v>
      </c>
      <c r="I175" s="5" t="n">
        <v>0</v>
      </c>
      <c r="J175" s="5" t="n">
        <v>769702.76</v>
      </c>
    </row>
    <row r="176" customFormat="false" ht="15" hidden="false" customHeight="true" outlineLevel="0" collapsed="false">
      <c r="A176" s="5" t="s">
        <v>66</v>
      </c>
      <c r="B176" s="5" t="s">
        <v>17</v>
      </c>
      <c r="C176" s="5" t="s">
        <v>18</v>
      </c>
      <c r="D176" s="5" t="n">
        <v>0</v>
      </c>
      <c r="E176" s="5" t="n">
        <v>0</v>
      </c>
      <c r="F176" s="5" t="n">
        <v>1</v>
      </c>
      <c r="G176" s="5" t="n">
        <v>0</v>
      </c>
      <c r="H176" s="5" t="n">
        <v>0</v>
      </c>
      <c r="I176" s="5" t="n">
        <v>0</v>
      </c>
      <c r="J176" s="5" t="n">
        <v>679731.57</v>
      </c>
    </row>
    <row r="177" customFormat="false" ht="15" hidden="false" customHeight="true" outlineLevel="0" collapsed="false">
      <c r="A177" s="5" t="s">
        <v>67</v>
      </c>
      <c r="B177" s="5" t="s">
        <v>17</v>
      </c>
      <c r="C177" s="5" t="s">
        <v>18</v>
      </c>
      <c r="D177" s="5" t="n">
        <v>0</v>
      </c>
      <c r="E177" s="5" t="n">
        <v>0</v>
      </c>
      <c r="F177" s="5" t="n">
        <v>1</v>
      </c>
      <c r="G177" s="5" t="n">
        <v>0</v>
      </c>
      <c r="H177" s="5" t="n">
        <v>0</v>
      </c>
      <c r="I177" s="5" t="n">
        <v>0</v>
      </c>
      <c r="J177" s="5" t="n">
        <v>780344.18</v>
      </c>
    </row>
    <row r="178" customFormat="false" ht="15" hidden="false" customHeight="true" outlineLevel="0" collapsed="false">
      <c r="A178" s="5" t="s">
        <v>67</v>
      </c>
      <c r="B178" s="5" t="s">
        <v>17</v>
      </c>
      <c r="C178" s="5" t="s">
        <v>18</v>
      </c>
      <c r="D178" s="5" t="n">
        <v>0</v>
      </c>
      <c r="E178" s="5" t="n">
        <v>0</v>
      </c>
      <c r="F178" s="5" t="n">
        <v>1</v>
      </c>
      <c r="G178" s="5" t="n">
        <v>0</v>
      </c>
      <c r="H178" s="5" t="n">
        <v>0</v>
      </c>
      <c r="I178" s="5" t="n">
        <v>0</v>
      </c>
      <c r="J178" s="5" t="n">
        <v>721364.11</v>
      </c>
    </row>
    <row r="179" customFormat="false" ht="15" hidden="false" customHeight="true" outlineLevel="0" collapsed="false">
      <c r="A179" s="5" t="s">
        <v>67</v>
      </c>
      <c r="B179" s="5" t="s">
        <v>17</v>
      </c>
      <c r="C179" s="5" t="s">
        <v>18</v>
      </c>
      <c r="D179" s="5" t="n">
        <v>0</v>
      </c>
      <c r="E179" s="5" t="n">
        <v>0</v>
      </c>
      <c r="F179" s="5" t="n">
        <v>1</v>
      </c>
      <c r="G179" s="5" t="n">
        <v>0</v>
      </c>
      <c r="H179" s="5" t="n">
        <v>0</v>
      </c>
      <c r="I179" s="5" t="n">
        <v>0</v>
      </c>
      <c r="J179" s="5" t="n">
        <v>758138.29</v>
      </c>
    </row>
    <row r="180" customFormat="false" ht="15" hidden="false" customHeight="true" outlineLevel="0" collapsed="false">
      <c r="A180" s="5" t="s">
        <v>67</v>
      </c>
      <c r="B180" s="5" t="s">
        <v>17</v>
      </c>
      <c r="C180" s="5" t="s">
        <v>18</v>
      </c>
      <c r="D180" s="5" t="n">
        <v>0</v>
      </c>
      <c r="E180" s="5" t="n">
        <v>0</v>
      </c>
      <c r="F180" s="5" t="n">
        <v>1</v>
      </c>
      <c r="G180" s="5" t="n">
        <v>0</v>
      </c>
      <c r="H180" s="5" t="n">
        <v>0</v>
      </c>
      <c r="I180" s="5" t="n">
        <v>0</v>
      </c>
      <c r="J180" s="5" t="n">
        <v>804264</v>
      </c>
    </row>
    <row r="181" customFormat="false" ht="15" hidden="false" customHeight="true" outlineLevel="0" collapsed="false">
      <c r="A181" s="5" t="s">
        <v>68</v>
      </c>
      <c r="B181" s="5" t="s">
        <v>29</v>
      </c>
      <c r="C181" s="5" t="s">
        <v>23</v>
      </c>
      <c r="D181" s="5" t="n">
        <v>1</v>
      </c>
      <c r="E181" s="5" t="n">
        <v>0</v>
      </c>
      <c r="F181" s="5" t="n">
        <v>0</v>
      </c>
      <c r="G181" s="5" t="n">
        <v>0</v>
      </c>
      <c r="H181" s="5" t="n">
        <v>0</v>
      </c>
      <c r="I181" s="5" t="n">
        <v>1</v>
      </c>
      <c r="J181" s="5" t="n">
        <v>887537.75</v>
      </c>
    </row>
    <row r="182" customFormat="false" ht="15" hidden="false" customHeight="true" outlineLevel="0" collapsed="false">
      <c r="A182" s="5" t="s">
        <v>68</v>
      </c>
      <c r="B182" s="5" t="s">
        <v>29</v>
      </c>
      <c r="C182" s="5" t="s">
        <v>23</v>
      </c>
      <c r="D182" s="5" t="n">
        <v>1</v>
      </c>
      <c r="E182" s="5" t="n">
        <v>0</v>
      </c>
      <c r="F182" s="5" t="n">
        <v>0</v>
      </c>
      <c r="G182" s="5" t="n">
        <v>0</v>
      </c>
      <c r="H182" s="5" t="n">
        <v>0</v>
      </c>
      <c r="I182" s="5" t="n">
        <v>1</v>
      </c>
      <c r="J182" s="5" t="n">
        <v>783582</v>
      </c>
    </row>
    <row r="183" customFormat="false" ht="15" hidden="false" customHeight="true" outlineLevel="0" collapsed="false">
      <c r="A183" s="5" t="s">
        <v>68</v>
      </c>
      <c r="B183" s="5" t="s">
        <v>29</v>
      </c>
      <c r="C183" s="5" t="s">
        <v>23</v>
      </c>
      <c r="D183" s="5" t="n">
        <v>1</v>
      </c>
      <c r="E183" s="5" t="n">
        <v>0</v>
      </c>
      <c r="F183" s="5" t="n">
        <v>0</v>
      </c>
      <c r="G183" s="5" t="n">
        <v>0</v>
      </c>
      <c r="H183" s="5" t="n">
        <v>0</v>
      </c>
      <c r="I183" s="5" t="n">
        <v>1</v>
      </c>
      <c r="J183" s="5" t="n">
        <v>781955.52</v>
      </c>
    </row>
    <row r="184" customFormat="false" ht="15" hidden="false" customHeight="true" outlineLevel="0" collapsed="false">
      <c r="A184" s="5" t="s">
        <v>68</v>
      </c>
      <c r="B184" s="5" t="s">
        <v>29</v>
      </c>
      <c r="C184" s="5" t="s">
        <v>23</v>
      </c>
      <c r="D184" s="5" t="n">
        <v>1</v>
      </c>
      <c r="E184" s="5" t="n">
        <v>0</v>
      </c>
      <c r="F184" s="5" t="n">
        <v>0</v>
      </c>
      <c r="G184" s="5" t="n">
        <v>0</v>
      </c>
      <c r="H184" s="5" t="n">
        <v>0</v>
      </c>
      <c r="I184" s="5" t="n">
        <v>1</v>
      </c>
      <c r="J184" s="5" t="n">
        <v>898031.04</v>
      </c>
    </row>
    <row r="185" customFormat="false" ht="15" hidden="false" customHeight="true" outlineLevel="0" collapsed="false">
      <c r="A185" s="5" t="s">
        <v>69</v>
      </c>
      <c r="B185" s="5" t="s">
        <v>29</v>
      </c>
      <c r="C185" s="5" t="s">
        <v>18</v>
      </c>
      <c r="D185" s="5" t="n">
        <v>0</v>
      </c>
      <c r="E185" s="5" t="n">
        <v>0</v>
      </c>
      <c r="F185" s="5" t="n">
        <v>1</v>
      </c>
      <c r="G185" s="5" t="n">
        <v>0</v>
      </c>
      <c r="H185" s="5" t="n">
        <v>0</v>
      </c>
      <c r="I185" s="5" t="n">
        <v>1</v>
      </c>
      <c r="J185" s="5" t="n">
        <v>855341.28</v>
      </c>
    </row>
    <row r="186" customFormat="false" ht="15" hidden="false" customHeight="true" outlineLevel="0" collapsed="false">
      <c r="A186" s="5" t="s">
        <v>69</v>
      </c>
      <c r="B186" s="5" t="s">
        <v>29</v>
      </c>
      <c r="C186" s="5" t="s">
        <v>18</v>
      </c>
      <c r="D186" s="5" t="n">
        <v>0</v>
      </c>
      <c r="E186" s="5" t="n">
        <v>0</v>
      </c>
      <c r="F186" s="5" t="n">
        <v>1</v>
      </c>
      <c r="G186" s="5" t="n">
        <v>0</v>
      </c>
      <c r="H186" s="5" t="n">
        <v>0</v>
      </c>
      <c r="I186" s="5" t="n">
        <v>1</v>
      </c>
      <c r="J186" s="5" t="n">
        <v>751393.88</v>
      </c>
    </row>
    <row r="187" customFormat="false" ht="15" hidden="false" customHeight="true" outlineLevel="0" collapsed="false">
      <c r="A187" s="5" t="s">
        <v>69</v>
      </c>
      <c r="B187" s="5" t="s">
        <v>29</v>
      </c>
      <c r="C187" s="5" t="s">
        <v>18</v>
      </c>
      <c r="D187" s="5" t="n">
        <v>0</v>
      </c>
      <c r="E187" s="5" t="n">
        <v>0</v>
      </c>
      <c r="F187" s="5" t="n">
        <v>1</v>
      </c>
      <c r="G187" s="5" t="n">
        <v>0</v>
      </c>
      <c r="H187" s="5" t="n">
        <v>0</v>
      </c>
      <c r="I187" s="5" t="n">
        <v>1</v>
      </c>
      <c r="J187" s="5" t="n">
        <v>761077.08</v>
      </c>
    </row>
    <row r="188" customFormat="false" ht="15" hidden="false" customHeight="true" outlineLevel="0" collapsed="false">
      <c r="A188" s="5" t="s">
        <v>69</v>
      </c>
      <c r="B188" s="5" t="s">
        <v>29</v>
      </c>
      <c r="C188" s="5" t="s">
        <v>18</v>
      </c>
      <c r="D188" s="5" t="n">
        <v>0</v>
      </c>
      <c r="E188" s="5" t="n">
        <v>0</v>
      </c>
      <c r="F188" s="5" t="n">
        <v>1</v>
      </c>
      <c r="G188" s="5" t="n">
        <v>0</v>
      </c>
      <c r="H188" s="5" t="n">
        <v>0</v>
      </c>
      <c r="I188" s="5" t="n">
        <v>1</v>
      </c>
      <c r="J188" s="5" t="n">
        <v>819660.59</v>
      </c>
    </row>
    <row r="189" customFormat="false" ht="15" hidden="false" customHeight="true" outlineLevel="0" collapsed="false">
      <c r="A189" s="5" t="s">
        <v>70</v>
      </c>
      <c r="B189" s="5" t="s">
        <v>22</v>
      </c>
      <c r="C189" s="5" t="s">
        <v>20</v>
      </c>
      <c r="D189" s="5" t="n">
        <v>0</v>
      </c>
      <c r="E189" s="5" t="n">
        <v>0</v>
      </c>
      <c r="F189" s="5" t="n">
        <v>0</v>
      </c>
      <c r="G189" s="5" t="n">
        <v>1</v>
      </c>
      <c r="H189" s="5" t="n">
        <v>0</v>
      </c>
      <c r="I189" s="5" t="n">
        <v>0</v>
      </c>
      <c r="J189" s="5" t="n">
        <v>681855.56</v>
      </c>
    </row>
    <row r="190" customFormat="false" ht="15" hidden="false" customHeight="true" outlineLevel="0" collapsed="false">
      <c r="A190" s="5" t="s">
        <v>70</v>
      </c>
      <c r="B190" s="5" t="s">
        <v>22</v>
      </c>
      <c r="C190" s="5" t="s">
        <v>20</v>
      </c>
      <c r="D190" s="5" t="n">
        <v>0</v>
      </c>
      <c r="E190" s="5" t="n">
        <v>0</v>
      </c>
      <c r="F190" s="5" t="n">
        <v>0</v>
      </c>
      <c r="G190" s="5" t="n">
        <v>1</v>
      </c>
      <c r="H190" s="5" t="n">
        <v>0</v>
      </c>
      <c r="I190" s="5" t="n">
        <v>0</v>
      </c>
      <c r="J190" s="5" t="n">
        <v>678311.17</v>
      </c>
    </row>
    <row r="191" customFormat="false" ht="15" hidden="false" customHeight="true" outlineLevel="0" collapsed="false">
      <c r="A191" s="5" t="s">
        <v>70</v>
      </c>
      <c r="B191" s="5" t="s">
        <v>22</v>
      </c>
      <c r="C191" s="5" t="s">
        <v>20</v>
      </c>
      <c r="D191" s="5" t="n">
        <v>0</v>
      </c>
      <c r="E191" s="5" t="n">
        <v>0</v>
      </c>
      <c r="F191" s="5" t="n">
        <v>0</v>
      </c>
      <c r="G191" s="5" t="n">
        <v>1</v>
      </c>
      <c r="H191" s="5" t="n">
        <v>0</v>
      </c>
      <c r="I191" s="5" t="n">
        <v>0</v>
      </c>
      <c r="J191" s="5" t="n">
        <v>765906.95</v>
      </c>
    </row>
    <row r="192" customFormat="false" ht="15" hidden="false" customHeight="true" outlineLevel="0" collapsed="false">
      <c r="A192" s="5" t="s">
        <v>70</v>
      </c>
      <c r="B192" s="5" t="s">
        <v>22</v>
      </c>
      <c r="C192" s="5" t="s">
        <v>20</v>
      </c>
      <c r="D192" s="5" t="n">
        <v>0</v>
      </c>
      <c r="E192" s="5" t="n">
        <v>0</v>
      </c>
      <c r="F192" s="5" t="n">
        <v>0</v>
      </c>
      <c r="G192" s="5" t="n">
        <v>1</v>
      </c>
      <c r="H192" s="5" t="n">
        <v>0</v>
      </c>
      <c r="I192" s="5" t="n">
        <v>0</v>
      </c>
      <c r="J192" s="5" t="n">
        <v>712546.38</v>
      </c>
    </row>
    <row r="193" customFormat="false" ht="15" hidden="false" customHeight="true" outlineLevel="0" collapsed="false">
      <c r="A193" s="5" t="s">
        <v>71</v>
      </c>
      <c r="B193" s="5" t="s">
        <v>17</v>
      </c>
      <c r="C193" s="5" t="s">
        <v>20</v>
      </c>
      <c r="D193" s="5" t="n">
        <v>0</v>
      </c>
      <c r="E193" s="5" t="n">
        <v>0</v>
      </c>
      <c r="F193" s="5" t="n">
        <v>0</v>
      </c>
      <c r="G193" s="5" t="n">
        <v>0</v>
      </c>
      <c r="H193" s="5" t="n">
        <v>0</v>
      </c>
      <c r="I193" s="5" t="n">
        <v>0</v>
      </c>
      <c r="J193" s="5" t="n">
        <v>625993.83</v>
      </c>
    </row>
    <row r="194" customFormat="false" ht="15" hidden="false" customHeight="true" outlineLevel="0" collapsed="false">
      <c r="A194" s="5" t="s">
        <v>71</v>
      </c>
      <c r="B194" s="5" t="s">
        <v>17</v>
      </c>
      <c r="C194" s="5" t="s">
        <v>20</v>
      </c>
      <c r="D194" s="5" t="n">
        <v>0</v>
      </c>
      <c r="E194" s="5" t="n">
        <v>0</v>
      </c>
      <c r="F194" s="5" t="n">
        <v>0</v>
      </c>
      <c r="G194" s="5" t="n">
        <v>0</v>
      </c>
      <c r="H194" s="5" t="n">
        <v>0</v>
      </c>
      <c r="I194" s="5" t="n">
        <v>0</v>
      </c>
      <c r="J194" s="5" t="n">
        <v>550962.93</v>
      </c>
    </row>
    <row r="195" customFormat="false" ht="15" hidden="false" customHeight="true" outlineLevel="0" collapsed="false">
      <c r="A195" s="5" t="s">
        <v>71</v>
      </c>
      <c r="B195" s="5" t="s">
        <v>17</v>
      </c>
      <c r="C195" s="5" t="s">
        <v>20</v>
      </c>
      <c r="D195" s="5" t="n">
        <v>0</v>
      </c>
      <c r="E195" s="5" t="n">
        <v>0</v>
      </c>
      <c r="F195" s="5" t="n">
        <v>0</v>
      </c>
      <c r="G195" s="5" t="n">
        <v>0</v>
      </c>
      <c r="H195" s="5" t="n">
        <v>0</v>
      </c>
      <c r="I195" s="5" t="n">
        <v>0</v>
      </c>
      <c r="J195" s="5" t="n">
        <v>443275.59</v>
      </c>
    </row>
    <row r="196" customFormat="false" ht="15" hidden="false" customHeight="true" outlineLevel="0" collapsed="false">
      <c r="A196" s="5" t="s">
        <v>71</v>
      </c>
      <c r="B196" s="5" t="s">
        <v>17</v>
      </c>
      <c r="C196" s="5" t="s">
        <v>20</v>
      </c>
      <c r="D196" s="5" t="n">
        <v>0</v>
      </c>
      <c r="E196" s="5" t="n">
        <v>0</v>
      </c>
      <c r="F196" s="5" t="n">
        <v>0</v>
      </c>
      <c r="G196" s="5" t="n">
        <v>0</v>
      </c>
      <c r="H196" s="5" t="n">
        <v>0</v>
      </c>
      <c r="I196" s="5" t="n">
        <v>0</v>
      </c>
      <c r="J196" s="5" t="n">
        <v>554012.07</v>
      </c>
    </row>
    <row r="197" customFormat="false" ht="15" hidden="false" customHeight="true" outlineLevel="0" collapsed="false">
      <c r="A197" s="5" t="s">
        <v>72</v>
      </c>
      <c r="B197" s="5" t="s">
        <v>29</v>
      </c>
      <c r="C197" s="5" t="s">
        <v>18</v>
      </c>
      <c r="D197" s="5" t="n">
        <v>0</v>
      </c>
      <c r="E197" s="5" t="n">
        <v>0</v>
      </c>
      <c r="F197" s="5" t="n">
        <v>1</v>
      </c>
      <c r="G197" s="5" t="n">
        <v>0</v>
      </c>
      <c r="H197" s="5" t="n">
        <v>0</v>
      </c>
      <c r="I197" s="5" t="n">
        <v>1</v>
      </c>
      <c r="J197" s="5" t="n">
        <v>643428.85</v>
      </c>
    </row>
    <row r="198" customFormat="false" ht="15" hidden="false" customHeight="true" outlineLevel="0" collapsed="false">
      <c r="A198" s="5" t="s">
        <v>72</v>
      </c>
      <c r="B198" s="5" t="s">
        <v>29</v>
      </c>
      <c r="C198" s="5" t="s">
        <v>18</v>
      </c>
      <c r="D198" s="5" t="n">
        <v>0</v>
      </c>
      <c r="E198" s="5" t="n">
        <v>0</v>
      </c>
      <c r="F198" s="5" t="n">
        <v>1</v>
      </c>
      <c r="G198" s="5" t="n">
        <v>0</v>
      </c>
      <c r="H198" s="5" t="n">
        <v>0</v>
      </c>
      <c r="I198" s="5" t="n">
        <v>1</v>
      </c>
      <c r="J198" s="5" t="n">
        <v>611924.27</v>
      </c>
    </row>
    <row r="199" customFormat="false" ht="15" hidden="false" customHeight="true" outlineLevel="0" collapsed="false">
      <c r="A199" s="5" t="s">
        <v>72</v>
      </c>
      <c r="B199" s="5" t="s">
        <v>29</v>
      </c>
      <c r="C199" s="5" t="s">
        <v>18</v>
      </c>
      <c r="D199" s="5" t="n">
        <v>0</v>
      </c>
      <c r="E199" s="5" t="n">
        <v>0</v>
      </c>
      <c r="F199" s="5" t="n">
        <v>1</v>
      </c>
      <c r="G199" s="5" t="n">
        <v>0</v>
      </c>
      <c r="H199" s="5" t="n">
        <v>0</v>
      </c>
      <c r="I199" s="5" t="n">
        <v>1</v>
      </c>
      <c r="J199" s="5" t="n">
        <v>559422.02</v>
      </c>
    </row>
    <row r="200" customFormat="false" ht="15" hidden="false" customHeight="true" outlineLevel="0" collapsed="false">
      <c r="A200" s="5" t="s">
        <v>72</v>
      </c>
      <c r="B200" s="5" t="s">
        <v>29</v>
      </c>
      <c r="C200" s="5" t="s">
        <v>18</v>
      </c>
      <c r="D200" s="5" t="n">
        <v>0</v>
      </c>
      <c r="E200" s="5" t="n">
        <v>0</v>
      </c>
      <c r="F200" s="5" t="n">
        <v>1</v>
      </c>
      <c r="G200" s="5" t="n">
        <v>0</v>
      </c>
      <c r="H200" s="5" t="n">
        <v>0</v>
      </c>
      <c r="I200" s="5" t="n">
        <v>1</v>
      </c>
      <c r="J200" s="5" t="n">
        <v>449465.06</v>
      </c>
    </row>
    <row r="201" customFormat="false" ht="15" hidden="false" customHeight="true" outlineLevel="0" collapsed="false">
      <c r="A201" s="5" t="s">
        <v>73</v>
      </c>
      <c r="B201" s="5" t="s">
        <v>22</v>
      </c>
      <c r="C201" s="5" t="s">
        <v>18</v>
      </c>
      <c r="D201" s="5" t="n">
        <v>0</v>
      </c>
      <c r="E201" s="5" t="n">
        <v>0</v>
      </c>
      <c r="F201" s="5" t="n">
        <v>1</v>
      </c>
      <c r="G201" s="5" t="n">
        <v>1</v>
      </c>
      <c r="H201" s="5" t="n">
        <v>0</v>
      </c>
      <c r="I201" s="5" t="n">
        <v>0</v>
      </c>
      <c r="J201" s="5" t="n">
        <v>691447.43</v>
      </c>
    </row>
    <row r="202" customFormat="false" ht="15" hidden="false" customHeight="true" outlineLevel="0" collapsed="false">
      <c r="A202" s="5" t="s">
        <v>73</v>
      </c>
      <c r="B202" s="5" t="s">
        <v>22</v>
      </c>
      <c r="C202" s="5" t="s">
        <v>18</v>
      </c>
      <c r="D202" s="5" t="n">
        <v>0</v>
      </c>
      <c r="E202" s="5" t="n">
        <v>0</v>
      </c>
      <c r="F202" s="5" t="n">
        <v>1</v>
      </c>
      <c r="G202" s="5" t="n">
        <v>1</v>
      </c>
      <c r="H202" s="5" t="n">
        <v>0</v>
      </c>
      <c r="I202" s="5" t="n">
        <v>0</v>
      </c>
      <c r="J202" s="5" t="n">
        <v>574066.61</v>
      </c>
    </row>
    <row r="203" customFormat="false" ht="15" hidden="false" customHeight="true" outlineLevel="0" collapsed="false">
      <c r="A203" s="5" t="s">
        <v>73</v>
      </c>
      <c r="B203" s="5" t="s">
        <v>22</v>
      </c>
      <c r="C203" s="5" t="s">
        <v>18</v>
      </c>
      <c r="D203" s="5" t="n">
        <v>0</v>
      </c>
      <c r="E203" s="5" t="n">
        <v>0</v>
      </c>
      <c r="F203" s="5" t="n">
        <v>1</v>
      </c>
      <c r="G203" s="5" t="n">
        <v>1</v>
      </c>
      <c r="H203" s="5" t="n">
        <v>0</v>
      </c>
      <c r="I203" s="5" t="n">
        <v>0</v>
      </c>
      <c r="J203" s="5" t="n">
        <v>578949.84</v>
      </c>
    </row>
    <row r="204" customFormat="false" ht="15" hidden="false" customHeight="true" outlineLevel="0" collapsed="false">
      <c r="A204" s="5" t="s">
        <v>73</v>
      </c>
      <c r="B204" s="5" t="s">
        <v>22</v>
      </c>
      <c r="C204" s="5" t="s">
        <v>18</v>
      </c>
      <c r="D204" s="5" t="n">
        <v>0</v>
      </c>
      <c r="E204" s="5" t="n">
        <v>0</v>
      </c>
      <c r="F204" s="5" t="n">
        <v>1</v>
      </c>
      <c r="G204" s="5" t="n">
        <v>1</v>
      </c>
      <c r="H204" s="5" t="n">
        <v>0</v>
      </c>
      <c r="I204" s="5" t="n">
        <v>0</v>
      </c>
      <c r="J204" s="5" t="n">
        <v>735786.64</v>
      </c>
    </row>
    <row r="205" customFormat="false" ht="15" hidden="false" customHeight="true" outlineLevel="0" collapsed="false">
      <c r="A205" s="5" t="s">
        <v>74</v>
      </c>
      <c r="B205" s="5" t="s">
        <v>17</v>
      </c>
      <c r="C205" s="5" t="s">
        <v>23</v>
      </c>
      <c r="D205" s="5" t="n">
        <v>1</v>
      </c>
      <c r="E205" s="5" t="n">
        <v>0</v>
      </c>
      <c r="F205" s="5" t="n">
        <v>0</v>
      </c>
      <c r="G205" s="5" t="n">
        <v>0</v>
      </c>
      <c r="H205" s="5" t="n">
        <v>0</v>
      </c>
      <c r="I205" s="5" t="n">
        <v>0</v>
      </c>
      <c r="J205" s="5" t="n">
        <v>598904.9</v>
      </c>
    </row>
    <row r="206" customFormat="false" ht="15" hidden="false" customHeight="true" outlineLevel="0" collapsed="false">
      <c r="A206" s="5" t="s">
        <v>74</v>
      </c>
      <c r="B206" s="5" t="s">
        <v>17</v>
      </c>
      <c r="C206" s="5" t="s">
        <v>23</v>
      </c>
      <c r="D206" s="5" t="n">
        <v>1</v>
      </c>
      <c r="E206" s="5" t="n">
        <v>0</v>
      </c>
      <c r="F206" s="5" t="n">
        <v>0</v>
      </c>
      <c r="G206" s="5" t="n">
        <v>0</v>
      </c>
      <c r="H206" s="5" t="n">
        <v>0</v>
      </c>
      <c r="I206" s="5" t="n">
        <v>0</v>
      </c>
      <c r="J206" s="5" t="n">
        <v>787715.51</v>
      </c>
    </row>
    <row r="207" customFormat="false" ht="15" hidden="false" customHeight="true" outlineLevel="0" collapsed="false">
      <c r="A207" s="5" t="s">
        <v>74</v>
      </c>
      <c r="B207" s="5" t="s">
        <v>17</v>
      </c>
      <c r="C207" s="5" t="s">
        <v>23</v>
      </c>
      <c r="D207" s="5" t="n">
        <v>1</v>
      </c>
      <c r="E207" s="5" t="n">
        <v>0</v>
      </c>
      <c r="F207" s="5" t="n">
        <v>0</v>
      </c>
      <c r="G207" s="5" t="n">
        <v>0</v>
      </c>
      <c r="H207" s="5" t="n">
        <v>0</v>
      </c>
      <c r="I207" s="5" t="n">
        <v>0</v>
      </c>
      <c r="J207" s="5" t="n">
        <v>607084.92</v>
      </c>
    </row>
    <row r="208" customFormat="false" ht="15" hidden="false" customHeight="true" outlineLevel="0" collapsed="false">
      <c r="A208" s="5" t="s">
        <v>74</v>
      </c>
      <c r="B208" s="5" t="s">
        <v>17</v>
      </c>
      <c r="C208" s="5" t="s">
        <v>23</v>
      </c>
      <c r="D208" s="5" t="n">
        <v>1</v>
      </c>
      <c r="E208" s="5" t="n">
        <v>0</v>
      </c>
      <c r="F208" s="5" t="n">
        <v>0</v>
      </c>
      <c r="G208" s="5" t="n">
        <v>0</v>
      </c>
      <c r="H208" s="5" t="n">
        <v>0</v>
      </c>
      <c r="I208" s="5" t="n">
        <v>0</v>
      </c>
      <c r="J208" s="5" t="n">
        <v>650795.49</v>
      </c>
    </row>
    <row r="209" customFormat="false" ht="15" hidden="false" customHeight="true" outlineLevel="0" collapsed="false">
      <c r="A209" s="5" t="s">
        <v>75</v>
      </c>
      <c r="B209" s="5" t="s">
        <v>17</v>
      </c>
      <c r="C209" s="5" t="s">
        <v>30</v>
      </c>
      <c r="D209" s="5" t="n">
        <v>0</v>
      </c>
      <c r="E209" s="5" t="n">
        <v>1</v>
      </c>
      <c r="F209" s="5" t="n">
        <v>0</v>
      </c>
      <c r="G209" s="5" t="n">
        <v>0</v>
      </c>
      <c r="H209" s="5" t="n">
        <v>0</v>
      </c>
      <c r="I209" s="5" t="n">
        <v>0</v>
      </c>
      <c r="J209" s="5" t="n">
        <v>825060.52</v>
      </c>
    </row>
    <row r="210" customFormat="false" ht="15" hidden="false" customHeight="true" outlineLevel="0" collapsed="false">
      <c r="A210" s="5" t="s">
        <v>75</v>
      </c>
      <c r="B210" s="5" t="s">
        <v>17</v>
      </c>
      <c r="C210" s="5" t="s">
        <v>30</v>
      </c>
      <c r="D210" s="5" t="n">
        <v>0</v>
      </c>
      <c r="E210" s="5" t="n">
        <v>1</v>
      </c>
      <c r="F210" s="5" t="n">
        <v>0</v>
      </c>
      <c r="G210" s="5" t="n">
        <v>0</v>
      </c>
      <c r="H210" s="5" t="n">
        <v>0</v>
      </c>
      <c r="I210" s="5" t="n">
        <v>0</v>
      </c>
      <c r="J210" s="5" t="n">
        <v>795464.47</v>
      </c>
    </row>
    <row r="211" customFormat="false" ht="15" hidden="false" customHeight="true" outlineLevel="0" collapsed="false">
      <c r="A211" s="5" t="s">
        <v>75</v>
      </c>
      <c r="B211" s="5" t="s">
        <v>17</v>
      </c>
      <c r="C211" s="5" t="s">
        <v>30</v>
      </c>
      <c r="D211" s="5" t="n">
        <v>0</v>
      </c>
      <c r="E211" s="5" t="n">
        <v>1</v>
      </c>
      <c r="F211" s="5" t="n">
        <v>0</v>
      </c>
      <c r="G211" s="5" t="n">
        <v>0</v>
      </c>
      <c r="H211" s="5" t="n">
        <v>0</v>
      </c>
      <c r="I211" s="5" t="n">
        <v>0</v>
      </c>
      <c r="J211" s="5" t="n">
        <v>671868.59</v>
      </c>
    </row>
    <row r="212" customFormat="false" ht="15" hidden="false" customHeight="true" outlineLevel="0" collapsed="false">
      <c r="A212" s="5" t="s">
        <v>75</v>
      </c>
      <c r="B212" s="5" t="s">
        <v>17</v>
      </c>
      <c r="C212" s="5" t="s">
        <v>30</v>
      </c>
      <c r="D212" s="5" t="n">
        <v>0</v>
      </c>
      <c r="E212" s="5" t="n">
        <v>1</v>
      </c>
      <c r="F212" s="5" t="n">
        <v>0</v>
      </c>
      <c r="G212" s="5" t="n">
        <v>0</v>
      </c>
      <c r="H212" s="5" t="n">
        <v>0</v>
      </c>
      <c r="I212" s="5" t="n">
        <v>0</v>
      </c>
      <c r="J212" s="5" t="n">
        <v>675917.63</v>
      </c>
    </row>
    <row r="213" customFormat="false" ht="15" hidden="false" customHeight="true" outlineLevel="0" collapsed="false">
      <c r="A213" s="5" t="s">
        <v>76</v>
      </c>
      <c r="B213" s="5" t="s">
        <v>17</v>
      </c>
      <c r="C213" s="5" t="s">
        <v>20</v>
      </c>
      <c r="D213" s="5" t="n">
        <v>0</v>
      </c>
      <c r="E213" s="5" t="n">
        <v>0</v>
      </c>
      <c r="F213" s="5" t="n">
        <v>0</v>
      </c>
      <c r="G213" s="5" t="n">
        <v>0</v>
      </c>
      <c r="H213" s="5" t="n">
        <v>0</v>
      </c>
      <c r="I213" s="5" t="n">
        <v>0</v>
      </c>
      <c r="J213" s="5" t="n">
        <v>810446.53</v>
      </c>
    </row>
    <row r="214" customFormat="false" ht="15" hidden="false" customHeight="true" outlineLevel="0" collapsed="false">
      <c r="A214" s="5" t="s">
        <v>76</v>
      </c>
      <c r="B214" s="5" t="s">
        <v>17</v>
      </c>
      <c r="C214" s="5" t="s">
        <v>20</v>
      </c>
      <c r="D214" s="5" t="n">
        <v>0</v>
      </c>
      <c r="E214" s="5" t="n">
        <v>0</v>
      </c>
      <c r="F214" s="5" t="n">
        <v>0</v>
      </c>
      <c r="G214" s="5" t="n">
        <v>0</v>
      </c>
      <c r="H214" s="5" t="n">
        <v>0</v>
      </c>
      <c r="I214" s="5" t="n">
        <v>0</v>
      </c>
      <c r="J214" s="5" t="n">
        <v>691288.19</v>
      </c>
    </row>
    <row r="215" customFormat="false" ht="15" hidden="false" customHeight="true" outlineLevel="0" collapsed="false">
      <c r="A215" s="5" t="s">
        <v>76</v>
      </c>
      <c r="B215" s="5" t="s">
        <v>17</v>
      </c>
      <c r="C215" s="5" t="s">
        <v>20</v>
      </c>
      <c r="D215" s="5" t="n">
        <v>0</v>
      </c>
      <c r="E215" s="5" t="n">
        <v>0</v>
      </c>
      <c r="F215" s="5" t="n">
        <v>0</v>
      </c>
      <c r="G215" s="5" t="n">
        <v>0</v>
      </c>
      <c r="H215" s="5" t="n">
        <v>0</v>
      </c>
      <c r="I215" s="5" t="n">
        <v>0</v>
      </c>
      <c r="J215" s="5" t="n">
        <v>946833.54</v>
      </c>
    </row>
    <row r="216" customFormat="false" ht="15" hidden="false" customHeight="true" outlineLevel="0" collapsed="false">
      <c r="A216" s="5" t="s">
        <v>76</v>
      </c>
      <c r="B216" s="5" t="s">
        <v>17</v>
      </c>
      <c r="C216" s="5" t="s">
        <v>20</v>
      </c>
      <c r="D216" s="5" t="n">
        <v>0</v>
      </c>
      <c r="E216" s="5" t="n">
        <v>0</v>
      </c>
      <c r="F216" s="5" t="n">
        <v>0</v>
      </c>
      <c r="G216" s="5" t="n">
        <v>0</v>
      </c>
      <c r="H216" s="5" t="n">
        <v>0</v>
      </c>
      <c r="I216" s="5" t="n">
        <v>0</v>
      </c>
      <c r="J216" s="5" t="n">
        <v>761963.23</v>
      </c>
    </row>
    <row r="217" customFormat="false" ht="15" hidden="false" customHeight="true" outlineLevel="0" collapsed="false">
      <c r="A217" s="5" t="s">
        <v>77</v>
      </c>
      <c r="B217" s="5" t="s">
        <v>29</v>
      </c>
      <c r="C217" s="5" t="s">
        <v>18</v>
      </c>
      <c r="D217" s="5" t="n">
        <v>0</v>
      </c>
      <c r="E217" s="5" t="n">
        <v>0</v>
      </c>
      <c r="F217" s="5" t="n">
        <v>1</v>
      </c>
      <c r="G217" s="5" t="n">
        <v>0</v>
      </c>
      <c r="H217" s="5" t="n">
        <v>0</v>
      </c>
      <c r="I217" s="5" t="n">
        <v>1</v>
      </c>
      <c r="J217" s="5" t="n">
        <v>812152.6</v>
      </c>
    </row>
    <row r="218" customFormat="false" ht="15" hidden="false" customHeight="true" outlineLevel="0" collapsed="false">
      <c r="A218" s="5" t="s">
        <v>77</v>
      </c>
      <c r="B218" s="5" t="s">
        <v>29</v>
      </c>
      <c r="C218" s="5" t="s">
        <v>18</v>
      </c>
      <c r="D218" s="5" t="n">
        <v>0</v>
      </c>
      <c r="E218" s="5" t="n">
        <v>0</v>
      </c>
      <c r="F218" s="5" t="n">
        <v>1</v>
      </c>
      <c r="G218" s="5" t="n">
        <v>0</v>
      </c>
      <c r="H218" s="5" t="n">
        <v>0</v>
      </c>
      <c r="I218" s="5" t="n">
        <v>1</v>
      </c>
      <c r="J218" s="5" t="n">
        <v>804975.5</v>
      </c>
    </row>
    <row r="219" customFormat="false" ht="15" hidden="false" customHeight="true" outlineLevel="0" collapsed="false">
      <c r="A219" s="5" t="s">
        <v>77</v>
      </c>
      <c r="B219" s="5" t="s">
        <v>29</v>
      </c>
      <c r="C219" s="5" t="s">
        <v>18</v>
      </c>
      <c r="D219" s="5" t="n">
        <v>0</v>
      </c>
      <c r="E219" s="5" t="n">
        <v>0</v>
      </c>
      <c r="F219" s="5" t="n">
        <v>1</v>
      </c>
      <c r="G219" s="5" t="n">
        <v>0</v>
      </c>
      <c r="H219" s="5" t="n">
        <v>0</v>
      </c>
      <c r="I219" s="5" t="n">
        <v>1</v>
      </c>
      <c r="J219" s="5" t="n">
        <v>752321.72</v>
      </c>
    </row>
    <row r="220" customFormat="false" ht="15" hidden="false" customHeight="true" outlineLevel="0" collapsed="false">
      <c r="A220" s="5" t="s">
        <v>77</v>
      </c>
      <c r="B220" s="5" t="s">
        <v>29</v>
      </c>
      <c r="C220" s="5" t="s">
        <v>18</v>
      </c>
      <c r="D220" s="5" t="n">
        <v>0</v>
      </c>
      <c r="E220" s="5" t="n">
        <v>0</v>
      </c>
      <c r="F220" s="5" t="n">
        <v>1</v>
      </c>
      <c r="G220" s="5" t="n">
        <v>0</v>
      </c>
      <c r="H220" s="5" t="n">
        <v>0</v>
      </c>
      <c r="I220" s="5" t="n">
        <v>1</v>
      </c>
      <c r="J220" s="5" t="n">
        <v>836908.24</v>
      </c>
    </row>
    <row r="221" customFormat="false" ht="15" hidden="false" customHeight="true" outlineLevel="0" collapsed="false">
      <c r="A221" s="5" t="s">
        <v>78</v>
      </c>
      <c r="B221" s="5" t="s">
        <v>22</v>
      </c>
      <c r="C221" s="5" t="s">
        <v>23</v>
      </c>
      <c r="D221" s="5" t="n">
        <v>1</v>
      </c>
      <c r="E221" s="5" t="n">
        <v>0</v>
      </c>
      <c r="F221" s="5" t="n">
        <v>0</v>
      </c>
      <c r="G221" s="5" t="n">
        <v>1</v>
      </c>
      <c r="H221" s="5" t="n">
        <v>0</v>
      </c>
      <c r="I221" s="5" t="n">
        <v>0</v>
      </c>
      <c r="J221" s="5" t="n">
        <v>674289.1</v>
      </c>
    </row>
    <row r="222" customFormat="false" ht="15" hidden="false" customHeight="true" outlineLevel="0" collapsed="false">
      <c r="A222" s="5" t="s">
        <v>78</v>
      </c>
      <c r="B222" s="5" t="s">
        <v>22</v>
      </c>
      <c r="C222" s="5" t="s">
        <v>23</v>
      </c>
      <c r="D222" s="5" t="n">
        <v>1</v>
      </c>
      <c r="E222" s="5" t="n">
        <v>0</v>
      </c>
      <c r="F222" s="5" t="n">
        <v>0</v>
      </c>
      <c r="G222" s="5" t="n">
        <v>1</v>
      </c>
      <c r="H222" s="5" t="n">
        <v>0</v>
      </c>
      <c r="I222" s="5" t="n">
        <v>0</v>
      </c>
      <c r="J222" s="5" t="n">
        <v>622892.42</v>
      </c>
    </row>
    <row r="223" customFormat="false" ht="15" hidden="false" customHeight="true" outlineLevel="0" collapsed="false">
      <c r="A223" s="5" t="s">
        <v>78</v>
      </c>
      <c r="B223" s="5" t="s">
        <v>22</v>
      </c>
      <c r="C223" s="5" t="s">
        <v>23</v>
      </c>
      <c r="D223" s="5" t="n">
        <v>1</v>
      </c>
      <c r="E223" s="5" t="n">
        <v>0</v>
      </c>
      <c r="F223" s="5" t="n">
        <v>0</v>
      </c>
      <c r="G223" s="5" t="n">
        <v>1</v>
      </c>
      <c r="H223" s="5" t="n">
        <v>0</v>
      </c>
      <c r="I223" s="5" t="n">
        <v>0</v>
      </c>
      <c r="J223" s="5" t="n">
        <v>673348.56</v>
      </c>
    </row>
    <row r="224" customFormat="false" ht="15" hidden="false" customHeight="true" outlineLevel="0" collapsed="false">
      <c r="A224" s="5" t="s">
        <v>78</v>
      </c>
      <c r="B224" s="5" t="s">
        <v>22</v>
      </c>
      <c r="C224" s="5" t="s">
        <v>23</v>
      </c>
      <c r="D224" s="5" t="n">
        <v>1</v>
      </c>
      <c r="E224" s="5" t="n">
        <v>0</v>
      </c>
      <c r="F224" s="5" t="n">
        <v>0</v>
      </c>
      <c r="G224" s="5" t="n">
        <v>1</v>
      </c>
      <c r="H224" s="5" t="n">
        <v>0</v>
      </c>
      <c r="I224" s="5" t="n">
        <v>0</v>
      </c>
      <c r="J224" s="5" t="n">
        <v>606278.3</v>
      </c>
    </row>
    <row r="225" customFormat="false" ht="15" hidden="false" customHeight="true" outlineLevel="0" collapsed="false">
      <c r="A225" s="5" t="s">
        <v>79</v>
      </c>
      <c r="B225" s="5" t="s">
        <v>17</v>
      </c>
      <c r="C225" s="5" t="s">
        <v>20</v>
      </c>
      <c r="D225" s="5" t="n">
        <v>0</v>
      </c>
      <c r="E225" s="5" t="n">
        <v>0</v>
      </c>
      <c r="F225" s="5" t="n">
        <v>0</v>
      </c>
      <c r="G225" s="5" t="n">
        <v>0</v>
      </c>
      <c r="H225" s="5" t="n">
        <v>0</v>
      </c>
      <c r="I225" s="5" t="n">
        <v>0</v>
      </c>
      <c r="J225" s="5" t="n">
        <v>712219.81</v>
      </c>
    </row>
    <row r="226" customFormat="false" ht="15" hidden="false" customHeight="true" outlineLevel="0" collapsed="false">
      <c r="A226" s="5" t="s">
        <v>79</v>
      </c>
      <c r="B226" s="5" t="s">
        <v>17</v>
      </c>
      <c r="C226" s="5" t="s">
        <v>20</v>
      </c>
      <c r="D226" s="5" t="n">
        <v>0</v>
      </c>
      <c r="E226" s="5" t="n">
        <v>0</v>
      </c>
      <c r="F226" s="5" t="n">
        <v>0</v>
      </c>
      <c r="G226" s="5" t="n">
        <v>0</v>
      </c>
      <c r="H226" s="5" t="n">
        <v>0</v>
      </c>
      <c r="I226" s="5" t="n">
        <v>0</v>
      </c>
      <c r="J226" s="5" t="n">
        <v>672670.54</v>
      </c>
    </row>
    <row r="227" customFormat="false" ht="15" hidden="false" customHeight="true" outlineLevel="0" collapsed="false">
      <c r="A227" s="5" t="s">
        <v>79</v>
      </c>
      <c r="B227" s="5" t="s">
        <v>17</v>
      </c>
      <c r="C227" s="5" t="s">
        <v>20</v>
      </c>
      <c r="D227" s="5" t="n">
        <v>0</v>
      </c>
      <c r="E227" s="5" t="n">
        <v>0</v>
      </c>
      <c r="F227" s="5" t="n">
        <v>0</v>
      </c>
      <c r="G227" s="5" t="n">
        <v>0</v>
      </c>
      <c r="H227" s="5" t="n">
        <v>0</v>
      </c>
      <c r="I227" s="5" t="n">
        <v>0</v>
      </c>
      <c r="J227" s="5" t="n">
        <v>732667.92</v>
      </c>
    </row>
    <row r="228" customFormat="false" ht="15" hidden="false" customHeight="true" outlineLevel="0" collapsed="false">
      <c r="A228" s="5" t="s">
        <v>79</v>
      </c>
      <c r="B228" s="5" t="s">
        <v>17</v>
      </c>
      <c r="C228" s="5" t="s">
        <v>20</v>
      </c>
      <c r="D228" s="5" t="n">
        <v>0</v>
      </c>
      <c r="E228" s="5" t="n">
        <v>0</v>
      </c>
      <c r="F228" s="5" t="n">
        <v>0</v>
      </c>
      <c r="G228" s="5" t="n">
        <v>0</v>
      </c>
      <c r="H228" s="5" t="n">
        <v>0</v>
      </c>
      <c r="I228" s="5" t="n">
        <v>0</v>
      </c>
      <c r="J228" s="5" t="n">
        <v>723531.4</v>
      </c>
    </row>
    <row r="229" customFormat="false" ht="15" hidden="false" customHeight="true" outlineLevel="0" collapsed="false">
      <c r="A229" s="5" t="s">
        <v>80</v>
      </c>
      <c r="B229" s="5" t="s">
        <v>17</v>
      </c>
      <c r="C229" s="5" t="s">
        <v>30</v>
      </c>
      <c r="D229" s="5" t="n">
        <v>0</v>
      </c>
      <c r="E229" s="5" t="n">
        <v>1</v>
      </c>
      <c r="F229" s="5" t="n">
        <v>0</v>
      </c>
      <c r="G229" s="5" t="n">
        <v>0</v>
      </c>
      <c r="H229" s="5" t="n">
        <v>0</v>
      </c>
      <c r="I229" s="5" t="n">
        <v>0</v>
      </c>
      <c r="J229" s="5" t="n">
        <v>641564.6</v>
      </c>
    </row>
    <row r="230" customFormat="false" ht="15" hidden="false" customHeight="true" outlineLevel="0" collapsed="false">
      <c r="A230" s="5" t="s">
        <v>80</v>
      </c>
      <c r="B230" s="5" t="s">
        <v>17</v>
      </c>
      <c r="C230" s="5" t="s">
        <v>30</v>
      </c>
      <c r="D230" s="5" t="n">
        <v>0</v>
      </c>
      <c r="E230" s="5" t="n">
        <v>1</v>
      </c>
      <c r="F230" s="5" t="n">
        <v>0</v>
      </c>
      <c r="G230" s="5" t="n">
        <v>0</v>
      </c>
      <c r="H230" s="5" t="n">
        <v>0</v>
      </c>
      <c r="I230" s="5" t="n">
        <v>0</v>
      </c>
      <c r="J230" s="5" t="n">
        <v>536545.49</v>
      </c>
    </row>
    <row r="231" customFormat="false" ht="15" hidden="false" customHeight="true" outlineLevel="0" collapsed="false">
      <c r="A231" s="5" t="s">
        <v>80</v>
      </c>
      <c r="B231" s="5" t="s">
        <v>17</v>
      </c>
      <c r="C231" s="5" t="s">
        <v>30</v>
      </c>
      <c r="D231" s="5" t="n">
        <v>0</v>
      </c>
      <c r="E231" s="5" t="n">
        <v>1</v>
      </c>
      <c r="F231" s="5" t="n">
        <v>0</v>
      </c>
      <c r="G231" s="5" t="n">
        <v>0</v>
      </c>
      <c r="H231" s="5" t="n">
        <v>0</v>
      </c>
      <c r="I231" s="5" t="n">
        <v>0</v>
      </c>
      <c r="J231" s="5" t="n">
        <v>527681.56</v>
      </c>
    </row>
    <row r="232" customFormat="false" ht="15" hidden="false" customHeight="true" outlineLevel="0" collapsed="false">
      <c r="A232" s="5" t="s">
        <v>80</v>
      </c>
      <c r="B232" s="5" t="s">
        <v>17</v>
      </c>
      <c r="C232" s="5" t="s">
        <v>30</v>
      </c>
      <c r="D232" s="5" t="n">
        <v>0</v>
      </c>
      <c r="E232" s="5" t="n">
        <v>1</v>
      </c>
      <c r="F232" s="5" t="n">
        <v>0</v>
      </c>
      <c r="G232" s="5" t="n">
        <v>0</v>
      </c>
      <c r="H232" s="5" t="n">
        <v>0</v>
      </c>
      <c r="I232" s="5" t="n">
        <v>0</v>
      </c>
      <c r="J232" s="5" t="n">
        <v>529598.94</v>
      </c>
    </row>
    <row r="233" customFormat="false" ht="15" hidden="false" customHeight="true" outlineLevel="0" collapsed="false">
      <c r="A233" s="5" t="s">
        <v>81</v>
      </c>
      <c r="B233" s="5" t="s">
        <v>17</v>
      </c>
      <c r="C233" s="5" t="s">
        <v>20</v>
      </c>
      <c r="D233" s="5" t="n">
        <v>0</v>
      </c>
      <c r="E233" s="5" t="n">
        <v>0</v>
      </c>
      <c r="F233" s="5" t="n">
        <v>0</v>
      </c>
      <c r="G233" s="5" t="n">
        <v>0</v>
      </c>
      <c r="H233" s="5" t="n">
        <v>0</v>
      </c>
      <c r="I233" s="5" t="n">
        <v>0</v>
      </c>
      <c r="J233" s="5" t="n">
        <v>570963.31</v>
      </c>
    </row>
    <row r="234" customFormat="false" ht="15" hidden="false" customHeight="true" outlineLevel="0" collapsed="false">
      <c r="A234" s="5" t="s">
        <v>81</v>
      </c>
      <c r="B234" s="5" t="s">
        <v>17</v>
      </c>
      <c r="C234" s="5" t="s">
        <v>20</v>
      </c>
      <c r="D234" s="5" t="n">
        <v>0</v>
      </c>
      <c r="E234" s="5" t="n">
        <v>0</v>
      </c>
      <c r="F234" s="5" t="n">
        <v>0</v>
      </c>
      <c r="G234" s="5" t="n">
        <v>0</v>
      </c>
      <c r="H234" s="5" t="n">
        <v>0</v>
      </c>
      <c r="I234" s="5" t="n">
        <v>0</v>
      </c>
      <c r="J234" s="5" t="n">
        <v>870937.4</v>
      </c>
    </row>
    <row r="235" customFormat="false" ht="15" hidden="false" customHeight="true" outlineLevel="0" collapsed="false">
      <c r="A235" s="5" t="s">
        <v>81</v>
      </c>
      <c r="B235" s="5" t="s">
        <v>17</v>
      </c>
      <c r="C235" s="5" t="s">
        <v>20</v>
      </c>
      <c r="D235" s="5" t="n">
        <v>0</v>
      </c>
      <c r="E235" s="5" t="n">
        <v>0</v>
      </c>
      <c r="F235" s="5" t="n">
        <v>0</v>
      </c>
      <c r="G235" s="5" t="n">
        <v>0</v>
      </c>
      <c r="H235" s="5" t="n">
        <v>0</v>
      </c>
      <c r="I235" s="5" t="n">
        <v>0</v>
      </c>
      <c r="J235" s="5" t="n">
        <v>596969.27</v>
      </c>
    </row>
    <row r="236" customFormat="false" ht="15" hidden="false" customHeight="true" outlineLevel="0" collapsed="false">
      <c r="A236" s="5" t="s">
        <v>81</v>
      </c>
      <c r="B236" s="5" t="s">
        <v>17</v>
      </c>
      <c r="C236" s="5" t="s">
        <v>20</v>
      </c>
      <c r="D236" s="5" t="n">
        <v>0</v>
      </c>
      <c r="E236" s="5" t="n">
        <v>0</v>
      </c>
      <c r="F236" s="5" t="n">
        <v>0</v>
      </c>
      <c r="G236" s="5" t="n">
        <v>0</v>
      </c>
      <c r="H236" s="5" t="n">
        <v>0</v>
      </c>
      <c r="I236" s="5" t="n">
        <v>0</v>
      </c>
      <c r="J236" s="5" t="n">
        <v>647512.85</v>
      </c>
    </row>
    <row r="237" customFormat="false" ht="15" hidden="false" customHeight="true" outlineLevel="0" collapsed="false">
      <c r="A237" s="5" t="s">
        <v>82</v>
      </c>
      <c r="B237" s="5" t="s">
        <v>29</v>
      </c>
      <c r="C237" s="5" t="s">
        <v>18</v>
      </c>
      <c r="D237" s="5" t="n">
        <v>0</v>
      </c>
      <c r="E237" s="5" t="n">
        <v>0</v>
      </c>
      <c r="F237" s="5" t="n">
        <v>1</v>
      </c>
      <c r="G237" s="5" t="n">
        <v>0</v>
      </c>
      <c r="H237" s="5" t="n">
        <v>0</v>
      </c>
      <c r="I237" s="5" t="n">
        <v>1</v>
      </c>
      <c r="J237" s="5" t="n">
        <v>658072.14</v>
      </c>
    </row>
    <row r="238" customFormat="false" ht="15" hidden="false" customHeight="true" outlineLevel="0" collapsed="false">
      <c r="A238" s="5" t="s">
        <v>82</v>
      </c>
      <c r="B238" s="5" t="s">
        <v>29</v>
      </c>
      <c r="C238" s="5" t="s">
        <v>18</v>
      </c>
      <c r="D238" s="5" t="n">
        <v>0</v>
      </c>
      <c r="E238" s="5" t="n">
        <v>0</v>
      </c>
      <c r="F238" s="5" t="n">
        <v>1</v>
      </c>
      <c r="G238" s="5" t="n">
        <v>0</v>
      </c>
      <c r="H238" s="5" t="n">
        <v>0</v>
      </c>
      <c r="I238" s="5" t="n">
        <v>1</v>
      </c>
      <c r="J238" s="5" t="n">
        <v>723305.11</v>
      </c>
    </row>
    <row r="239" customFormat="false" ht="15" hidden="false" customHeight="true" outlineLevel="0" collapsed="false">
      <c r="A239" s="5" t="s">
        <v>82</v>
      </c>
      <c r="B239" s="5" t="s">
        <v>29</v>
      </c>
      <c r="C239" s="5" t="s">
        <v>18</v>
      </c>
      <c r="D239" s="5" t="n">
        <v>0</v>
      </c>
      <c r="E239" s="5" t="n">
        <v>0</v>
      </c>
      <c r="F239" s="5" t="n">
        <v>1</v>
      </c>
      <c r="G239" s="5" t="n">
        <v>0</v>
      </c>
      <c r="H239" s="5" t="n">
        <v>0</v>
      </c>
      <c r="I239" s="5" t="n">
        <v>1</v>
      </c>
      <c r="J239" s="5" t="n">
        <v>640666.53</v>
      </c>
    </row>
    <row r="240" customFormat="false" ht="15" hidden="false" customHeight="true" outlineLevel="0" collapsed="false">
      <c r="A240" s="5" t="s">
        <v>82</v>
      </c>
      <c r="B240" s="5" t="s">
        <v>29</v>
      </c>
      <c r="C240" s="5" t="s">
        <v>18</v>
      </c>
      <c r="D240" s="5" t="n">
        <v>0</v>
      </c>
      <c r="E240" s="5" t="n">
        <v>0</v>
      </c>
      <c r="F240" s="5" t="n">
        <v>1</v>
      </c>
      <c r="G240" s="5" t="n">
        <v>0</v>
      </c>
      <c r="H240" s="5" t="n">
        <v>0</v>
      </c>
      <c r="I240" s="5" t="n">
        <v>1</v>
      </c>
      <c r="J240" s="5" t="n">
        <v>670629.48</v>
      </c>
    </row>
    <row r="241" customFormat="false" ht="15" hidden="false" customHeight="true" outlineLevel="0" collapsed="false">
      <c r="A241" s="5" t="s">
        <v>83</v>
      </c>
      <c r="B241" s="5" t="s">
        <v>29</v>
      </c>
      <c r="C241" s="5" t="s">
        <v>30</v>
      </c>
      <c r="D241" s="5" t="n">
        <v>0</v>
      </c>
      <c r="E241" s="5" t="n">
        <v>1</v>
      </c>
      <c r="F241" s="5" t="n">
        <v>0</v>
      </c>
      <c r="G241" s="5" t="n">
        <v>0</v>
      </c>
      <c r="H241" s="5" t="n">
        <v>0</v>
      </c>
      <c r="I241" s="5" t="n">
        <v>1</v>
      </c>
      <c r="J241" s="5" t="n">
        <v>721079.35</v>
      </c>
    </row>
    <row r="242" customFormat="false" ht="15" hidden="false" customHeight="true" outlineLevel="0" collapsed="false">
      <c r="A242" s="5" t="s">
        <v>83</v>
      </c>
      <c r="B242" s="5" t="s">
        <v>29</v>
      </c>
      <c r="C242" s="5" t="s">
        <v>30</v>
      </c>
      <c r="D242" s="5" t="n">
        <v>0</v>
      </c>
      <c r="E242" s="5" t="n">
        <v>1</v>
      </c>
      <c r="F242" s="5" t="n">
        <v>0</v>
      </c>
      <c r="G242" s="5" t="n">
        <v>0</v>
      </c>
      <c r="H242" s="5" t="n">
        <v>0</v>
      </c>
      <c r="I242" s="5" t="n">
        <v>1</v>
      </c>
      <c r="J242" s="5" t="n">
        <v>810355.02</v>
      </c>
    </row>
    <row r="243" customFormat="false" ht="15" hidden="false" customHeight="true" outlineLevel="0" collapsed="false">
      <c r="A243" s="5" t="s">
        <v>83</v>
      </c>
      <c r="B243" s="5" t="s">
        <v>29</v>
      </c>
      <c r="C243" s="5" t="s">
        <v>30</v>
      </c>
      <c r="D243" s="5" t="n">
        <v>0</v>
      </c>
      <c r="E243" s="5" t="n">
        <v>1</v>
      </c>
      <c r="F243" s="5" t="n">
        <v>0</v>
      </c>
      <c r="G243" s="5" t="n">
        <v>0</v>
      </c>
      <c r="H243" s="5" t="n">
        <v>0</v>
      </c>
      <c r="I243" s="5" t="n">
        <v>1</v>
      </c>
      <c r="J243" s="5" t="n">
        <v>761919.25</v>
      </c>
    </row>
    <row r="244" customFormat="false" ht="15" hidden="false" customHeight="true" outlineLevel="0" collapsed="false">
      <c r="A244" s="5" t="s">
        <v>83</v>
      </c>
      <c r="B244" s="5" t="s">
        <v>29</v>
      </c>
      <c r="C244" s="5" t="s">
        <v>30</v>
      </c>
      <c r="D244" s="5" t="n">
        <v>0</v>
      </c>
      <c r="E244" s="5" t="n">
        <v>1</v>
      </c>
      <c r="F244" s="5" t="n">
        <v>0</v>
      </c>
      <c r="G244" s="5" t="n">
        <v>0</v>
      </c>
      <c r="H244" s="5" t="n">
        <v>0</v>
      </c>
      <c r="I244" s="5" t="n">
        <v>1</v>
      </c>
      <c r="J244" s="5" t="n">
        <v>737070.18</v>
      </c>
    </row>
    <row r="245" customFormat="false" ht="15" hidden="false" customHeight="true" outlineLevel="0" collapsed="false">
      <c r="A245" s="5" t="s">
        <v>84</v>
      </c>
      <c r="B245" s="5" t="s">
        <v>26</v>
      </c>
      <c r="C245" s="5" t="s">
        <v>23</v>
      </c>
      <c r="D245" s="5" t="n">
        <v>1</v>
      </c>
      <c r="E245" s="5" t="n">
        <v>0</v>
      </c>
      <c r="F245" s="5" t="n">
        <v>0</v>
      </c>
      <c r="G245" s="5" t="n">
        <v>0</v>
      </c>
      <c r="H245" s="5" t="n">
        <v>1</v>
      </c>
      <c r="I245" s="5" t="n">
        <v>0</v>
      </c>
      <c r="J245" s="5" t="n">
        <v>776992.93</v>
      </c>
    </row>
    <row r="246" customFormat="false" ht="15" hidden="false" customHeight="true" outlineLevel="0" collapsed="false">
      <c r="A246" s="5" t="s">
        <v>84</v>
      </c>
      <c r="B246" s="5" t="s">
        <v>26</v>
      </c>
      <c r="C246" s="5" t="s">
        <v>23</v>
      </c>
      <c r="D246" s="5" t="n">
        <v>1</v>
      </c>
      <c r="E246" s="5" t="n">
        <v>0</v>
      </c>
      <c r="F246" s="5" t="n">
        <v>0</v>
      </c>
      <c r="G246" s="5" t="n">
        <v>0</v>
      </c>
      <c r="H246" s="5" t="n">
        <v>1</v>
      </c>
      <c r="I246" s="5" t="n">
        <v>0</v>
      </c>
      <c r="J246" s="5" t="n">
        <v>676337.41</v>
      </c>
    </row>
    <row r="247" customFormat="false" ht="15" hidden="false" customHeight="true" outlineLevel="0" collapsed="false">
      <c r="A247" s="5" t="s">
        <v>84</v>
      </c>
      <c r="B247" s="5" t="s">
        <v>26</v>
      </c>
      <c r="C247" s="5" t="s">
        <v>23</v>
      </c>
      <c r="D247" s="5" t="n">
        <v>1</v>
      </c>
      <c r="E247" s="5" t="n">
        <v>0</v>
      </c>
      <c r="F247" s="5" t="n">
        <v>0</v>
      </c>
      <c r="G247" s="5" t="n">
        <v>0</v>
      </c>
      <c r="H247" s="5" t="n">
        <v>1</v>
      </c>
      <c r="I247" s="5" t="n">
        <v>0</v>
      </c>
      <c r="J247" s="5" t="n">
        <v>828219.67</v>
      </c>
    </row>
    <row r="248" customFormat="false" ht="15" hidden="false" customHeight="true" outlineLevel="0" collapsed="false">
      <c r="A248" s="5" t="s">
        <v>84</v>
      </c>
      <c r="B248" s="5" t="s">
        <v>26</v>
      </c>
      <c r="C248" s="5" t="s">
        <v>23</v>
      </c>
      <c r="D248" s="5" t="n">
        <v>1</v>
      </c>
      <c r="E248" s="5" t="n">
        <v>0</v>
      </c>
      <c r="F248" s="5" t="n">
        <v>0</v>
      </c>
      <c r="G248" s="5" t="n">
        <v>0</v>
      </c>
      <c r="H248" s="5" t="n">
        <v>1</v>
      </c>
      <c r="I248" s="5" t="n">
        <v>0</v>
      </c>
      <c r="J248" s="5" t="n">
        <v>763159.92</v>
      </c>
    </row>
    <row r="249" customFormat="false" ht="15" hidden="false" customHeight="true" outlineLevel="0" collapsed="false">
      <c r="A249" s="5" t="s">
        <v>85</v>
      </c>
      <c r="B249" s="5" t="s">
        <v>17</v>
      </c>
      <c r="C249" s="5" t="s">
        <v>20</v>
      </c>
      <c r="D249" s="5" t="n">
        <v>0</v>
      </c>
      <c r="E249" s="5" t="n">
        <v>0</v>
      </c>
      <c r="F249" s="5" t="n">
        <v>0</v>
      </c>
      <c r="G249" s="5" t="n">
        <v>0</v>
      </c>
      <c r="H249" s="5" t="n">
        <v>0</v>
      </c>
      <c r="I249" s="5" t="n">
        <v>0</v>
      </c>
      <c r="J249" s="5" t="n">
        <v>802001.68</v>
      </c>
    </row>
    <row r="250" customFormat="false" ht="15" hidden="false" customHeight="true" outlineLevel="0" collapsed="false">
      <c r="A250" s="5" t="s">
        <v>85</v>
      </c>
      <c r="B250" s="5" t="s">
        <v>17</v>
      </c>
      <c r="C250" s="5" t="s">
        <v>20</v>
      </c>
      <c r="D250" s="5" t="n">
        <v>0</v>
      </c>
      <c r="E250" s="5" t="n">
        <v>0</v>
      </c>
      <c r="F250" s="5" t="n">
        <v>0</v>
      </c>
      <c r="G250" s="5" t="n">
        <v>0</v>
      </c>
      <c r="H250" s="5" t="n">
        <v>0</v>
      </c>
      <c r="I250" s="5" t="n">
        <v>0</v>
      </c>
      <c r="J250" s="5" t="n">
        <v>750471.34</v>
      </c>
    </row>
    <row r="251" customFormat="false" ht="15" hidden="false" customHeight="true" outlineLevel="0" collapsed="false">
      <c r="A251" s="5" t="s">
        <v>85</v>
      </c>
      <c r="B251" s="5" t="s">
        <v>17</v>
      </c>
      <c r="C251" s="5" t="s">
        <v>20</v>
      </c>
      <c r="D251" s="5" t="n">
        <v>0</v>
      </c>
      <c r="E251" s="5" t="n">
        <v>0</v>
      </c>
      <c r="F251" s="5" t="n">
        <v>0</v>
      </c>
      <c r="G251" s="5" t="n">
        <v>0</v>
      </c>
      <c r="H251" s="5" t="n">
        <v>0</v>
      </c>
      <c r="I251" s="5" t="n">
        <v>0</v>
      </c>
      <c r="J251" s="5" t="n">
        <v>679230.86</v>
      </c>
    </row>
    <row r="252" customFormat="false" ht="15" hidden="false" customHeight="true" outlineLevel="0" collapsed="false">
      <c r="A252" s="5" t="s">
        <v>85</v>
      </c>
      <c r="B252" s="5" t="s">
        <v>17</v>
      </c>
      <c r="C252" s="5" t="s">
        <v>20</v>
      </c>
      <c r="D252" s="5" t="n">
        <v>0</v>
      </c>
      <c r="E252" s="5" t="n">
        <v>0</v>
      </c>
      <c r="F252" s="5" t="n">
        <v>0</v>
      </c>
      <c r="G252" s="5" t="n">
        <v>0</v>
      </c>
      <c r="H252" s="5" t="n">
        <v>0</v>
      </c>
      <c r="I252" s="5" t="n">
        <v>0</v>
      </c>
      <c r="J252" s="5" t="n">
        <v>679888.74</v>
      </c>
    </row>
    <row r="253" customFormat="false" ht="15" hidden="false" customHeight="true" outlineLevel="0" collapsed="false">
      <c r="A253" s="5" t="s">
        <v>86</v>
      </c>
      <c r="B253" s="5" t="s">
        <v>22</v>
      </c>
      <c r="C253" s="5" t="s">
        <v>20</v>
      </c>
      <c r="D253" s="5" t="n">
        <v>0</v>
      </c>
      <c r="E253" s="5" t="n">
        <v>0</v>
      </c>
      <c r="F253" s="5" t="n">
        <v>0</v>
      </c>
      <c r="G253" s="5" t="n">
        <v>1</v>
      </c>
      <c r="H253" s="5" t="n">
        <v>0</v>
      </c>
      <c r="I253" s="5" t="n">
        <v>0</v>
      </c>
      <c r="J253" s="5" t="n">
        <v>606783.67</v>
      </c>
    </row>
    <row r="254" customFormat="false" ht="15" hidden="false" customHeight="true" outlineLevel="0" collapsed="false">
      <c r="A254" s="5" t="s">
        <v>86</v>
      </c>
      <c r="B254" s="5" t="s">
        <v>22</v>
      </c>
      <c r="C254" s="5" t="s">
        <v>20</v>
      </c>
      <c r="D254" s="5" t="n">
        <v>0</v>
      </c>
      <c r="E254" s="5" t="n">
        <v>0</v>
      </c>
      <c r="F254" s="5" t="n">
        <v>0</v>
      </c>
      <c r="G254" s="5" t="n">
        <v>1</v>
      </c>
      <c r="H254" s="5" t="n">
        <v>0</v>
      </c>
      <c r="I254" s="5" t="n">
        <v>0</v>
      </c>
      <c r="J254" s="5" t="n">
        <v>642751.42</v>
      </c>
    </row>
    <row r="255" customFormat="false" ht="15" hidden="false" customHeight="true" outlineLevel="0" collapsed="false">
      <c r="A255" s="5" t="s">
        <v>86</v>
      </c>
      <c r="B255" s="5" t="s">
        <v>22</v>
      </c>
      <c r="C255" s="5" t="s">
        <v>20</v>
      </c>
      <c r="D255" s="5" t="n">
        <v>0</v>
      </c>
      <c r="E255" s="5" t="n">
        <v>0</v>
      </c>
      <c r="F255" s="5" t="n">
        <v>0</v>
      </c>
      <c r="G255" s="5" t="n">
        <v>1</v>
      </c>
      <c r="H255" s="5" t="n">
        <v>0</v>
      </c>
      <c r="I255" s="5" t="n">
        <v>0</v>
      </c>
      <c r="J255" s="5" t="n">
        <v>647953.78</v>
      </c>
    </row>
    <row r="256" customFormat="false" ht="15" hidden="false" customHeight="true" outlineLevel="0" collapsed="false">
      <c r="A256" s="5" t="s">
        <v>86</v>
      </c>
      <c r="B256" s="5" t="s">
        <v>22</v>
      </c>
      <c r="C256" s="5" t="s">
        <v>20</v>
      </c>
      <c r="D256" s="5" t="n">
        <v>0</v>
      </c>
      <c r="E256" s="5" t="n">
        <v>0</v>
      </c>
      <c r="F256" s="5" t="n">
        <v>0</v>
      </c>
      <c r="G256" s="5" t="n">
        <v>1</v>
      </c>
      <c r="H256" s="5" t="n">
        <v>0</v>
      </c>
      <c r="I256" s="5" t="n">
        <v>0</v>
      </c>
      <c r="J256" s="5" t="n">
        <v>729440.45</v>
      </c>
    </row>
    <row r="257" customFormat="false" ht="15" hidden="false" customHeight="true" outlineLevel="0" collapsed="false">
      <c r="A257" s="5" t="s">
        <v>87</v>
      </c>
      <c r="B257" s="5" t="s">
        <v>26</v>
      </c>
      <c r="C257" s="5" t="s">
        <v>23</v>
      </c>
      <c r="D257" s="5" t="n">
        <v>1</v>
      </c>
      <c r="E257" s="5" t="n">
        <v>0</v>
      </c>
      <c r="F257" s="5" t="n">
        <v>0</v>
      </c>
      <c r="G257" s="5" t="n">
        <v>0</v>
      </c>
      <c r="H257" s="5" t="n">
        <v>1</v>
      </c>
      <c r="I257" s="5" t="n">
        <v>0</v>
      </c>
      <c r="J257" s="5" t="n">
        <v>764949</v>
      </c>
    </row>
    <row r="258" customFormat="false" ht="15" hidden="false" customHeight="true" outlineLevel="0" collapsed="false">
      <c r="A258" s="5" t="s">
        <v>87</v>
      </c>
      <c r="B258" s="5" t="s">
        <v>26</v>
      </c>
      <c r="C258" s="5" t="s">
        <v>23</v>
      </c>
      <c r="D258" s="5" t="n">
        <v>1</v>
      </c>
      <c r="E258" s="5" t="n">
        <v>0</v>
      </c>
      <c r="F258" s="5" t="n">
        <v>0</v>
      </c>
      <c r="G258" s="5" t="n">
        <v>0</v>
      </c>
      <c r="H258" s="5" t="n">
        <v>1</v>
      </c>
      <c r="I258" s="5" t="n">
        <v>0</v>
      </c>
      <c r="J258" s="5" t="n">
        <v>799046.94</v>
      </c>
    </row>
    <row r="259" customFormat="false" ht="15" hidden="false" customHeight="true" outlineLevel="0" collapsed="false">
      <c r="A259" s="5" t="s">
        <v>87</v>
      </c>
      <c r="B259" s="5" t="s">
        <v>26</v>
      </c>
      <c r="C259" s="5" t="s">
        <v>23</v>
      </c>
      <c r="D259" s="5" t="n">
        <v>1</v>
      </c>
      <c r="E259" s="5" t="n">
        <v>0</v>
      </c>
      <c r="F259" s="5" t="n">
        <v>0</v>
      </c>
      <c r="G259" s="5" t="n">
        <v>0</v>
      </c>
      <c r="H259" s="5" t="n">
        <v>1</v>
      </c>
      <c r="I259" s="5" t="n">
        <v>0</v>
      </c>
      <c r="J259" s="5" t="n">
        <v>720079.54</v>
      </c>
    </row>
    <row r="260" customFormat="false" ht="15" hidden="false" customHeight="true" outlineLevel="0" collapsed="false">
      <c r="A260" s="5" t="s">
        <v>87</v>
      </c>
      <c r="B260" s="5" t="s">
        <v>26</v>
      </c>
      <c r="C260" s="5" t="s">
        <v>23</v>
      </c>
      <c r="D260" s="5" t="n">
        <v>1</v>
      </c>
      <c r="E260" s="5" t="n">
        <v>0</v>
      </c>
      <c r="F260" s="5" t="n">
        <v>0</v>
      </c>
      <c r="G260" s="5" t="n">
        <v>0</v>
      </c>
      <c r="H260" s="5" t="n">
        <v>1</v>
      </c>
      <c r="I260" s="5" t="n">
        <v>0</v>
      </c>
      <c r="J260" s="5" t="n">
        <v>612390.14</v>
      </c>
    </row>
    <row r="261" customFormat="false" ht="15" hidden="false" customHeight="true" outlineLevel="0" collapsed="false">
      <c r="A261" s="5" t="s">
        <v>88</v>
      </c>
      <c r="B261" s="5" t="s">
        <v>26</v>
      </c>
      <c r="C261" s="5" t="s">
        <v>30</v>
      </c>
      <c r="D261" s="5" t="n">
        <v>0</v>
      </c>
      <c r="E261" s="5" t="n">
        <v>1</v>
      </c>
      <c r="F261" s="5" t="n">
        <v>0</v>
      </c>
      <c r="G261" s="5" t="n">
        <v>0</v>
      </c>
      <c r="H261" s="5" t="n">
        <v>1</v>
      </c>
      <c r="I261" s="5" t="n">
        <v>0</v>
      </c>
      <c r="J261" s="5" t="n">
        <v>840108.12</v>
      </c>
    </row>
    <row r="262" customFormat="false" ht="15" hidden="false" customHeight="true" outlineLevel="0" collapsed="false">
      <c r="A262" s="5" t="s">
        <v>88</v>
      </c>
      <c r="B262" s="5" t="s">
        <v>26</v>
      </c>
      <c r="C262" s="5" t="s">
        <v>30</v>
      </c>
      <c r="D262" s="5" t="n">
        <v>0</v>
      </c>
      <c r="E262" s="5" t="n">
        <v>1</v>
      </c>
      <c r="F262" s="5" t="n">
        <v>0</v>
      </c>
      <c r="G262" s="5" t="n">
        <v>0</v>
      </c>
      <c r="H262" s="5" t="n">
        <v>1</v>
      </c>
      <c r="I262" s="5" t="n">
        <v>0</v>
      </c>
      <c r="J262" s="5" t="n">
        <v>697888.09</v>
      </c>
    </row>
    <row r="263" customFormat="false" ht="15" hidden="false" customHeight="true" outlineLevel="0" collapsed="false">
      <c r="A263" s="5" t="s">
        <v>88</v>
      </c>
      <c r="B263" s="5" t="s">
        <v>26</v>
      </c>
      <c r="C263" s="5" t="s">
        <v>30</v>
      </c>
      <c r="D263" s="5" t="n">
        <v>0</v>
      </c>
      <c r="E263" s="5" t="n">
        <v>1</v>
      </c>
      <c r="F263" s="5" t="n">
        <v>0</v>
      </c>
      <c r="G263" s="5" t="n">
        <v>0</v>
      </c>
      <c r="H263" s="5" t="n">
        <v>1</v>
      </c>
      <c r="I263" s="5" t="n">
        <v>0</v>
      </c>
      <c r="J263" s="5" t="n">
        <v>746115.59</v>
      </c>
    </row>
    <row r="264" customFormat="false" ht="15" hidden="false" customHeight="true" outlineLevel="0" collapsed="false">
      <c r="A264" s="5" t="s">
        <v>88</v>
      </c>
      <c r="B264" s="5" t="s">
        <v>26</v>
      </c>
      <c r="C264" s="5" t="s">
        <v>30</v>
      </c>
      <c r="D264" s="5" t="n">
        <v>0</v>
      </c>
      <c r="E264" s="5" t="n">
        <v>1</v>
      </c>
      <c r="F264" s="5" t="n">
        <v>0</v>
      </c>
      <c r="G264" s="5" t="n">
        <v>0</v>
      </c>
      <c r="H264" s="5" t="n">
        <v>1</v>
      </c>
      <c r="I264" s="5" t="n">
        <v>0</v>
      </c>
      <c r="J264" s="5" t="n">
        <v>776110.32</v>
      </c>
    </row>
    <row r="265" customFormat="false" ht="15" hidden="false" customHeight="true" outlineLevel="0" collapsed="false">
      <c r="A265" s="5" t="s">
        <v>89</v>
      </c>
      <c r="B265" s="5" t="s">
        <v>29</v>
      </c>
      <c r="C265" s="5" t="s">
        <v>20</v>
      </c>
      <c r="D265" s="5" t="n">
        <v>0</v>
      </c>
      <c r="E265" s="5" t="n">
        <v>0</v>
      </c>
      <c r="F265" s="5" t="n">
        <v>0</v>
      </c>
      <c r="G265" s="5" t="n">
        <v>0</v>
      </c>
      <c r="H265" s="5" t="n">
        <v>0</v>
      </c>
      <c r="I265" s="5" t="n">
        <v>1</v>
      </c>
      <c r="J265" s="5" t="n">
        <v>528852.62</v>
      </c>
    </row>
    <row r="266" customFormat="false" ht="15" hidden="false" customHeight="true" outlineLevel="0" collapsed="false">
      <c r="A266" s="5" t="s">
        <v>89</v>
      </c>
      <c r="B266" s="5" t="s">
        <v>29</v>
      </c>
      <c r="C266" s="5" t="s">
        <v>20</v>
      </c>
      <c r="D266" s="5" t="n">
        <v>0</v>
      </c>
      <c r="E266" s="5" t="n">
        <v>0</v>
      </c>
      <c r="F266" s="5" t="n">
        <v>0</v>
      </c>
      <c r="G266" s="5" t="n">
        <v>0</v>
      </c>
      <c r="H266" s="5" t="n">
        <v>0</v>
      </c>
      <c r="I266" s="5" t="n">
        <v>1</v>
      </c>
      <c r="J266" s="5" t="n">
        <v>605751.33</v>
      </c>
    </row>
    <row r="267" customFormat="false" ht="15" hidden="false" customHeight="true" outlineLevel="0" collapsed="false">
      <c r="A267" s="5" t="s">
        <v>89</v>
      </c>
      <c r="B267" s="5" t="s">
        <v>29</v>
      </c>
      <c r="C267" s="5" t="s">
        <v>20</v>
      </c>
      <c r="D267" s="5" t="n">
        <v>0</v>
      </c>
      <c r="E267" s="5" t="n">
        <v>0</v>
      </c>
      <c r="F267" s="5" t="n">
        <v>0</v>
      </c>
      <c r="G267" s="5" t="n">
        <v>0</v>
      </c>
      <c r="H267" s="5" t="n">
        <v>0</v>
      </c>
      <c r="I267" s="5" t="n">
        <v>1</v>
      </c>
      <c r="J267" s="5" t="n">
        <v>677640.65</v>
      </c>
    </row>
    <row r="268" customFormat="false" ht="15" hidden="false" customHeight="true" outlineLevel="0" collapsed="false">
      <c r="A268" s="5" t="s">
        <v>89</v>
      </c>
      <c r="B268" s="5" t="s">
        <v>29</v>
      </c>
      <c r="C268" s="5" t="s">
        <v>20</v>
      </c>
      <c r="D268" s="5" t="n">
        <v>0</v>
      </c>
      <c r="E268" s="5" t="n">
        <v>0</v>
      </c>
      <c r="F268" s="5" t="n">
        <v>0</v>
      </c>
      <c r="G268" s="5" t="n">
        <v>0</v>
      </c>
      <c r="H268" s="5" t="n">
        <v>0</v>
      </c>
      <c r="I268" s="5" t="n">
        <v>1</v>
      </c>
      <c r="J268" s="5" t="n">
        <v>636613.23</v>
      </c>
    </row>
    <row r="269" customFormat="false" ht="15" hidden="false" customHeight="true" outlineLevel="0" collapsed="false">
      <c r="A269" s="5" t="s">
        <v>90</v>
      </c>
      <c r="B269" s="5" t="s">
        <v>17</v>
      </c>
      <c r="C269" s="5" t="s">
        <v>20</v>
      </c>
      <c r="D269" s="5" t="n">
        <v>0</v>
      </c>
      <c r="E269" s="5" t="n">
        <v>0</v>
      </c>
      <c r="F269" s="5" t="n">
        <v>0</v>
      </c>
      <c r="G269" s="5" t="n">
        <v>0</v>
      </c>
      <c r="H269" s="5" t="n">
        <v>0</v>
      </c>
      <c r="I269" s="5" t="n">
        <v>0</v>
      </c>
      <c r="J269" s="5" t="n">
        <v>708985.19</v>
      </c>
    </row>
    <row r="270" customFormat="false" ht="15" hidden="false" customHeight="true" outlineLevel="0" collapsed="false">
      <c r="A270" s="5" t="s">
        <v>90</v>
      </c>
      <c r="B270" s="5" t="s">
        <v>17</v>
      </c>
      <c r="C270" s="5" t="s">
        <v>20</v>
      </c>
      <c r="D270" s="5" t="n">
        <v>0</v>
      </c>
      <c r="E270" s="5" t="n">
        <v>0</v>
      </c>
      <c r="F270" s="5" t="n">
        <v>0</v>
      </c>
      <c r="G270" s="5" t="n">
        <v>0</v>
      </c>
      <c r="H270" s="5" t="n">
        <v>0</v>
      </c>
      <c r="I270" s="5" t="n">
        <v>0</v>
      </c>
      <c r="J270" s="5" t="n">
        <v>767792.94</v>
      </c>
    </row>
    <row r="271" customFormat="false" ht="15" hidden="false" customHeight="true" outlineLevel="0" collapsed="false">
      <c r="A271" s="5" t="s">
        <v>90</v>
      </c>
      <c r="B271" s="5" t="s">
        <v>17</v>
      </c>
      <c r="C271" s="5" t="s">
        <v>20</v>
      </c>
      <c r="D271" s="5" t="n">
        <v>0</v>
      </c>
      <c r="E271" s="5" t="n">
        <v>0</v>
      </c>
      <c r="F271" s="5" t="n">
        <v>0</v>
      </c>
      <c r="G271" s="5" t="n">
        <v>0</v>
      </c>
      <c r="H271" s="5" t="n">
        <v>0</v>
      </c>
      <c r="I271" s="5" t="n">
        <v>0</v>
      </c>
      <c r="J271" s="5" t="n">
        <v>745580.51</v>
      </c>
    </row>
    <row r="272" customFormat="false" ht="15" hidden="false" customHeight="true" outlineLevel="0" collapsed="false">
      <c r="A272" s="5" t="s">
        <v>90</v>
      </c>
      <c r="B272" s="5" t="s">
        <v>17</v>
      </c>
      <c r="C272" s="5" t="s">
        <v>20</v>
      </c>
      <c r="D272" s="5" t="n">
        <v>0</v>
      </c>
      <c r="E272" s="5" t="n">
        <v>0</v>
      </c>
      <c r="F272" s="5" t="n">
        <v>0</v>
      </c>
      <c r="G272" s="5" t="n">
        <v>0</v>
      </c>
      <c r="H272" s="5" t="n">
        <v>0</v>
      </c>
      <c r="I272" s="5" t="n">
        <v>0</v>
      </c>
      <c r="J272" s="5" t="n">
        <v>762328.31</v>
      </c>
    </row>
    <row r="273" customFormat="false" ht="15" hidden="false" customHeight="true" outlineLevel="0" collapsed="false">
      <c r="A273" s="5" t="s">
        <v>91</v>
      </c>
      <c r="B273" s="5" t="s">
        <v>17</v>
      </c>
      <c r="C273" s="5" t="s">
        <v>30</v>
      </c>
      <c r="D273" s="5" t="n">
        <v>0</v>
      </c>
      <c r="E273" s="5" t="n">
        <v>1</v>
      </c>
      <c r="F273" s="5" t="n">
        <v>0</v>
      </c>
      <c r="G273" s="5" t="n">
        <v>0</v>
      </c>
      <c r="H273" s="5" t="n">
        <v>0</v>
      </c>
      <c r="I273" s="5" t="n">
        <v>0</v>
      </c>
      <c r="J273" s="5" t="n">
        <v>660633.99</v>
      </c>
    </row>
    <row r="274" customFormat="false" ht="15" hidden="false" customHeight="true" outlineLevel="0" collapsed="false">
      <c r="A274" s="5" t="s">
        <v>91</v>
      </c>
      <c r="B274" s="5" t="s">
        <v>17</v>
      </c>
      <c r="C274" s="5" t="s">
        <v>30</v>
      </c>
      <c r="D274" s="5" t="n">
        <v>0</v>
      </c>
      <c r="E274" s="5" t="n">
        <v>1</v>
      </c>
      <c r="F274" s="5" t="n">
        <v>0</v>
      </c>
      <c r="G274" s="5" t="n">
        <v>0</v>
      </c>
      <c r="H274" s="5" t="n">
        <v>0</v>
      </c>
      <c r="I274" s="5" t="n">
        <v>0</v>
      </c>
      <c r="J274" s="5" t="n">
        <v>739374.56</v>
      </c>
    </row>
    <row r="275" customFormat="false" ht="15" hidden="false" customHeight="true" outlineLevel="0" collapsed="false">
      <c r="A275" s="5" t="s">
        <v>91</v>
      </c>
      <c r="B275" s="5" t="s">
        <v>17</v>
      </c>
      <c r="C275" s="5" t="s">
        <v>30</v>
      </c>
      <c r="D275" s="5" t="n">
        <v>0</v>
      </c>
      <c r="E275" s="5" t="n">
        <v>1</v>
      </c>
      <c r="F275" s="5" t="n">
        <v>0</v>
      </c>
      <c r="G275" s="5" t="n">
        <v>0</v>
      </c>
      <c r="H275" s="5" t="n">
        <v>0</v>
      </c>
      <c r="I275" s="5" t="n">
        <v>0</v>
      </c>
      <c r="J275" s="5" t="n">
        <v>799756.46</v>
      </c>
    </row>
    <row r="276" customFormat="false" ht="15" hidden="false" customHeight="true" outlineLevel="0" collapsed="false">
      <c r="A276" s="5" t="s">
        <v>91</v>
      </c>
      <c r="B276" s="5" t="s">
        <v>17</v>
      </c>
      <c r="C276" s="5" t="s">
        <v>30</v>
      </c>
      <c r="D276" s="5" t="n">
        <v>0</v>
      </c>
      <c r="E276" s="5" t="n">
        <v>1</v>
      </c>
      <c r="F276" s="5" t="n">
        <v>0</v>
      </c>
      <c r="G276" s="5" t="n">
        <v>0</v>
      </c>
      <c r="H276" s="5" t="n">
        <v>0</v>
      </c>
      <c r="I276" s="5" t="n">
        <v>0</v>
      </c>
      <c r="J276" s="5" t="n">
        <v>593343</v>
      </c>
    </row>
    <row r="277" customFormat="false" ht="15" hidden="false" customHeight="true" outlineLevel="0" collapsed="false">
      <c r="A277" s="5" t="s">
        <v>92</v>
      </c>
      <c r="B277" s="5" t="s">
        <v>29</v>
      </c>
      <c r="C277" s="5" t="s">
        <v>20</v>
      </c>
      <c r="D277" s="5" t="n">
        <v>0</v>
      </c>
      <c r="E277" s="5" t="n">
        <v>0</v>
      </c>
      <c r="F277" s="5" t="n">
        <v>0</v>
      </c>
      <c r="G277" s="5" t="n">
        <v>0</v>
      </c>
      <c r="H277" s="5" t="n">
        <v>0</v>
      </c>
      <c r="I277" s="5" t="n">
        <v>1</v>
      </c>
      <c r="J277" s="5" t="n">
        <v>645039.97</v>
      </c>
    </row>
    <row r="278" customFormat="false" ht="15" hidden="false" customHeight="true" outlineLevel="0" collapsed="false">
      <c r="A278" s="5" t="s">
        <v>92</v>
      </c>
      <c r="B278" s="5" t="s">
        <v>29</v>
      </c>
      <c r="C278" s="5" t="s">
        <v>20</v>
      </c>
      <c r="D278" s="5" t="n">
        <v>0</v>
      </c>
      <c r="E278" s="5" t="n">
        <v>0</v>
      </c>
      <c r="F278" s="5" t="n">
        <v>0</v>
      </c>
      <c r="G278" s="5" t="n">
        <v>0</v>
      </c>
      <c r="H278" s="5" t="n">
        <v>0</v>
      </c>
      <c r="I278" s="5" t="n">
        <v>1</v>
      </c>
      <c r="J278" s="5" t="n">
        <v>561597.33</v>
      </c>
    </row>
    <row r="279" customFormat="false" ht="15" hidden="false" customHeight="true" outlineLevel="0" collapsed="false">
      <c r="A279" s="5" t="s">
        <v>92</v>
      </c>
      <c r="B279" s="5" t="s">
        <v>29</v>
      </c>
      <c r="C279" s="5" t="s">
        <v>20</v>
      </c>
      <c r="D279" s="5" t="n">
        <v>0</v>
      </c>
      <c r="E279" s="5" t="n">
        <v>0</v>
      </c>
      <c r="F279" s="5" t="n">
        <v>0</v>
      </c>
      <c r="G279" s="5" t="n">
        <v>0</v>
      </c>
      <c r="H279" s="5" t="n">
        <v>0</v>
      </c>
      <c r="I279" s="5" t="n">
        <v>1</v>
      </c>
      <c r="J279" s="5" t="n">
        <v>635837.74</v>
      </c>
    </row>
    <row r="280" customFormat="false" ht="15" hidden="false" customHeight="true" outlineLevel="0" collapsed="false">
      <c r="A280" s="5" t="s">
        <v>92</v>
      </c>
      <c r="B280" s="5" t="s">
        <v>29</v>
      </c>
      <c r="C280" s="5" t="s">
        <v>20</v>
      </c>
      <c r="D280" s="5" t="n">
        <v>0</v>
      </c>
      <c r="E280" s="5" t="n">
        <v>0</v>
      </c>
      <c r="F280" s="5" t="n">
        <v>0</v>
      </c>
      <c r="G280" s="5" t="n">
        <v>0</v>
      </c>
      <c r="H280" s="5" t="n">
        <v>0</v>
      </c>
      <c r="I280" s="5" t="n">
        <v>1</v>
      </c>
      <c r="J280" s="5" t="n">
        <v>686737.87</v>
      </c>
    </row>
    <row r="281" customFormat="false" ht="15" hidden="false" customHeight="true" outlineLevel="0" collapsed="false">
      <c r="A281" s="5" t="s">
        <v>93</v>
      </c>
      <c r="B281" s="5" t="s">
        <v>26</v>
      </c>
      <c r="C281" s="5" t="s">
        <v>18</v>
      </c>
      <c r="D281" s="5" t="n">
        <v>0</v>
      </c>
      <c r="E281" s="5" t="n">
        <v>0</v>
      </c>
      <c r="F281" s="5" t="n">
        <v>1</v>
      </c>
      <c r="G281" s="5" t="n">
        <v>0</v>
      </c>
      <c r="H281" s="5" t="n">
        <v>1</v>
      </c>
      <c r="I281" s="5" t="n">
        <v>0</v>
      </c>
      <c r="J281" s="5" t="n">
        <v>673076.34</v>
      </c>
    </row>
    <row r="282" customFormat="false" ht="15" hidden="false" customHeight="true" outlineLevel="0" collapsed="false">
      <c r="A282" s="5" t="s">
        <v>93</v>
      </c>
      <c r="B282" s="5" t="s">
        <v>26</v>
      </c>
      <c r="C282" s="5" t="s">
        <v>18</v>
      </c>
      <c r="D282" s="5" t="n">
        <v>0</v>
      </c>
      <c r="E282" s="5" t="n">
        <v>0</v>
      </c>
      <c r="F282" s="5" t="n">
        <v>1</v>
      </c>
      <c r="G282" s="5" t="n">
        <v>0</v>
      </c>
      <c r="H282" s="5" t="n">
        <v>1</v>
      </c>
      <c r="I282" s="5" t="n">
        <v>0</v>
      </c>
      <c r="J282" s="5" t="n">
        <v>738548.42</v>
      </c>
    </row>
    <row r="283" customFormat="false" ht="15" hidden="false" customHeight="true" outlineLevel="0" collapsed="false">
      <c r="A283" s="5" t="s">
        <v>93</v>
      </c>
      <c r="B283" s="5" t="s">
        <v>26</v>
      </c>
      <c r="C283" s="5" t="s">
        <v>18</v>
      </c>
      <c r="D283" s="5" t="n">
        <v>0</v>
      </c>
      <c r="E283" s="5" t="n">
        <v>0</v>
      </c>
      <c r="F283" s="5" t="n">
        <v>1</v>
      </c>
      <c r="G283" s="5" t="n">
        <v>0</v>
      </c>
      <c r="H283" s="5" t="n">
        <v>1</v>
      </c>
      <c r="I283" s="5" t="n">
        <v>0</v>
      </c>
      <c r="J283" s="5" t="n">
        <v>756619.77</v>
      </c>
    </row>
    <row r="284" customFormat="false" ht="15" hidden="false" customHeight="true" outlineLevel="0" collapsed="false">
      <c r="A284" s="5" t="s">
        <v>93</v>
      </c>
      <c r="B284" s="5" t="s">
        <v>26</v>
      </c>
      <c r="C284" s="5" t="s">
        <v>18</v>
      </c>
      <c r="D284" s="5" t="n">
        <v>0</v>
      </c>
      <c r="E284" s="5" t="n">
        <v>0</v>
      </c>
      <c r="F284" s="5" t="n">
        <v>1</v>
      </c>
      <c r="G284" s="5" t="n">
        <v>0</v>
      </c>
      <c r="H284" s="5" t="n">
        <v>1</v>
      </c>
      <c r="I284" s="5" t="n">
        <v>0</v>
      </c>
      <c r="J284" s="5" t="n">
        <v>761122.42</v>
      </c>
    </row>
    <row r="285" customFormat="false" ht="15" hidden="false" customHeight="true" outlineLevel="0" collapsed="false">
      <c r="A285" s="5" t="s">
        <v>94</v>
      </c>
      <c r="B285" s="5" t="s">
        <v>26</v>
      </c>
      <c r="C285" s="5" t="s">
        <v>20</v>
      </c>
      <c r="D285" s="5" t="n">
        <v>0</v>
      </c>
      <c r="E285" s="5" t="n">
        <v>0</v>
      </c>
      <c r="F285" s="5" t="n">
        <v>0</v>
      </c>
      <c r="G285" s="5" t="n">
        <v>0</v>
      </c>
      <c r="H285" s="5" t="n">
        <v>1</v>
      </c>
      <c r="I285" s="5" t="n">
        <v>0</v>
      </c>
      <c r="J285" s="5" t="n">
        <v>524899.57</v>
      </c>
    </row>
    <row r="286" customFormat="false" ht="15" hidden="false" customHeight="true" outlineLevel="0" collapsed="false">
      <c r="A286" s="5" t="s">
        <v>94</v>
      </c>
      <c r="B286" s="5" t="s">
        <v>26</v>
      </c>
      <c r="C286" s="5" t="s">
        <v>20</v>
      </c>
      <c r="D286" s="5" t="n">
        <v>0</v>
      </c>
      <c r="E286" s="5" t="n">
        <v>0</v>
      </c>
      <c r="F286" s="5" t="n">
        <v>0</v>
      </c>
      <c r="G286" s="5" t="n">
        <v>0</v>
      </c>
      <c r="H286" s="5" t="n">
        <v>1</v>
      </c>
      <c r="I286" s="5" t="n">
        <v>0</v>
      </c>
      <c r="J286" s="5" t="n">
        <v>555557.77</v>
      </c>
    </row>
    <row r="287" customFormat="false" ht="15" hidden="false" customHeight="true" outlineLevel="0" collapsed="false">
      <c r="A287" s="5" t="s">
        <v>94</v>
      </c>
      <c r="B287" s="5" t="s">
        <v>26</v>
      </c>
      <c r="C287" s="5" t="s">
        <v>20</v>
      </c>
      <c r="D287" s="5" t="n">
        <v>0</v>
      </c>
      <c r="E287" s="5" t="n">
        <v>0</v>
      </c>
      <c r="F287" s="5" t="n">
        <v>0</v>
      </c>
      <c r="G287" s="5" t="n">
        <v>0</v>
      </c>
      <c r="H287" s="5" t="n">
        <v>1</v>
      </c>
      <c r="I287" s="5" t="n">
        <v>0</v>
      </c>
      <c r="J287" s="5" t="n">
        <v>714083.68</v>
      </c>
    </row>
    <row r="288" customFormat="false" ht="15" hidden="false" customHeight="true" outlineLevel="0" collapsed="false">
      <c r="A288" s="5" t="s">
        <v>94</v>
      </c>
      <c r="B288" s="5" t="s">
        <v>26</v>
      </c>
      <c r="C288" s="5" t="s">
        <v>20</v>
      </c>
      <c r="D288" s="5" t="n">
        <v>0</v>
      </c>
      <c r="E288" s="5" t="n">
        <v>0</v>
      </c>
      <c r="F288" s="5" t="n">
        <v>0</v>
      </c>
      <c r="G288" s="5" t="n">
        <v>0</v>
      </c>
      <c r="H288" s="5" t="n">
        <v>1</v>
      </c>
      <c r="I288" s="5" t="n">
        <v>0</v>
      </c>
      <c r="J288" s="5" t="n">
        <v>497439.82</v>
      </c>
    </row>
    <row r="289" customFormat="false" ht="15" hidden="false" customHeight="true" outlineLevel="0" collapsed="false">
      <c r="A289" s="5" t="s">
        <v>95</v>
      </c>
      <c r="B289" s="5" t="s">
        <v>29</v>
      </c>
      <c r="C289" s="5" t="s">
        <v>18</v>
      </c>
      <c r="D289" s="5" t="n">
        <v>0</v>
      </c>
      <c r="E289" s="5" t="n">
        <v>0</v>
      </c>
      <c r="F289" s="5" t="n">
        <v>1</v>
      </c>
      <c r="G289" s="5" t="n">
        <v>0</v>
      </c>
      <c r="H289" s="5" t="n">
        <v>0</v>
      </c>
      <c r="I289" s="5" t="n">
        <v>1</v>
      </c>
      <c r="J289" s="5" t="n">
        <v>636775.66</v>
      </c>
    </row>
    <row r="290" customFormat="false" ht="15" hidden="false" customHeight="true" outlineLevel="0" collapsed="false">
      <c r="A290" s="5" t="s">
        <v>95</v>
      </c>
      <c r="B290" s="5" t="s">
        <v>29</v>
      </c>
      <c r="C290" s="5" t="s">
        <v>18</v>
      </c>
      <c r="D290" s="5" t="n">
        <v>0</v>
      </c>
      <c r="E290" s="5" t="n">
        <v>0</v>
      </c>
      <c r="F290" s="5" t="n">
        <v>1</v>
      </c>
      <c r="G290" s="5" t="n">
        <v>0</v>
      </c>
      <c r="H290" s="5" t="n">
        <v>0</v>
      </c>
      <c r="I290" s="5" t="n">
        <v>1</v>
      </c>
      <c r="J290" s="5" t="n">
        <v>633009.53</v>
      </c>
    </row>
    <row r="291" customFormat="false" ht="15" hidden="false" customHeight="true" outlineLevel="0" collapsed="false">
      <c r="A291" s="5" t="s">
        <v>95</v>
      </c>
      <c r="B291" s="5" t="s">
        <v>29</v>
      </c>
      <c r="C291" s="5" t="s">
        <v>18</v>
      </c>
      <c r="D291" s="5" t="n">
        <v>0</v>
      </c>
      <c r="E291" s="5" t="n">
        <v>0</v>
      </c>
      <c r="F291" s="5" t="n">
        <v>1</v>
      </c>
      <c r="G291" s="5" t="n">
        <v>0</v>
      </c>
      <c r="H291" s="5" t="n">
        <v>0</v>
      </c>
      <c r="I291" s="5" t="n">
        <v>1</v>
      </c>
      <c r="J291" s="5" t="n">
        <v>609949</v>
      </c>
    </row>
    <row r="292" customFormat="false" ht="15" hidden="false" customHeight="true" outlineLevel="0" collapsed="false">
      <c r="A292" s="5" t="s">
        <v>95</v>
      </c>
      <c r="B292" s="5" t="s">
        <v>29</v>
      </c>
      <c r="C292" s="5" t="s">
        <v>18</v>
      </c>
      <c r="D292" s="5" t="n">
        <v>0</v>
      </c>
      <c r="E292" s="5" t="n">
        <v>0</v>
      </c>
      <c r="F292" s="5" t="n">
        <v>1</v>
      </c>
      <c r="G292" s="5" t="n">
        <v>0</v>
      </c>
      <c r="H292" s="5" t="n">
        <v>0</v>
      </c>
      <c r="I292" s="5" t="n">
        <v>1</v>
      </c>
      <c r="J292" s="5" t="n">
        <v>548103.7</v>
      </c>
    </row>
    <row r="293" customFormat="false" ht="15" hidden="false" customHeight="true" outlineLevel="0" collapsed="false">
      <c r="A293" s="5" t="s">
        <v>96</v>
      </c>
      <c r="B293" s="5" t="s">
        <v>17</v>
      </c>
      <c r="C293" s="5" t="s">
        <v>18</v>
      </c>
      <c r="D293" s="5" t="n">
        <v>0</v>
      </c>
      <c r="E293" s="5" t="n">
        <v>0</v>
      </c>
      <c r="F293" s="5" t="n">
        <v>1</v>
      </c>
      <c r="G293" s="5" t="n">
        <v>0</v>
      </c>
      <c r="H293" s="5" t="n">
        <v>0</v>
      </c>
      <c r="I293" s="5" t="n">
        <v>0</v>
      </c>
      <c r="J293" s="5" t="n">
        <v>729424.42</v>
      </c>
    </row>
    <row r="294" customFormat="false" ht="15" hidden="false" customHeight="true" outlineLevel="0" collapsed="false">
      <c r="A294" s="5" t="s">
        <v>96</v>
      </c>
      <c r="B294" s="5" t="s">
        <v>17</v>
      </c>
      <c r="C294" s="5" t="s">
        <v>18</v>
      </c>
      <c r="D294" s="5" t="n">
        <v>0</v>
      </c>
      <c r="E294" s="5" t="n">
        <v>0</v>
      </c>
      <c r="F294" s="5" t="n">
        <v>1</v>
      </c>
      <c r="G294" s="5" t="n">
        <v>0</v>
      </c>
      <c r="H294" s="5" t="n">
        <v>0</v>
      </c>
      <c r="I294" s="5" t="n">
        <v>0</v>
      </c>
      <c r="J294" s="5" t="n">
        <v>696261.49</v>
      </c>
    </row>
    <row r="295" customFormat="false" ht="15" hidden="false" customHeight="true" outlineLevel="0" collapsed="false">
      <c r="A295" s="5" t="s">
        <v>96</v>
      </c>
      <c r="B295" s="5" t="s">
        <v>17</v>
      </c>
      <c r="C295" s="5" t="s">
        <v>18</v>
      </c>
      <c r="D295" s="5" t="n">
        <v>0</v>
      </c>
      <c r="E295" s="5" t="n">
        <v>0</v>
      </c>
      <c r="F295" s="5" t="n">
        <v>1</v>
      </c>
      <c r="G295" s="5" t="n">
        <v>0</v>
      </c>
      <c r="H295" s="5" t="n">
        <v>0</v>
      </c>
      <c r="I295" s="5" t="n">
        <v>0</v>
      </c>
      <c r="J295" s="5" t="n">
        <v>813316.71</v>
      </c>
    </row>
    <row r="296" customFormat="false" ht="15" hidden="false" customHeight="true" outlineLevel="0" collapsed="false">
      <c r="A296" s="5" t="s">
        <v>96</v>
      </c>
      <c r="B296" s="5" t="s">
        <v>17</v>
      </c>
      <c r="C296" s="5" t="s">
        <v>18</v>
      </c>
      <c r="D296" s="5" t="n">
        <v>0</v>
      </c>
      <c r="E296" s="5" t="n">
        <v>0</v>
      </c>
      <c r="F296" s="5" t="n">
        <v>1</v>
      </c>
      <c r="G296" s="5" t="n">
        <v>0</v>
      </c>
      <c r="H296" s="5" t="n">
        <v>0</v>
      </c>
      <c r="I296" s="5" t="n">
        <v>0</v>
      </c>
      <c r="J296" s="5" t="n">
        <v>702068.92</v>
      </c>
    </row>
    <row r="297" customFormat="false" ht="15" hidden="false" customHeight="true" outlineLevel="0" collapsed="false">
      <c r="A297" s="5" t="s">
        <v>97</v>
      </c>
      <c r="B297" s="5" t="s">
        <v>29</v>
      </c>
      <c r="C297" s="5" t="s">
        <v>20</v>
      </c>
      <c r="D297" s="5" t="n">
        <v>0</v>
      </c>
      <c r="E297" s="5" t="n">
        <v>0</v>
      </c>
      <c r="F297" s="5" t="n">
        <v>0</v>
      </c>
      <c r="G297" s="5" t="n">
        <v>0</v>
      </c>
      <c r="H297" s="5" t="n">
        <v>0</v>
      </c>
      <c r="I297" s="5" t="n">
        <v>1</v>
      </c>
      <c r="J297" s="5" t="n">
        <v>546223.7</v>
      </c>
    </row>
    <row r="298" customFormat="false" ht="15" hidden="false" customHeight="true" outlineLevel="0" collapsed="false">
      <c r="A298" s="5" t="s">
        <v>97</v>
      </c>
      <c r="B298" s="5" t="s">
        <v>29</v>
      </c>
      <c r="C298" s="5" t="s">
        <v>20</v>
      </c>
      <c r="D298" s="5" t="n">
        <v>0</v>
      </c>
      <c r="E298" s="5" t="n">
        <v>0</v>
      </c>
      <c r="F298" s="5" t="n">
        <v>0</v>
      </c>
      <c r="G298" s="5" t="n">
        <v>0</v>
      </c>
      <c r="H298" s="5" t="n">
        <v>0</v>
      </c>
      <c r="I298" s="5" t="n">
        <v>1</v>
      </c>
      <c r="J298" s="5" t="n">
        <v>533121.26</v>
      </c>
    </row>
    <row r="299" customFormat="false" ht="15" hidden="false" customHeight="true" outlineLevel="0" collapsed="false">
      <c r="A299" s="5" t="s">
        <v>97</v>
      </c>
      <c r="B299" s="5" t="s">
        <v>29</v>
      </c>
      <c r="C299" s="5" t="s">
        <v>20</v>
      </c>
      <c r="D299" s="5" t="n">
        <v>0</v>
      </c>
      <c r="E299" s="5" t="n">
        <v>0</v>
      </c>
      <c r="F299" s="5" t="n">
        <v>0</v>
      </c>
      <c r="G299" s="5" t="n">
        <v>0</v>
      </c>
      <c r="H299" s="5" t="n">
        <v>0</v>
      </c>
      <c r="I299" s="5" t="n">
        <v>1</v>
      </c>
      <c r="J299" s="5" t="n">
        <v>498970.32</v>
      </c>
    </row>
    <row r="300" customFormat="false" ht="15" hidden="false" customHeight="true" outlineLevel="0" collapsed="false">
      <c r="A300" s="5" t="s">
        <v>97</v>
      </c>
      <c r="B300" s="5" t="s">
        <v>29</v>
      </c>
      <c r="C300" s="5" t="s">
        <v>20</v>
      </c>
      <c r="D300" s="5" t="n">
        <v>0</v>
      </c>
      <c r="E300" s="5" t="n">
        <v>0</v>
      </c>
      <c r="F300" s="5" t="n">
        <v>0</v>
      </c>
      <c r="G300" s="5" t="n">
        <v>0</v>
      </c>
      <c r="H300" s="5" t="n">
        <v>0</v>
      </c>
      <c r="I300" s="5" t="n">
        <v>1</v>
      </c>
      <c r="J300" s="5" t="n">
        <v>487738.26</v>
      </c>
    </row>
    <row r="301" customFormat="false" ht="15" hidden="false" customHeight="true" outlineLevel="0" collapsed="false">
      <c r="A301" s="5" t="s">
        <v>98</v>
      </c>
      <c r="B301" s="5" t="s">
        <v>29</v>
      </c>
      <c r="C301" s="5" t="s">
        <v>20</v>
      </c>
      <c r="D301" s="5" t="n">
        <v>0</v>
      </c>
      <c r="E301" s="5" t="n">
        <v>0</v>
      </c>
      <c r="F301" s="5" t="n">
        <v>0</v>
      </c>
      <c r="G301" s="5" t="n">
        <v>0</v>
      </c>
      <c r="H301" s="5" t="n">
        <v>0</v>
      </c>
      <c r="I301" s="5" t="n">
        <v>1</v>
      </c>
      <c r="J301" s="5" t="n">
        <v>668459.37</v>
      </c>
    </row>
    <row r="302" customFormat="false" ht="15" hidden="false" customHeight="true" outlineLevel="0" collapsed="false">
      <c r="A302" s="5" t="s">
        <v>98</v>
      </c>
      <c r="B302" s="5" t="s">
        <v>29</v>
      </c>
      <c r="C302" s="5" t="s">
        <v>20</v>
      </c>
      <c r="D302" s="5" t="n">
        <v>0</v>
      </c>
      <c r="E302" s="5" t="n">
        <v>0</v>
      </c>
      <c r="F302" s="5" t="n">
        <v>0</v>
      </c>
      <c r="G302" s="5" t="n">
        <v>0</v>
      </c>
      <c r="H302" s="5" t="n">
        <v>0</v>
      </c>
      <c r="I302" s="5" t="n">
        <v>1</v>
      </c>
      <c r="J302" s="5" t="n">
        <v>763162.45</v>
      </c>
    </row>
    <row r="303" customFormat="false" ht="15" hidden="false" customHeight="true" outlineLevel="0" collapsed="false">
      <c r="A303" s="5" t="s">
        <v>98</v>
      </c>
      <c r="B303" s="5" t="s">
        <v>29</v>
      </c>
      <c r="C303" s="5" t="s">
        <v>20</v>
      </c>
      <c r="D303" s="5" t="n">
        <v>0</v>
      </c>
      <c r="E303" s="5" t="n">
        <v>0</v>
      </c>
      <c r="F303" s="5" t="n">
        <v>0</v>
      </c>
      <c r="G303" s="5" t="n">
        <v>0</v>
      </c>
      <c r="H303" s="5" t="n">
        <v>0</v>
      </c>
      <c r="I303" s="5" t="n">
        <v>1</v>
      </c>
      <c r="J303" s="5" t="n">
        <v>599017.33</v>
      </c>
    </row>
    <row r="304" customFormat="false" ht="15" hidden="false" customHeight="true" outlineLevel="0" collapsed="false">
      <c r="A304" s="5" t="s">
        <v>98</v>
      </c>
      <c r="B304" s="5" t="s">
        <v>29</v>
      </c>
      <c r="C304" s="5" t="s">
        <v>20</v>
      </c>
      <c r="D304" s="5" t="n">
        <v>0</v>
      </c>
      <c r="E304" s="5" t="n">
        <v>0</v>
      </c>
      <c r="F304" s="5" t="n">
        <v>0</v>
      </c>
      <c r="G304" s="5" t="n">
        <v>0</v>
      </c>
      <c r="H304" s="5" t="n">
        <v>0</v>
      </c>
      <c r="I304" s="5" t="n">
        <v>1</v>
      </c>
      <c r="J304" s="5" t="n">
        <v>401582.58</v>
      </c>
    </row>
    <row r="305" customFormat="false" ht="15" hidden="false" customHeight="true" outlineLevel="0" collapsed="false">
      <c r="A305" s="5" t="s">
        <v>99</v>
      </c>
      <c r="B305" s="5" t="s">
        <v>22</v>
      </c>
      <c r="C305" s="5" t="s">
        <v>30</v>
      </c>
      <c r="D305" s="5" t="n">
        <v>0</v>
      </c>
      <c r="E305" s="5" t="n">
        <v>1</v>
      </c>
      <c r="F305" s="5" t="n">
        <v>0</v>
      </c>
      <c r="G305" s="5" t="n">
        <v>1</v>
      </c>
      <c r="H305" s="5" t="n">
        <v>0</v>
      </c>
      <c r="I305" s="5" t="n">
        <v>0</v>
      </c>
      <c r="J305" s="5" t="n">
        <v>703812.99</v>
      </c>
    </row>
    <row r="306" customFormat="false" ht="15" hidden="false" customHeight="true" outlineLevel="0" collapsed="false">
      <c r="A306" s="5" t="s">
        <v>99</v>
      </c>
      <c r="B306" s="5" t="s">
        <v>22</v>
      </c>
      <c r="C306" s="5" t="s">
        <v>30</v>
      </c>
      <c r="D306" s="5" t="n">
        <v>0</v>
      </c>
      <c r="E306" s="5" t="n">
        <v>1</v>
      </c>
      <c r="F306" s="5" t="n">
        <v>0</v>
      </c>
      <c r="G306" s="5" t="n">
        <v>1</v>
      </c>
      <c r="H306" s="5" t="n">
        <v>0</v>
      </c>
      <c r="I306" s="5" t="n">
        <v>0</v>
      </c>
      <c r="J306" s="5" t="n">
        <v>724346.73</v>
      </c>
    </row>
    <row r="307" customFormat="false" ht="15" hidden="false" customHeight="true" outlineLevel="0" collapsed="false">
      <c r="A307" s="5" t="s">
        <v>99</v>
      </c>
      <c r="B307" s="5" t="s">
        <v>22</v>
      </c>
      <c r="C307" s="5" t="s">
        <v>30</v>
      </c>
      <c r="D307" s="5" t="n">
        <v>0</v>
      </c>
      <c r="E307" s="5" t="n">
        <v>1</v>
      </c>
      <c r="F307" s="5" t="n">
        <v>0</v>
      </c>
      <c r="G307" s="5" t="n">
        <v>1</v>
      </c>
      <c r="H307" s="5" t="n">
        <v>0</v>
      </c>
      <c r="I307" s="5" t="n">
        <v>0</v>
      </c>
      <c r="J307" s="5" t="n">
        <v>730890.01</v>
      </c>
    </row>
    <row r="308" customFormat="false" ht="15" hidden="false" customHeight="true" outlineLevel="0" collapsed="false">
      <c r="A308" s="5" t="s">
        <v>99</v>
      </c>
      <c r="B308" s="5" t="s">
        <v>22</v>
      </c>
      <c r="C308" s="5" t="s">
        <v>30</v>
      </c>
      <c r="D308" s="5" t="n">
        <v>0</v>
      </c>
      <c r="E308" s="5" t="n">
        <v>1</v>
      </c>
      <c r="F308" s="5" t="n">
        <v>0</v>
      </c>
      <c r="G308" s="5" t="n">
        <v>1</v>
      </c>
      <c r="H308" s="5" t="n">
        <v>0</v>
      </c>
      <c r="I308" s="5" t="n">
        <v>0</v>
      </c>
      <c r="J308" s="5" t="n">
        <v>780580.95</v>
      </c>
    </row>
    <row r="309" customFormat="false" ht="15" hidden="false" customHeight="true" outlineLevel="0" collapsed="false">
      <c r="A309" s="5" t="s">
        <v>100</v>
      </c>
      <c r="B309" s="5" t="s">
        <v>26</v>
      </c>
      <c r="C309" s="5" t="s">
        <v>18</v>
      </c>
      <c r="D309" s="5" t="n">
        <v>0</v>
      </c>
      <c r="E309" s="5" t="n">
        <v>0</v>
      </c>
      <c r="F309" s="5" t="n">
        <v>1</v>
      </c>
      <c r="G309" s="5" t="n">
        <v>0</v>
      </c>
      <c r="H309" s="5" t="n">
        <v>1</v>
      </c>
      <c r="I309" s="5" t="n">
        <v>0</v>
      </c>
      <c r="J309" s="5" t="n">
        <v>727957.48</v>
      </c>
    </row>
    <row r="310" customFormat="false" ht="15" hidden="false" customHeight="true" outlineLevel="0" collapsed="false">
      <c r="A310" s="5" t="s">
        <v>100</v>
      </c>
      <c r="B310" s="5" t="s">
        <v>26</v>
      </c>
      <c r="C310" s="5" t="s">
        <v>18</v>
      </c>
      <c r="D310" s="5" t="n">
        <v>0</v>
      </c>
      <c r="E310" s="5" t="n">
        <v>0</v>
      </c>
      <c r="F310" s="5" t="n">
        <v>1</v>
      </c>
      <c r="G310" s="5" t="n">
        <v>0</v>
      </c>
      <c r="H310" s="5" t="n">
        <v>1</v>
      </c>
      <c r="I310" s="5" t="n">
        <v>0</v>
      </c>
      <c r="J310" s="5" t="n">
        <v>538376</v>
      </c>
    </row>
    <row r="311" customFormat="false" ht="15" hidden="false" customHeight="true" outlineLevel="0" collapsed="false">
      <c r="A311" s="5" t="s">
        <v>100</v>
      </c>
      <c r="B311" s="5" t="s">
        <v>26</v>
      </c>
      <c r="C311" s="5" t="s">
        <v>18</v>
      </c>
      <c r="D311" s="5" t="n">
        <v>0</v>
      </c>
      <c r="E311" s="5" t="n">
        <v>0</v>
      </c>
      <c r="F311" s="5" t="n">
        <v>1</v>
      </c>
      <c r="G311" s="5" t="n">
        <v>0</v>
      </c>
      <c r="H311" s="5" t="n">
        <v>1</v>
      </c>
      <c r="I311" s="5" t="n">
        <v>0</v>
      </c>
      <c r="J311" s="5" t="n">
        <v>665342.49</v>
      </c>
    </row>
    <row r="312" customFormat="false" ht="15" hidden="false" customHeight="true" outlineLevel="0" collapsed="false">
      <c r="A312" s="5" t="s">
        <v>100</v>
      </c>
      <c r="B312" s="5" t="s">
        <v>26</v>
      </c>
      <c r="C312" s="5" t="s">
        <v>18</v>
      </c>
      <c r="D312" s="5" t="n">
        <v>0</v>
      </c>
      <c r="E312" s="5" t="n">
        <v>0</v>
      </c>
      <c r="F312" s="5" t="n">
        <v>1</v>
      </c>
      <c r="G312" s="5" t="n">
        <v>0</v>
      </c>
      <c r="H312" s="5" t="n">
        <v>1</v>
      </c>
      <c r="I312" s="5" t="n">
        <v>0</v>
      </c>
      <c r="J312" s="5" t="n">
        <v>651164.18</v>
      </c>
    </row>
    <row r="313" customFormat="false" ht="15" hidden="false" customHeight="true" outlineLevel="0" collapsed="false">
      <c r="A313" s="5" t="s">
        <v>101</v>
      </c>
      <c r="B313" s="5" t="s">
        <v>26</v>
      </c>
      <c r="C313" s="5" t="s">
        <v>20</v>
      </c>
      <c r="D313" s="5" t="n">
        <v>0</v>
      </c>
      <c r="E313" s="5" t="n">
        <v>0</v>
      </c>
      <c r="F313" s="5" t="n">
        <v>0</v>
      </c>
      <c r="G313" s="5" t="n">
        <v>0</v>
      </c>
      <c r="H313" s="5" t="n">
        <v>1</v>
      </c>
      <c r="I313" s="5" t="n">
        <v>0</v>
      </c>
      <c r="J313" s="5" t="n">
        <v>628538.3</v>
      </c>
    </row>
    <row r="314" customFormat="false" ht="15" hidden="false" customHeight="true" outlineLevel="0" collapsed="false">
      <c r="A314" s="5" t="s">
        <v>101</v>
      </c>
      <c r="B314" s="5" t="s">
        <v>26</v>
      </c>
      <c r="C314" s="5" t="s">
        <v>20</v>
      </c>
      <c r="D314" s="5" t="n">
        <v>0</v>
      </c>
      <c r="E314" s="5" t="n">
        <v>0</v>
      </c>
      <c r="F314" s="5" t="n">
        <v>0</v>
      </c>
      <c r="G314" s="5" t="n">
        <v>0</v>
      </c>
      <c r="H314" s="5" t="n">
        <v>1</v>
      </c>
      <c r="I314" s="5" t="n">
        <v>0</v>
      </c>
      <c r="J314" s="5" t="n">
        <v>536524.84</v>
      </c>
    </row>
    <row r="315" customFormat="false" ht="15" hidden="false" customHeight="true" outlineLevel="0" collapsed="false">
      <c r="A315" s="5" t="s">
        <v>101</v>
      </c>
      <c r="B315" s="5" t="s">
        <v>26</v>
      </c>
      <c r="C315" s="5" t="s">
        <v>20</v>
      </c>
      <c r="D315" s="5" t="n">
        <v>0</v>
      </c>
      <c r="E315" s="5" t="n">
        <v>0</v>
      </c>
      <c r="F315" s="5" t="n">
        <v>0</v>
      </c>
      <c r="G315" s="5" t="n">
        <v>0</v>
      </c>
      <c r="H315" s="5" t="n">
        <v>1</v>
      </c>
      <c r="I315" s="5" t="n">
        <v>0</v>
      </c>
      <c r="J315" s="5" t="n">
        <v>621677.3</v>
      </c>
    </row>
    <row r="316" customFormat="false" ht="15" hidden="false" customHeight="true" outlineLevel="0" collapsed="false">
      <c r="A316" s="5" t="s">
        <v>101</v>
      </c>
      <c r="B316" s="5" t="s">
        <v>26</v>
      </c>
      <c r="C316" s="5" t="s">
        <v>20</v>
      </c>
      <c r="D316" s="5" t="n">
        <v>0</v>
      </c>
      <c r="E316" s="5" t="n">
        <v>0</v>
      </c>
      <c r="F316" s="5" t="n">
        <v>0</v>
      </c>
      <c r="G316" s="5" t="n">
        <v>0</v>
      </c>
      <c r="H316" s="5" t="n">
        <v>1</v>
      </c>
      <c r="I316" s="5" t="n">
        <v>0</v>
      </c>
      <c r="J316" s="5" t="n">
        <v>771129.07</v>
      </c>
    </row>
    <row r="317" customFormat="false" ht="15" hidden="false" customHeight="true" outlineLevel="0" collapsed="false">
      <c r="A317" s="5" t="s">
        <v>102</v>
      </c>
      <c r="B317" s="5" t="s">
        <v>22</v>
      </c>
      <c r="C317" s="5" t="s">
        <v>18</v>
      </c>
      <c r="D317" s="5" t="n">
        <v>0</v>
      </c>
      <c r="E317" s="5" t="n">
        <v>0</v>
      </c>
      <c r="F317" s="5" t="n">
        <v>1</v>
      </c>
      <c r="G317" s="5" t="n">
        <v>1</v>
      </c>
      <c r="H317" s="5" t="n">
        <v>0</v>
      </c>
      <c r="I317" s="5" t="n">
        <v>0</v>
      </c>
      <c r="J317" s="5" t="n">
        <v>702052.47</v>
      </c>
    </row>
    <row r="318" customFormat="false" ht="15" hidden="false" customHeight="true" outlineLevel="0" collapsed="false">
      <c r="A318" s="5" t="s">
        <v>102</v>
      </c>
      <c r="B318" s="5" t="s">
        <v>22</v>
      </c>
      <c r="C318" s="5" t="s">
        <v>18</v>
      </c>
      <c r="D318" s="5" t="n">
        <v>0</v>
      </c>
      <c r="E318" s="5" t="n">
        <v>0</v>
      </c>
      <c r="F318" s="5" t="n">
        <v>1</v>
      </c>
      <c r="G318" s="5" t="n">
        <v>1</v>
      </c>
      <c r="H318" s="5" t="n">
        <v>0</v>
      </c>
      <c r="I318" s="5" t="n">
        <v>0</v>
      </c>
      <c r="J318" s="5" t="n">
        <v>688368.46</v>
      </c>
    </row>
    <row r="319" customFormat="false" ht="15" hidden="false" customHeight="true" outlineLevel="0" collapsed="false">
      <c r="A319" s="5" t="s">
        <v>102</v>
      </c>
      <c r="B319" s="5" t="s">
        <v>22</v>
      </c>
      <c r="C319" s="5" t="s">
        <v>18</v>
      </c>
      <c r="D319" s="5" t="n">
        <v>0</v>
      </c>
      <c r="E319" s="5" t="n">
        <v>0</v>
      </c>
      <c r="F319" s="5" t="n">
        <v>1</v>
      </c>
      <c r="G319" s="5" t="n">
        <v>1</v>
      </c>
      <c r="H319" s="5" t="n">
        <v>0</v>
      </c>
      <c r="I319" s="5" t="n">
        <v>0</v>
      </c>
      <c r="J319" s="5" t="n">
        <v>712375.77</v>
      </c>
    </row>
    <row r="320" customFormat="false" ht="15" hidden="false" customHeight="true" outlineLevel="0" collapsed="false">
      <c r="A320" s="5" t="s">
        <v>102</v>
      </c>
      <c r="B320" s="5" t="s">
        <v>22</v>
      </c>
      <c r="C320" s="5" t="s">
        <v>18</v>
      </c>
      <c r="D320" s="5" t="n">
        <v>0</v>
      </c>
      <c r="E320" s="5" t="n">
        <v>0</v>
      </c>
      <c r="F320" s="5" t="n">
        <v>1</v>
      </c>
      <c r="G320" s="5" t="n">
        <v>1</v>
      </c>
      <c r="H320" s="5" t="n">
        <v>0</v>
      </c>
      <c r="I320" s="5" t="n">
        <v>0</v>
      </c>
      <c r="J320" s="5" t="n">
        <v>844710.67</v>
      </c>
    </row>
    <row r="321" customFormat="false" ht="15" hidden="false" customHeight="true" outlineLevel="0" collapsed="false">
      <c r="A321" s="5" t="s">
        <v>103</v>
      </c>
      <c r="B321" s="5" t="s">
        <v>17</v>
      </c>
      <c r="C321" s="5" t="s">
        <v>18</v>
      </c>
      <c r="D321" s="5" t="n">
        <v>0</v>
      </c>
      <c r="E321" s="5" t="n">
        <v>0</v>
      </c>
      <c r="F321" s="5" t="n">
        <v>1</v>
      </c>
      <c r="G321" s="5" t="n">
        <v>0</v>
      </c>
      <c r="H321" s="5" t="n">
        <v>0</v>
      </c>
      <c r="I321" s="5" t="n">
        <v>0</v>
      </c>
      <c r="J321" s="5" t="n">
        <v>620264.2</v>
      </c>
    </row>
    <row r="322" customFormat="false" ht="15" hidden="false" customHeight="true" outlineLevel="0" collapsed="false">
      <c r="A322" s="5" t="s">
        <v>103</v>
      </c>
      <c r="B322" s="5" t="s">
        <v>17</v>
      </c>
      <c r="C322" s="5" t="s">
        <v>18</v>
      </c>
      <c r="D322" s="5" t="n">
        <v>0</v>
      </c>
      <c r="E322" s="5" t="n">
        <v>0</v>
      </c>
      <c r="F322" s="5" t="n">
        <v>1</v>
      </c>
      <c r="G322" s="5" t="n">
        <v>0</v>
      </c>
      <c r="H322" s="5" t="n">
        <v>0</v>
      </c>
      <c r="I322" s="5" t="n">
        <v>0</v>
      </c>
      <c r="J322" s="5" t="n">
        <v>536845.42</v>
      </c>
    </row>
    <row r="323" customFormat="false" ht="15" hidden="false" customHeight="true" outlineLevel="0" collapsed="false">
      <c r="A323" s="5" t="s">
        <v>103</v>
      </c>
      <c r="B323" s="5" t="s">
        <v>17</v>
      </c>
      <c r="C323" s="5" t="s">
        <v>18</v>
      </c>
      <c r="D323" s="5" t="n">
        <v>0</v>
      </c>
      <c r="E323" s="5" t="n">
        <v>0</v>
      </c>
      <c r="F323" s="5" t="n">
        <v>1</v>
      </c>
      <c r="G323" s="5" t="n">
        <v>0</v>
      </c>
      <c r="H323" s="5" t="n">
        <v>0</v>
      </c>
      <c r="I323" s="5" t="n">
        <v>0</v>
      </c>
      <c r="J323" s="5" t="n">
        <v>726776.22</v>
      </c>
    </row>
    <row r="324" customFormat="false" ht="15" hidden="false" customHeight="true" outlineLevel="0" collapsed="false">
      <c r="A324" s="5" t="s">
        <v>103</v>
      </c>
      <c r="B324" s="5" t="s">
        <v>17</v>
      </c>
      <c r="C324" s="5" t="s">
        <v>18</v>
      </c>
      <c r="D324" s="5" t="n">
        <v>0</v>
      </c>
      <c r="E324" s="5" t="n">
        <v>0</v>
      </c>
      <c r="F324" s="5" t="n">
        <v>1</v>
      </c>
      <c r="G324" s="5" t="n">
        <v>0</v>
      </c>
      <c r="H324" s="5" t="n">
        <v>0</v>
      </c>
      <c r="I324" s="5" t="n">
        <v>0</v>
      </c>
      <c r="J324" s="5" t="n">
        <v>559660.84</v>
      </c>
    </row>
  </sheetData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6"/>
    <col collapsed="false" customWidth="true" hidden="false" outlineLevel="0" max="6" min="3" style="1" width="6"/>
  </cols>
  <sheetData>
    <row r="1" customFormat="false" ht="15.75" hidden="false" customHeight="true" outlineLevel="0" collapsed="false">
      <c r="A1" s="2" t="s">
        <v>118</v>
      </c>
    </row>
    <row r="2" customFormat="false" ht="15" hidden="false" customHeight="true" outlineLevel="0" collapsed="false">
      <c r="A2" s="7" t="s">
        <v>119</v>
      </c>
      <c r="B2" s="7"/>
      <c r="C2" s="7"/>
      <c r="D2" s="7"/>
      <c r="E2" s="7"/>
      <c r="F2" s="7"/>
    </row>
    <row r="4" customFormat="false" ht="15" hidden="false" customHeight="true" outlineLevel="0" collapsed="false">
      <c r="A4" s="8" t="s">
        <v>120</v>
      </c>
    </row>
    <row r="5" customFormat="false" ht="15" hidden="false" customHeight="true" outlineLevel="0" collapsed="false">
      <c r="A5" s="9" t="s">
        <v>121</v>
      </c>
      <c r="B5" s="10" t="s">
        <v>7</v>
      </c>
    </row>
    <row r="6" customFormat="false" ht="15" hidden="false" customHeight="true" outlineLevel="0" collapsed="false">
      <c r="A6" s="9" t="s">
        <v>122</v>
      </c>
      <c r="B6" s="11" t="n">
        <f aca="false">SLOPE(cleaned_data!$M$5:$M$324,cleaned_data!$F$5:$F$324)</f>
        <v>35.6780310726405</v>
      </c>
    </row>
    <row r="7" customFormat="false" ht="15" hidden="false" customHeight="true" outlineLevel="0" collapsed="false">
      <c r="A7" s="9" t="s">
        <v>123</v>
      </c>
      <c r="B7" s="12" t="n">
        <f aca="false">INTERCEPT(cleaned_data!$M$5:$M$324,cleaned_data!$F$5:$F$324)</f>
        <v>446410.582933954</v>
      </c>
    </row>
    <row r="8" customFormat="false" ht="15" hidden="false" customHeight="true" outlineLevel="0" collapsed="false">
      <c r="A8" s="9" t="s">
        <v>124</v>
      </c>
      <c r="B8" s="11" t="n">
        <f aca="false">RSQ(cleaned_data!$M$5:$M$324,cleaned_data!$F$5:$F$324)</f>
        <v>0.736285340003311</v>
      </c>
    </row>
    <row r="9" customFormat="false" ht="15" hidden="false" customHeight="true" outlineLevel="0" collapsed="false">
      <c r="A9" s="9" t="s">
        <v>125</v>
      </c>
      <c r="B9" s="11" t="n">
        <f aca="false">CORREL(cleaned_data!$M$5:$M$324,cleaned_data!$F$5:$F$324)</f>
        <v>0.858070708044105</v>
      </c>
    </row>
    <row r="10" customFormat="false" ht="15" hidden="false" customHeight="true" outlineLevel="0" collapsed="false">
      <c r="A10" s="9" t="s">
        <v>126</v>
      </c>
      <c r="B10" s="11" t="n">
        <f aca="false">INDEX(LINEST(cleaned_data!$M$5:$M$324,cleaned_data!$F$5:$F$324,TRUE(),TRUE()),2,1)</f>
        <v>1.19737828903408</v>
      </c>
    </row>
    <row r="11" customFormat="false" ht="15" hidden="false" customHeight="true" outlineLevel="0" collapsed="false">
      <c r="A11" s="9" t="s">
        <v>127</v>
      </c>
      <c r="B11" s="13" t="n">
        <f aca="false">INDEX(LINEST(cleaned_data!$M$5:$M$324,cleaned_data!$F$5:$F$324,TRUE(),TRUE()),1,1)/INDEX(LINEST(cleaned_data!$M$5:$M$324,cleaned_data!$F$5:$F$324,TRUE(),TRUE()),2,1)</f>
        <v>29.7967913727764</v>
      </c>
    </row>
    <row r="12" customFormat="false" ht="15" hidden="false" customHeight="true" outlineLevel="0" collapsed="false">
      <c r="A12" s="9" t="s">
        <v>128</v>
      </c>
      <c r="B12" s="14" t="n">
        <f aca="false">TDIST(ABS(INDEX(LINEST(cleaned_data!$M$5:$M$324,cleaned_data!$F$5:$F$324,TRUE(),TRUE()),1,1)/INDEX(LINEST(cleaned_data!$M$5:$M$324,cleaned_data!$F$5:$F$324,TRUE(),TRUE()),2,1)),COUNT(cleaned_data!$F$5:$F$324)-2,2)</f>
        <v>4.75036150900558E-094</v>
      </c>
    </row>
    <row r="13" customFormat="false" ht="15" hidden="false" customHeight="true" outlineLevel="0" collapsed="false">
      <c r="A13" s="9" t="s">
        <v>129</v>
      </c>
      <c r="B13" s="10" t="n">
        <f aca="false">COUNT(cleaned_data!$F$5:$F$324)</f>
        <v>320</v>
      </c>
    </row>
    <row r="15" customFormat="false" ht="15" hidden="false" customHeight="true" outlineLevel="0" collapsed="false">
      <c r="A15" s="8" t="s">
        <v>130</v>
      </c>
    </row>
    <row r="16" customFormat="false" ht="15" hidden="false" customHeight="true" outlineLevel="0" collapsed="false">
      <c r="A16" s="9" t="s">
        <v>121</v>
      </c>
      <c r="B16" s="10" t="s">
        <v>6</v>
      </c>
    </row>
    <row r="17" customFormat="false" ht="15" hidden="false" customHeight="true" outlineLevel="0" collapsed="false">
      <c r="A17" s="9" t="s">
        <v>122</v>
      </c>
      <c r="B17" s="11" t="n">
        <f aca="false">SLOPE(cleaned_data!$M$5:$M$324,cleaned_data!$E$5:$E$324)</f>
        <v>2.12957532758983</v>
      </c>
    </row>
    <row r="18" customFormat="false" ht="15" hidden="false" customHeight="true" outlineLevel="0" collapsed="false">
      <c r="A18" s="9" t="s">
        <v>123</v>
      </c>
      <c r="B18" s="12" t="n">
        <f aca="false">INTERCEPT(cleaned_data!$M$5:$M$324,cleaned_data!$E$5:$E$324)</f>
        <v>560777.345449437</v>
      </c>
    </row>
    <row r="19" customFormat="false" ht="15" hidden="false" customHeight="true" outlineLevel="0" collapsed="false">
      <c r="A19" s="9" t="s">
        <v>124</v>
      </c>
      <c r="B19" s="11" t="n">
        <f aca="false">RSQ(cleaned_data!$M$5:$M$324,cleaned_data!$E$5:$E$324)</f>
        <v>0.16724469112487</v>
      </c>
    </row>
    <row r="20" customFormat="false" ht="15" hidden="false" customHeight="true" outlineLevel="0" collapsed="false">
      <c r="A20" s="9" t="s">
        <v>125</v>
      </c>
      <c r="B20" s="11" t="n">
        <f aca="false">CORREL(cleaned_data!$M$5:$M$324,cleaned_data!$E$5:$E$324)</f>
        <v>0.408955610213223</v>
      </c>
    </row>
    <row r="21" customFormat="false" ht="15" hidden="false" customHeight="true" outlineLevel="0" collapsed="false">
      <c r="A21" s="9" t="s">
        <v>126</v>
      </c>
      <c r="B21" s="11" t="n">
        <f aca="false">INDEX(LINEST(cleaned_data!$M$5:$M$324,cleaned_data!$E$5:$E$324,TRUE(),TRUE()),2,1)</f>
        <v>0.266478381069324</v>
      </c>
    </row>
    <row r="22" customFormat="false" ht="15" hidden="false" customHeight="true" outlineLevel="0" collapsed="false">
      <c r="A22" s="9" t="s">
        <v>127</v>
      </c>
      <c r="B22" s="13" t="n">
        <f aca="false">INDEX(LINEST(cleaned_data!$M$5:$M$324,cleaned_data!$E$5:$E$324,TRUE(),TRUE()),1,1)/INDEX(LINEST(cleaned_data!$M$5:$M$324,cleaned_data!$E$5:$E$324,TRUE(),TRUE()),2,1)</f>
        <v>7.99155008013887</v>
      </c>
    </row>
    <row r="23" customFormat="false" ht="15" hidden="false" customHeight="true" outlineLevel="0" collapsed="false">
      <c r="A23" s="9" t="s">
        <v>128</v>
      </c>
      <c r="B23" s="14" t="n">
        <f aca="false">TDIST(ABS(INDEX(LINEST(cleaned_data!$M$5:$M$324,cleaned_data!$E$5:$E$324,TRUE(),TRUE()),1,1)/INDEX(LINEST(cleaned_data!$M$5:$M$324,cleaned_data!$E$5:$E$324,TRUE(),TRUE()),2,1)),COUNT(cleaned_data!$E$5:$E$324)-2,2)</f>
        <v>2.480061510136E-014</v>
      </c>
    </row>
    <row r="24" customFormat="false" ht="15" hidden="false" customHeight="true" outlineLevel="0" collapsed="false">
      <c r="A24" s="9" t="s">
        <v>129</v>
      </c>
      <c r="B24" s="10" t="n">
        <f aca="false">COUNT(cleaned_data!$E$5:$E$324)</f>
        <v>320</v>
      </c>
    </row>
    <row r="26" customFormat="false" ht="15" hidden="false" customHeight="true" outlineLevel="0" collapsed="false">
      <c r="A26" s="8" t="s">
        <v>131</v>
      </c>
    </row>
    <row r="27" customFormat="false" ht="15" hidden="false" customHeight="true" outlineLevel="0" collapsed="false">
      <c r="A27" s="9" t="s">
        <v>121</v>
      </c>
      <c r="B27" s="10" t="s">
        <v>9</v>
      </c>
    </row>
    <row r="28" customFormat="false" ht="15" hidden="false" customHeight="true" outlineLevel="0" collapsed="false">
      <c r="A28" s="9" t="s">
        <v>122</v>
      </c>
      <c r="B28" s="11" t="n">
        <f aca="false">SLOPE(cleaned_data!$M$5:$M$324,cleaned_data!$H$5:$H$324)</f>
        <v>16984.0287602258</v>
      </c>
    </row>
    <row r="29" customFormat="false" ht="15" hidden="false" customHeight="true" outlineLevel="0" collapsed="false">
      <c r="A29" s="9" t="s">
        <v>123</v>
      </c>
      <c r="B29" s="12" t="n">
        <f aca="false">INTERCEPT(cleaned_data!$M$5:$M$324,cleaned_data!$H$5:$H$324)</f>
        <v>400551.468600902</v>
      </c>
    </row>
    <row r="30" customFormat="false" ht="15" hidden="false" customHeight="true" outlineLevel="0" collapsed="false">
      <c r="A30" s="9" t="s">
        <v>124</v>
      </c>
      <c r="B30" s="11" t="n">
        <f aca="false">RSQ(cleaned_data!$M$5:$M$324,cleaned_data!$H$5:$H$324)</f>
        <v>0.652290446988239</v>
      </c>
    </row>
    <row r="31" customFormat="false" ht="15" hidden="false" customHeight="true" outlineLevel="0" collapsed="false">
      <c r="A31" s="9" t="s">
        <v>125</v>
      </c>
      <c r="B31" s="11" t="n">
        <f aca="false">CORREL(cleaned_data!$M$5:$M$324,cleaned_data!$H$5:$H$324)</f>
        <v>0.807645000596326</v>
      </c>
    </row>
    <row r="32" customFormat="false" ht="15" hidden="false" customHeight="true" outlineLevel="0" collapsed="false">
      <c r="A32" s="9" t="s">
        <v>126</v>
      </c>
      <c r="B32" s="11" t="n">
        <f aca="false">INDEX(LINEST(cleaned_data!$M$5:$M$324,cleaned_data!$H$5:$H$324,TRUE(),TRUE()),2,1)</f>
        <v>695.368412697144</v>
      </c>
    </row>
    <row r="33" customFormat="false" ht="15" hidden="false" customHeight="true" outlineLevel="0" collapsed="false">
      <c r="A33" s="9" t="s">
        <v>127</v>
      </c>
      <c r="B33" s="13" t="n">
        <f aca="false">INDEX(LINEST(cleaned_data!$M$5:$M$324,cleaned_data!$H$5:$H$324,TRUE(),TRUE()),1,1)/INDEX(LINEST(cleaned_data!$M$5:$M$324,cleaned_data!$H$5:$H$324,TRUE(),TRUE()),2,1)</f>
        <v>24.4245042629265</v>
      </c>
    </row>
    <row r="34" customFormat="false" ht="15" hidden="false" customHeight="true" outlineLevel="0" collapsed="false">
      <c r="A34" s="9" t="s">
        <v>128</v>
      </c>
      <c r="B34" s="14" t="n">
        <f aca="false">TDIST(ABS(INDEX(LINEST(cleaned_data!$M$5:$M$324,cleaned_data!$H$5:$H$324,TRUE(),TRUE()),1,1)/INDEX(LINEST(cleaned_data!$M$5:$M$324,cleaned_data!$H$5:$H$324,TRUE(),TRUE()),2,1)),COUNT(cleaned_data!$H$5:$H$324)-2,2)</f>
        <v>6.25010178940452E-075</v>
      </c>
    </row>
    <row r="35" customFormat="false" ht="15" hidden="false" customHeight="true" outlineLevel="0" collapsed="false">
      <c r="A35" s="9" t="s">
        <v>129</v>
      </c>
      <c r="B35" s="10" t="n">
        <f aca="false">COUNT(cleaned_data!$H$5:$H$324)</f>
        <v>320</v>
      </c>
    </row>
    <row r="37" customFormat="false" ht="15" hidden="false" customHeight="true" outlineLevel="0" collapsed="false">
      <c r="A37" s="8" t="s">
        <v>132</v>
      </c>
    </row>
    <row r="38" customFormat="false" ht="15" hidden="false" customHeight="true" outlineLevel="0" collapsed="false">
      <c r="A38" s="9" t="s">
        <v>121</v>
      </c>
      <c r="B38" s="10" t="s">
        <v>8</v>
      </c>
    </row>
    <row r="39" customFormat="false" ht="15" hidden="false" customHeight="true" outlineLevel="0" collapsed="false">
      <c r="A39" s="9" t="s">
        <v>122</v>
      </c>
      <c r="B39" s="11" t="n">
        <f aca="false">SLOPE(cleaned_data!$M$5:$M$324,cleaned_data!$G$5:$G$324)</f>
        <v>-138730.454716381</v>
      </c>
    </row>
    <row r="40" customFormat="false" ht="15" hidden="false" customHeight="true" outlineLevel="0" collapsed="false">
      <c r="A40" s="9" t="s">
        <v>123</v>
      </c>
      <c r="B40" s="12" t="n">
        <f aca="false">INTERCEPT(cleaned_data!$M$5:$M$324,cleaned_data!$G$5:$G$324)</f>
        <v>697835.629586541</v>
      </c>
    </row>
    <row r="41" customFormat="false" ht="15" hidden="false" customHeight="true" outlineLevel="0" collapsed="false">
      <c r="A41" s="9" t="s">
        <v>124</v>
      </c>
      <c r="B41" s="11" t="n">
        <f aca="false">RSQ(cleaned_data!$M$5:$M$324,cleaned_data!$G$5:$G$324)</f>
        <v>0.00829050302440034</v>
      </c>
    </row>
    <row r="42" customFormat="false" ht="15" hidden="false" customHeight="true" outlineLevel="0" collapsed="false">
      <c r="A42" s="9" t="s">
        <v>125</v>
      </c>
      <c r="B42" s="11" t="n">
        <f aca="false">CORREL(cleaned_data!$M$5:$M$324,cleaned_data!$G$5:$G$324)</f>
        <v>-0.0910521994484501</v>
      </c>
    </row>
    <row r="43" customFormat="false" ht="15" hidden="false" customHeight="true" outlineLevel="0" collapsed="false">
      <c r="A43" s="9" t="s">
        <v>126</v>
      </c>
      <c r="B43" s="11" t="n">
        <f aca="false">INDEX(LINEST(cleaned_data!$M$5:$M$324,cleaned_data!$G$5:$G$324,TRUE(),TRUE()),2,1)</f>
        <v>85086.3795796685</v>
      </c>
    </row>
    <row r="44" customFormat="false" ht="15" hidden="false" customHeight="true" outlineLevel="0" collapsed="false">
      <c r="A44" s="9" t="s">
        <v>127</v>
      </c>
      <c r="B44" s="13" t="n">
        <f aca="false">INDEX(LINEST(cleaned_data!$M$5:$M$324,cleaned_data!$G$5:$G$324,TRUE(),TRUE()),1,1)/INDEX(LINEST(cleaned_data!$M$5:$M$324,cleaned_data!$G$5:$G$324,TRUE(),TRUE()),2,1)</f>
        <v>-1.63046606756236</v>
      </c>
    </row>
    <row r="45" customFormat="false" ht="15" hidden="false" customHeight="true" outlineLevel="0" collapsed="false">
      <c r="A45" s="9" t="s">
        <v>128</v>
      </c>
      <c r="B45" s="14" t="n">
        <f aca="false">TDIST(ABS(INDEX(LINEST(cleaned_data!$M$5:$M$324,cleaned_data!$G$5:$G$324,TRUE(),TRUE()),1,1)/INDEX(LINEST(cleaned_data!$M$5:$M$324,cleaned_data!$G$5:$G$324,TRUE(),TRUE()),2,1)),COUNT(cleaned_data!$G$5:$G$324)-2,2)</f>
        <v>0.103993046419031</v>
      </c>
    </row>
    <row r="46" customFormat="false" ht="15" hidden="false" customHeight="true" outlineLevel="0" collapsed="false">
      <c r="A46" s="9" t="s">
        <v>129</v>
      </c>
      <c r="B46" s="10" t="n">
        <f aca="false">COUNT(cleaned_data!$G$5:$G$324)</f>
        <v>320</v>
      </c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9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7"/>
    <col collapsed="false" customWidth="true" hidden="false" outlineLevel="0" max="8" min="8" style="1" width="12"/>
    <col collapsed="false" customWidth="true" hidden="false" outlineLevel="0" max="11" min="9" style="1" width="8"/>
    <col collapsed="false" customWidth="true" hidden="false" outlineLevel="0" max="12" min="12" style="1" width="3"/>
    <col collapsed="false" customWidth="true" hidden="false" outlineLevel="0" max="13" min="13" style="1" width="11"/>
    <col collapsed="false" customWidth="true" hidden="false" outlineLevel="0" max="14" min="14" style="1" width="14"/>
    <col collapsed="false" customWidth="true" hidden="false" outlineLevel="0" max="15" min="15" style="1" width="11"/>
    <col collapsed="false" customWidth="true" hidden="false" outlineLevel="0" max="16" min="16" style="1" width="9"/>
    <col collapsed="false" customWidth="true" hidden="false" outlineLevel="0" max="17" min="17" style="1" width="8"/>
    <col collapsed="false" customWidth="true" hidden="false" outlineLevel="0" max="18" min="18" style="1" width="9"/>
  </cols>
  <sheetData>
    <row r="1" customFormat="false" ht="15.75" hidden="false" customHeight="true" outlineLevel="0" collapsed="false">
      <c r="A1" s="2" t="s">
        <v>133</v>
      </c>
    </row>
    <row r="2" customFormat="false" ht="15" hidden="false" customHeight="true" outlineLevel="0" collapsed="false">
      <c r="A2" s="7" t="s">
        <v>134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customFormat="false" ht="15" hidden="false" customHeight="true" outlineLevel="0" collapsed="false">
      <c r="A4" s="8" t="s">
        <v>135</v>
      </c>
    </row>
    <row r="5" customFormat="false" ht="23.25" hidden="false" customHeight="true" outlineLevel="0" collapsed="false">
      <c r="A5" s="4" t="s">
        <v>14</v>
      </c>
      <c r="B5" s="4" t="s">
        <v>7</v>
      </c>
      <c r="C5" s="4" t="s">
        <v>6</v>
      </c>
      <c r="D5" s="4" t="s">
        <v>10</v>
      </c>
      <c r="E5" s="4" t="s">
        <v>9</v>
      </c>
      <c r="F5" s="4" t="s">
        <v>112</v>
      </c>
      <c r="G5" s="4" t="s">
        <v>113</v>
      </c>
      <c r="H5" s="4" t="s">
        <v>114</v>
      </c>
      <c r="I5" s="4" t="s">
        <v>115</v>
      </c>
      <c r="J5" s="4" t="s">
        <v>116</v>
      </c>
      <c r="K5" s="4" t="s">
        <v>117</v>
      </c>
      <c r="N5" s="8" t="s">
        <v>136</v>
      </c>
    </row>
    <row r="6" customFormat="false" ht="15" hidden="false" customHeight="true" outlineLevel="0" collapsed="false">
      <c r="A6" s="15" t="n">
        <f aca="false">cleaned_data!$M$5</f>
        <v>658832.62</v>
      </c>
      <c r="B6" s="15" t="n">
        <f aca="false">cleaned_data!$F$5</f>
        <v>8302</v>
      </c>
      <c r="C6" s="15" t="n">
        <f aca="false">cleaned_data!$E$5</f>
        <v>70389.11</v>
      </c>
      <c r="D6" s="15" t="n">
        <f aca="false">cleaned_data!$I$5</f>
        <v>75</v>
      </c>
      <c r="E6" s="15" t="n">
        <f aca="false">cleaned_data!$H$5</f>
        <v>17</v>
      </c>
      <c r="F6" s="15" t="n">
        <f aca="false">dummy_variables!$D$5</f>
        <v>0</v>
      </c>
      <c r="G6" s="15" t="n">
        <f aca="false">dummy_variables!$E$5</f>
        <v>0</v>
      </c>
      <c r="H6" s="15" t="n">
        <f aca="false">dummy_variables!$F$5</f>
        <v>1</v>
      </c>
      <c r="I6" s="15" t="n">
        <f aca="false">dummy_variables!$G$5</f>
        <v>0</v>
      </c>
      <c r="J6" s="15" t="n">
        <f aca="false">dummy_variables!$H$5</f>
        <v>0</v>
      </c>
      <c r="K6" s="15" t="n">
        <f aca="false">dummy_variables!$I$5</f>
        <v>0</v>
      </c>
      <c r="N6" s="7" t="s">
        <v>137</v>
      </c>
      <c r="O6" s="7"/>
      <c r="P6" s="7"/>
    </row>
    <row r="7" customFormat="false" ht="15" hidden="false" customHeight="true" outlineLevel="0" collapsed="false">
      <c r="A7" s="15" t="n">
        <f aca="false">cleaned_data!$M$6</f>
        <v>634436</v>
      </c>
      <c r="B7" s="15" t="n">
        <f aca="false">cleaned_data!$F$6</f>
        <v>8487</v>
      </c>
      <c r="C7" s="15" t="n">
        <f aca="false">cleaned_data!$E$6</f>
        <v>43827.89</v>
      </c>
      <c r="D7" s="15" t="n">
        <f aca="false">cleaned_data!$I$6</f>
        <v>84.4</v>
      </c>
      <c r="E7" s="15" t="n">
        <f aca="false">cleaned_data!$H$6</f>
        <v>23</v>
      </c>
      <c r="F7" s="15" t="n">
        <f aca="false">dummy_variables!$D$6</f>
        <v>0</v>
      </c>
      <c r="G7" s="15" t="n">
        <f aca="false">dummy_variables!$E$6</f>
        <v>0</v>
      </c>
      <c r="H7" s="15" t="n">
        <f aca="false">dummy_variables!$F$6</f>
        <v>1</v>
      </c>
      <c r="I7" s="15" t="n">
        <f aca="false">dummy_variables!$G$6</f>
        <v>0</v>
      </c>
      <c r="J7" s="15" t="n">
        <f aca="false">dummy_variables!$H$6</f>
        <v>0</v>
      </c>
      <c r="K7" s="15" t="n">
        <f aca="false">dummy_variables!$I$6</f>
        <v>0</v>
      </c>
      <c r="N7" s="3" t="s">
        <v>117</v>
      </c>
      <c r="O7" s="3" t="s">
        <v>116</v>
      </c>
      <c r="P7" s="3" t="s">
        <v>115</v>
      </c>
      <c r="Q7" s="3" t="s">
        <v>114</v>
      </c>
      <c r="R7" s="3" t="s">
        <v>113</v>
      </c>
      <c r="S7" s="3" t="s">
        <v>112</v>
      </c>
      <c r="T7" s="3" t="s">
        <v>9</v>
      </c>
      <c r="U7" s="3" t="s">
        <v>138</v>
      </c>
      <c r="V7" s="3" t="s">
        <v>6</v>
      </c>
      <c r="W7" s="3" t="s">
        <v>7</v>
      </c>
      <c r="X7" s="3" t="s">
        <v>139</v>
      </c>
    </row>
    <row r="8" customFormat="false" ht="15" hidden="false" customHeight="true" outlineLevel="0" collapsed="false">
      <c r="A8" s="15" t="n">
        <f aca="false">cleaned_data!$M$7</f>
        <v>678722.06</v>
      </c>
      <c r="B8" s="15" t="n">
        <f aca="false">cleaned_data!$F$7</f>
        <v>9113</v>
      </c>
      <c r="C8" s="15" t="n">
        <f aca="false">cleaned_data!$E$7</f>
        <v>59921.75</v>
      </c>
      <c r="D8" s="15" t="n">
        <f aca="false">cleaned_data!$I$7</f>
        <v>88</v>
      </c>
      <c r="E8" s="15" t="n">
        <f aca="false">cleaned_data!$H$7</f>
        <v>20</v>
      </c>
      <c r="F8" s="15" t="n">
        <f aca="false">dummy_variables!$D$7</f>
        <v>0</v>
      </c>
      <c r="G8" s="15" t="n">
        <f aca="false">dummy_variables!$E$7</f>
        <v>0</v>
      </c>
      <c r="H8" s="15" t="n">
        <f aca="false">dummy_variables!$F$7</f>
        <v>1</v>
      </c>
      <c r="I8" s="15" t="n">
        <f aca="false">dummy_variables!$G$7</f>
        <v>0</v>
      </c>
      <c r="J8" s="15" t="n">
        <f aca="false">dummy_variables!$H$7</f>
        <v>0</v>
      </c>
      <c r="K8" s="15" t="n">
        <f aca="false">dummy_variables!$I$7</f>
        <v>0</v>
      </c>
      <c r="N8" s="16" t="n">
        <f aca="false" t="array" ref="N8:X12">LINEST($A$6:$A$325,$B$6:$K$325,TRUE(),TRUE())</f>
        <v>18892.9724862978</v>
      </c>
      <c r="O8" s="16" t="n">
        <v>20900.9359122201</v>
      </c>
      <c r="P8" s="16" t="n">
        <v>7601.23014948106</v>
      </c>
      <c r="Q8" s="16" t="n">
        <v>-17402.3480043135</v>
      </c>
      <c r="R8" s="16" t="n">
        <v>12191.5416043552</v>
      </c>
      <c r="S8" s="16" t="n">
        <v>22531.6788173183</v>
      </c>
      <c r="T8" s="16" t="n">
        <v>2790.49147071768</v>
      </c>
      <c r="U8" s="16" t="n">
        <v>3003.33106428938</v>
      </c>
      <c r="V8" s="16" t="n">
        <v>1.17362006809168</v>
      </c>
      <c r="W8" s="16" t="n">
        <v>28.8290852092754</v>
      </c>
      <c r="X8" s="16" t="n">
        <v>103838.08970298</v>
      </c>
    </row>
    <row r="9" customFormat="false" ht="15" hidden="false" customHeight="true" outlineLevel="0" collapsed="false">
      <c r="A9" s="15" t="n">
        <f aca="false">cleaned_data!$M$8</f>
        <v>658920.3</v>
      </c>
      <c r="B9" s="15" t="n">
        <f aca="false">cleaned_data!$F$8</f>
        <v>9431</v>
      </c>
      <c r="C9" s="15" t="n">
        <f aca="false">cleaned_data!$E$8</f>
        <v>56856.63</v>
      </c>
      <c r="D9" s="15" t="n">
        <f aca="false">cleaned_data!$I$8</f>
        <v>86.9</v>
      </c>
      <c r="E9" s="15" t="n">
        <f aca="false">cleaned_data!$H$8</f>
        <v>23</v>
      </c>
      <c r="F9" s="15" t="n">
        <f aca="false">dummy_variables!$D$8</f>
        <v>0</v>
      </c>
      <c r="G9" s="15" t="n">
        <f aca="false">dummy_variables!$E$8</f>
        <v>0</v>
      </c>
      <c r="H9" s="15" t="n">
        <f aca="false">dummy_variables!$F$8</f>
        <v>1</v>
      </c>
      <c r="I9" s="15" t="n">
        <f aca="false">dummy_variables!$G$8</f>
        <v>0</v>
      </c>
      <c r="J9" s="15" t="n">
        <f aca="false">dummy_variables!$H$8</f>
        <v>0</v>
      </c>
      <c r="K9" s="15" t="n">
        <f aca="false">dummy_variables!$I$8</f>
        <v>0</v>
      </c>
      <c r="N9" s="16" t="n">
        <v>6280.39839812187</v>
      </c>
      <c r="O9" s="16" t="n">
        <v>7094.52140279389</v>
      </c>
      <c r="P9" s="16" t="n">
        <v>7032.3393749582</v>
      </c>
      <c r="Q9" s="16" t="n">
        <v>6006.09903195183</v>
      </c>
      <c r="R9" s="16" t="n">
        <v>6510.4519453694</v>
      </c>
      <c r="S9" s="16" t="n">
        <v>9298.28199785129</v>
      </c>
      <c r="T9" s="16" t="n">
        <v>1254.62970167204</v>
      </c>
      <c r="U9" s="16" t="n">
        <v>458.637174816568</v>
      </c>
      <c r="V9" s="16" t="n">
        <v>0.126204879580279</v>
      </c>
      <c r="W9" s="16" t="n">
        <v>2.48043460014813</v>
      </c>
      <c r="X9" s="16" t="n">
        <v>42406.3745931303</v>
      </c>
    </row>
    <row r="10" customFormat="false" ht="15" hidden="false" customHeight="true" outlineLevel="0" collapsed="false">
      <c r="A10" s="15" t="n">
        <f aca="false">cleaned_data!$M$9</f>
        <v>741341.44</v>
      </c>
      <c r="B10" s="15" t="n">
        <f aca="false">cleaned_data!$F$9</f>
        <v>9545</v>
      </c>
      <c r="C10" s="15" t="n">
        <f aca="false">cleaned_data!$E$9</f>
        <v>48412.64</v>
      </c>
      <c r="D10" s="15" t="n">
        <f aca="false">cleaned_data!$I$9</f>
        <v>97.6</v>
      </c>
      <c r="E10" s="15" t="n">
        <f aca="false">cleaned_data!$H$9</f>
        <v>21</v>
      </c>
      <c r="F10" s="15" t="n">
        <f aca="false">dummy_variables!$D$9</f>
        <v>0</v>
      </c>
      <c r="G10" s="15" t="n">
        <f aca="false">dummy_variables!$E$9</f>
        <v>0</v>
      </c>
      <c r="H10" s="15" t="n">
        <f aca="false">dummy_variables!$F$9</f>
        <v>0</v>
      </c>
      <c r="I10" s="15" t="n">
        <f aca="false">dummy_variables!$G$9</f>
        <v>0</v>
      </c>
      <c r="J10" s="15" t="n">
        <f aca="false">dummy_variables!$H$9</f>
        <v>0</v>
      </c>
      <c r="K10" s="15" t="n">
        <f aca="false">dummy_variables!$I$9</f>
        <v>0</v>
      </c>
      <c r="N10" s="16" t="n">
        <v>0.829555228919719</v>
      </c>
      <c r="O10" s="16" t="n">
        <v>43529.7959372658</v>
      </c>
      <c r="P10" s="16" t="e">
        <v>#N/A</v>
      </c>
      <c r="Q10" s="16" t="e">
        <v>#N/A</v>
      </c>
      <c r="R10" s="16" t="e">
        <v>#N/A</v>
      </c>
      <c r="S10" s="16" t="e">
        <v>#N/A</v>
      </c>
      <c r="T10" s="16" t="e">
        <v>#N/A</v>
      </c>
      <c r="U10" s="16" t="e">
        <v>#N/A</v>
      </c>
      <c r="V10" s="16" t="e">
        <v>#N/A</v>
      </c>
      <c r="W10" s="16" t="e">
        <v>#N/A</v>
      </c>
      <c r="X10" s="16" t="e">
        <v>#N/A</v>
      </c>
    </row>
    <row r="11" customFormat="false" ht="15" hidden="false" customHeight="true" outlineLevel="0" collapsed="false">
      <c r="A11" s="15" t="n">
        <f aca="false">cleaned_data!$M$10</f>
        <v>761835.34</v>
      </c>
      <c r="B11" s="15" t="n">
        <f aca="false">cleaned_data!$F$10</f>
        <v>9792</v>
      </c>
      <c r="C11" s="15" t="n">
        <f aca="false">cleaned_data!$E$10</f>
        <v>64811.21</v>
      </c>
      <c r="D11" s="15" t="n">
        <f aca="false">cleaned_data!$I$10</f>
        <v>84.2</v>
      </c>
      <c r="E11" s="15" t="n">
        <f aca="false">cleaned_data!$H$10</f>
        <v>20</v>
      </c>
      <c r="F11" s="15" t="n">
        <f aca="false">dummy_variables!$D$10</f>
        <v>0</v>
      </c>
      <c r="G11" s="15" t="n">
        <f aca="false">dummy_variables!$E$10</f>
        <v>0</v>
      </c>
      <c r="H11" s="15" t="n">
        <f aca="false">dummy_variables!$F$10</f>
        <v>0</v>
      </c>
      <c r="I11" s="15" t="n">
        <f aca="false">dummy_variables!$G$10</f>
        <v>0</v>
      </c>
      <c r="J11" s="15" t="n">
        <f aca="false">dummy_variables!$H$10</f>
        <v>0</v>
      </c>
      <c r="K11" s="15" t="n">
        <f aca="false">dummy_variables!$I$10</f>
        <v>0</v>
      </c>
      <c r="N11" s="16" t="n">
        <v>150.390395734381</v>
      </c>
      <c r="O11" s="16" t="n">
        <v>309</v>
      </c>
      <c r="P11" s="16" t="e">
        <v>#N/A</v>
      </c>
      <c r="Q11" s="16" t="e">
        <v>#N/A</v>
      </c>
      <c r="R11" s="16" t="e">
        <v>#N/A</v>
      </c>
      <c r="S11" s="16" t="e">
        <v>#N/A</v>
      </c>
      <c r="T11" s="16" t="e">
        <v>#N/A</v>
      </c>
      <c r="U11" s="16" t="e">
        <v>#N/A</v>
      </c>
      <c r="V11" s="16" t="e">
        <v>#N/A</v>
      </c>
      <c r="W11" s="16" t="e">
        <v>#N/A</v>
      </c>
      <c r="X11" s="16" t="e">
        <v>#N/A</v>
      </c>
    </row>
    <row r="12" customFormat="false" ht="15" hidden="false" customHeight="true" outlineLevel="0" collapsed="false">
      <c r="A12" s="15" t="n">
        <f aca="false">cleaned_data!$M$11</f>
        <v>806615.54</v>
      </c>
      <c r="B12" s="15" t="n">
        <f aca="false">cleaned_data!$F$11</f>
        <v>10616</v>
      </c>
      <c r="C12" s="15" t="n">
        <f aca="false">cleaned_data!$E$11</f>
        <v>46213.45</v>
      </c>
      <c r="D12" s="15" t="n">
        <f aca="false">cleaned_data!$I$11</f>
        <v>85.2</v>
      </c>
      <c r="E12" s="15" t="n">
        <f aca="false">cleaned_data!$H$11</f>
        <v>22</v>
      </c>
      <c r="F12" s="15" t="n">
        <f aca="false">dummy_variables!$D$11</f>
        <v>0</v>
      </c>
      <c r="G12" s="15" t="n">
        <f aca="false">dummy_variables!$E$11</f>
        <v>0</v>
      </c>
      <c r="H12" s="15" t="n">
        <f aca="false">dummy_variables!$F$11</f>
        <v>0</v>
      </c>
      <c r="I12" s="15" t="n">
        <f aca="false">dummy_variables!$G$11</f>
        <v>0</v>
      </c>
      <c r="J12" s="15" t="n">
        <f aca="false">dummy_variables!$H$11</f>
        <v>0</v>
      </c>
      <c r="K12" s="15" t="n">
        <f aca="false">dummy_variables!$I$11</f>
        <v>0</v>
      </c>
      <c r="N12" s="16" t="n">
        <v>2849662088279.68</v>
      </c>
      <c r="O12" s="16" t="n">
        <v>585506528511.062</v>
      </c>
      <c r="P12" s="16" t="e">
        <v>#N/A</v>
      </c>
      <c r="Q12" s="16" t="e">
        <v>#N/A</v>
      </c>
      <c r="R12" s="16" t="e">
        <v>#N/A</v>
      </c>
      <c r="S12" s="16" t="e">
        <v>#N/A</v>
      </c>
      <c r="T12" s="16" t="e">
        <v>#N/A</v>
      </c>
      <c r="U12" s="16" t="e">
        <v>#N/A</v>
      </c>
      <c r="V12" s="16" t="e">
        <v>#N/A</v>
      </c>
      <c r="W12" s="16" t="e">
        <v>#N/A</v>
      </c>
      <c r="X12" s="16" t="e">
        <v>#N/A</v>
      </c>
    </row>
    <row r="13" customFormat="false" ht="15" hidden="false" customHeight="true" outlineLevel="0" collapsed="false">
      <c r="A13" s="15" t="n">
        <f aca="false">cleaned_data!$M$12</f>
        <v>850164.26</v>
      </c>
      <c r="B13" s="15" t="n">
        <f aca="false">cleaned_data!$F$12</f>
        <v>8567</v>
      </c>
      <c r="C13" s="15" t="n">
        <f aca="false">cleaned_data!$E$12</f>
        <v>68148.52</v>
      </c>
      <c r="D13" s="15" t="n">
        <f aca="false">cleaned_data!$I$12</f>
        <v>95.6</v>
      </c>
      <c r="E13" s="15" t="n">
        <f aca="false">cleaned_data!$H$12</f>
        <v>23</v>
      </c>
      <c r="F13" s="15" t="n">
        <f aca="false">dummy_variables!$D$12</f>
        <v>0</v>
      </c>
      <c r="G13" s="15" t="n">
        <f aca="false">dummy_variables!$E$12</f>
        <v>0</v>
      </c>
      <c r="H13" s="15" t="n">
        <f aca="false">dummy_variables!$F$12</f>
        <v>0</v>
      </c>
      <c r="I13" s="15" t="n">
        <f aca="false">dummy_variables!$G$12</f>
        <v>0</v>
      </c>
      <c r="J13" s="15" t="n">
        <f aca="false">dummy_variables!$H$12</f>
        <v>0</v>
      </c>
      <c r="K13" s="15" t="n">
        <f aca="false">dummy_variables!$I$12</f>
        <v>0</v>
      </c>
      <c r="N13" s="17" t="s">
        <v>140</v>
      </c>
    </row>
    <row r="14" customFormat="false" ht="15" hidden="false" customHeight="true" outlineLevel="0" collapsed="false">
      <c r="A14" s="15" t="n">
        <f aca="false">cleaned_data!$M$13</f>
        <v>930581.7</v>
      </c>
      <c r="B14" s="15" t="n">
        <f aca="false">cleaned_data!$F$13</f>
        <v>10979</v>
      </c>
      <c r="C14" s="15" t="n">
        <f aca="false">cleaned_data!$E$13</f>
        <v>71838.86</v>
      </c>
      <c r="D14" s="15" t="n">
        <f aca="false">cleaned_data!$I$13</f>
        <v>88.6</v>
      </c>
      <c r="E14" s="15" t="n">
        <f aca="false">cleaned_data!$H$13</f>
        <v>26</v>
      </c>
      <c r="F14" s="15" t="n">
        <f aca="false">dummy_variables!$D$13</f>
        <v>1</v>
      </c>
      <c r="G14" s="15" t="n">
        <f aca="false">dummy_variables!$E$13</f>
        <v>0</v>
      </c>
      <c r="H14" s="15" t="n">
        <f aca="false">dummy_variables!$F$13</f>
        <v>0</v>
      </c>
      <c r="I14" s="15" t="n">
        <f aca="false">dummy_variables!$G$13</f>
        <v>1</v>
      </c>
      <c r="J14" s="15" t="n">
        <f aca="false">dummy_variables!$H$13</f>
        <v>0</v>
      </c>
      <c r="K14" s="15" t="n">
        <f aca="false">dummy_variables!$I$13</f>
        <v>0</v>
      </c>
      <c r="N14" s="7" t="s">
        <v>141</v>
      </c>
      <c r="O14" s="7"/>
      <c r="P14" s="7"/>
      <c r="Q14" s="7"/>
      <c r="R14" s="7"/>
      <c r="S14" s="7"/>
      <c r="T14" s="7"/>
      <c r="U14" s="7"/>
      <c r="V14" s="7"/>
      <c r="W14" s="7"/>
      <c r="X14" s="7"/>
    </row>
    <row r="15" customFormat="false" ht="15" hidden="false" customHeight="true" outlineLevel="0" collapsed="false">
      <c r="A15" s="15" t="n">
        <f aca="false">cleaned_data!$M$14</f>
        <v>779010.94</v>
      </c>
      <c r="B15" s="15" t="n">
        <f aca="false">cleaned_data!$F$14</f>
        <v>9459</v>
      </c>
      <c r="C15" s="15" t="n">
        <f aca="false">cleaned_data!$E$14</f>
        <v>68133.44</v>
      </c>
      <c r="D15" s="15" t="n">
        <f aca="false">cleaned_data!$I$14</f>
        <v>85</v>
      </c>
      <c r="E15" s="15" t="n">
        <f aca="false">cleaned_data!$H$14</f>
        <v>21</v>
      </c>
      <c r="F15" s="15" t="n">
        <f aca="false">dummy_variables!$D$14</f>
        <v>1</v>
      </c>
      <c r="G15" s="15" t="n">
        <f aca="false">dummy_variables!$E$14</f>
        <v>0</v>
      </c>
      <c r="H15" s="15" t="n">
        <f aca="false">dummy_variables!$F$14</f>
        <v>0</v>
      </c>
      <c r="I15" s="15" t="n">
        <f aca="false">dummy_variables!$G$14</f>
        <v>1</v>
      </c>
      <c r="J15" s="15" t="n">
        <f aca="false">dummy_variables!$H$14</f>
        <v>0</v>
      </c>
      <c r="K15" s="15" t="n">
        <f aca="false">dummy_variables!$I$14</f>
        <v>0</v>
      </c>
    </row>
    <row r="16" customFormat="false" ht="15" hidden="false" customHeight="true" outlineLevel="0" collapsed="false">
      <c r="A16" s="15" t="n">
        <f aca="false">cleaned_data!$M$15</f>
        <v>723060.76</v>
      </c>
      <c r="B16" s="15" t="n">
        <f aca="false">cleaned_data!$F$15</f>
        <v>9172</v>
      </c>
      <c r="C16" s="15" t="n">
        <f aca="false">cleaned_data!$E$15</f>
        <v>34285.21</v>
      </c>
      <c r="D16" s="15" t="n">
        <f aca="false">cleaned_data!$I$15</f>
        <v>88.3</v>
      </c>
      <c r="E16" s="15" t="n">
        <f aca="false">cleaned_data!$H$15</f>
        <v>22</v>
      </c>
      <c r="F16" s="15" t="n">
        <f aca="false">dummy_variables!$D$15</f>
        <v>1</v>
      </c>
      <c r="G16" s="15" t="n">
        <f aca="false">dummy_variables!$E$15</f>
        <v>0</v>
      </c>
      <c r="H16" s="15" t="n">
        <f aca="false">dummy_variables!$F$15</f>
        <v>0</v>
      </c>
      <c r="I16" s="15" t="n">
        <f aca="false">dummy_variables!$G$15</f>
        <v>1</v>
      </c>
      <c r="J16" s="15" t="n">
        <f aca="false">dummy_variables!$H$15</f>
        <v>0</v>
      </c>
      <c r="K16" s="15" t="n">
        <f aca="false">dummy_variables!$I$15</f>
        <v>0</v>
      </c>
      <c r="N16" s="8" t="s">
        <v>142</v>
      </c>
    </row>
    <row r="17" customFormat="false" ht="15" hidden="false" customHeight="true" outlineLevel="0" collapsed="false">
      <c r="A17" s="15" t="n">
        <f aca="false">cleaned_data!$M$16</f>
        <v>910791.94</v>
      </c>
      <c r="B17" s="15" t="n">
        <f aca="false">cleaned_data!$F$16</f>
        <v>11230</v>
      </c>
      <c r="C17" s="15" t="n">
        <f aca="false">cleaned_data!$E$16</f>
        <v>67979.88</v>
      </c>
      <c r="D17" s="15" t="n">
        <f aca="false">cleaned_data!$I$16</f>
        <v>85.3</v>
      </c>
      <c r="E17" s="15" t="n">
        <f aca="false">cleaned_data!$H$16</f>
        <v>28</v>
      </c>
      <c r="F17" s="15" t="n">
        <f aca="false">dummy_variables!$D$16</f>
        <v>1</v>
      </c>
      <c r="G17" s="15" t="n">
        <f aca="false">dummy_variables!$E$16</f>
        <v>0</v>
      </c>
      <c r="H17" s="15" t="n">
        <f aca="false">dummy_variables!$F$16</f>
        <v>0</v>
      </c>
      <c r="I17" s="15" t="n">
        <f aca="false">dummy_variables!$G$16</f>
        <v>1</v>
      </c>
      <c r="J17" s="15" t="n">
        <f aca="false">dummy_variables!$H$16</f>
        <v>0</v>
      </c>
      <c r="K17" s="15" t="n">
        <f aca="false">dummy_variables!$I$16</f>
        <v>0</v>
      </c>
      <c r="N17" s="4" t="s">
        <v>143</v>
      </c>
      <c r="O17" s="4" t="s">
        <v>144</v>
      </c>
      <c r="P17" s="4" t="s">
        <v>145</v>
      </c>
      <c r="Q17" s="4" t="s">
        <v>127</v>
      </c>
      <c r="R17" s="4" t="s">
        <v>128</v>
      </c>
    </row>
    <row r="18" customFormat="false" ht="15" hidden="false" customHeight="true" outlineLevel="0" collapsed="false">
      <c r="A18" s="15" t="n">
        <f aca="false">cleaned_data!$M$17</f>
        <v>922168.6</v>
      </c>
      <c r="B18" s="15" t="n">
        <f aca="false">cleaned_data!$F$17</f>
        <v>12775</v>
      </c>
      <c r="C18" s="15" t="n">
        <f aca="false">cleaned_data!$E$17</f>
        <v>71828.26</v>
      </c>
      <c r="D18" s="15" t="n">
        <f aca="false">cleaned_data!$I$17</f>
        <v>81.7</v>
      </c>
      <c r="E18" s="15" t="n">
        <f aca="false">cleaned_data!$H$17</f>
        <v>30</v>
      </c>
      <c r="F18" s="15" t="n">
        <f aca="false">dummy_variables!$D$17</f>
        <v>0</v>
      </c>
      <c r="G18" s="15" t="n">
        <f aca="false">dummy_variables!$E$17</f>
        <v>0</v>
      </c>
      <c r="H18" s="15" t="n">
        <f aca="false">dummy_variables!$F$17</f>
        <v>1</v>
      </c>
      <c r="I18" s="15" t="n">
        <f aca="false">dummy_variables!$G$17</f>
        <v>0</v>
      </c>
      <c r="J18" s="15" t="n">
        <f aca="false">dummy_variables!$H$17</f>
        <v>0</v>
      </c>
      <c r="K18" s="15" t="n">
        <f aca="false">dummy_variables!$I$17</f>
        <v>0</v>
      </c>
      <c r="N18" s="18" t="s">
        <v>123</v>
      </c>
      <c r="O18" s="19" t="n">
        <f aca="false">X$8</f>
        <v>103838.08970298</v>
      </c>
      <c r="P18" s="19" t="n">
        <f aca="false">X$9</f>
        <v>42406.3745931303</v>
      </c>
      <c r="Q18" s="20" t="n">
        <f aca="false">X$8/X$9</f>
        <v>2.44864341031883</v>
      </c>
      <c r="R18" s="21" t="n">
        <f aca="false">TDIST(ABS(X$8/X$9),309,2)</f>
        <v>0.0148950571730112</v>
      </c>
    </row>
    <row r="19" customFormat="false" ht="15" hidden="false" customHeight="true" outlineLevel="0" collapsed="false">
      <c r="A19" s="15" t="n">
        <f aca="false">cleaned_data!$M$18</f>
        <v>726606.28</v>
      </c>
      <c r="B19" s="15" t="n">
        <f aca="false">cleaned_data!$F$18</f>
        <v>10054</v>
      </c>
      <c r="C19" s="15" t="n">
        <f aca="false">cleaned_data!$E$18</f>
        <v>55716.82</v>
      </c>
      <c r="D19" s="15" t="n">
        <f aca="false">cleaned_data!$I$18</f>
        <v>84.9</v>
      </c>
      <c r="E19" s="15" t="n">
        <f aca="false">cleaned_data!$H$18</f>
        <v>24</v>
      </c>
      <c r="F19" s="15" t="n">
        <f aca="false">dummy_variables!$D$18</f>
        <v>0</v>
      </c>
      <c r="G19" s="15" t="n">
        <f aca="false">dummy_variables!$E$18</f>
        <v>0</v>
      </c>
      <c r="H19" s="15" t="n">
        <f aca="false">dummy_variables!$F$18</f>
        <v>1</v>
      </c>
      <c r="I19" s="15" t="n">
        <f aca="false">dummy_variables!$G$18</f>
        <v>0</v>
      </c>
      <c r="J19" s="15" t="n">
        <f aca="false">dummy_variables!$H$18</f>
        <v>0</v>
      </c>
      <c r="K19" s="15" t="n">
        <f aca="false">dummy_variables!$I$18</f>
        <v>0</v>
      </c>
      <c r="N19" s="18" t="s">
        <v>7</v>
      </c>
      <c r="O19" s="19" t="n">
        <f aca="false">W$8</f>
        <v>28.8290852092754</v>
      </c>
      <c r="P19" s="19" t="n">
        <f aca="false">W$9</f>
        <v>2.48043460014813</v>
      </c>
      <c r="Q19" s="20" t="n">
        <f aca="false">W$8/W$9</f>
        <v>11.6225943661461</v>
      </c>
      <c r="R19" s="21" t="n">
        <f aca="false">TDIST(ABS(W$8/W$9),309,2)</f>
        <v>3.77588376479039E-026</v>
      </c>
    </row>
    <row r="20" customFormat="false" ht="15" hidden="false" customHeight="true" outlineLevel="0" collapsed="false">
      <c r="A20" s="15" t="n">
        <f aca="false">cleaned_data!$M$19</f>
        <v>746501.09</v>
      </c>
      <c r="B20" s="15" t="n">
        <f aca="false">cleaned_data!$F$19</f>
        <v>8895</v>
      </c>
      <c r="C20" s="15" t="n">
        <f aca="false">cleaned_data!$E$19</f>
        <v>59909.51</v>
      </c>
      <c r="D20" s="15" t="n">
        <f aca="false">cleaned_data!$I$19</f>
        <v>88.8</v>
      </c>
      <c r="E20" s="15" t="n">
        <f aca="false">cleaned_data!$H$19</f>
        <v>23</v>
      </c>
      <c r="F20" s="15" t="n">
        <f aca="false">dummy_variables!$D$19</f>
        <v>0</v>
      </c>
      <c r="G20" s="15" t="n">
        <f aca="false">dummy_variables!$E$19</f>
        <v>0</v>
      </c>
      <c r="H20" s="15" t="n">
        <f aca="false">dummy_variables!$F$19</f>
        <v>1</v>
      </c>
      <c r="I20" s="15" t="n">
        <f aca="false">dummy_variables!$G$19</f>
        <v>0</v>
      </c>
      <c r="J20" s="15" t="n">
        <f aca="false">dummy_variables!$H$19</f>
        <v>0</v>
      </c>
      <c r="K20" s="15" t="n">
        <f aca="false">dummy_variables!$I$19</f>
        <v>0</v>
      </c>
      <c r="N20" s="18" t="s">
        <v>6</v>
      </c>
      <c r="O20" s="19" t="n">
        <f aca="false">V$8</f>
        <v>1.17362006809168</v>
      </c>
      <c r="P20" s="19" t="n">
        <f aca="false">V$9</f>
        <v>0.126204879580279</v>
      </c>
      <c r="Q20" s="20" t="n">
        <f aca="false">V$8/V$9</f>
        <v>9.29932401975901</v>
      </c>
      <c r="R20" s="21" t="n">
        <f aca="false">TDIST(ABS(V$8/V$9),309,2)</f>
        <v>2.6616221946035E-018</v>
      </c>
    </row>
    <row r="21" customFormat="false" ht="15" hidden="false" customHeight="true" outlineLevel="0" collapsed="false">
      <c r="A21" s="15" t="n">
        <f aca="false">cleaned_data!$M$20</f>
        <v>834017.02</v>
      </c>
      <c r="B21" s="15" t="n">
        <f aca="false">cleaned_data!$F$20</f>
        <v>10940</v>
      </c>
      <c r="C21" s="15" t="n">
        <f aca="false">cleaned_data!$E$20</f>
        <v>75305.71</v>
      </c>
      <c r="D21" s="15" t="n">
        <f aca="false">cleaned_data!$I$20</f>
        <v>76.5</v>
      </c>
      <c r="E21" s="15" t="n">
        <f aca="false">cleaned_data!$H$20</f>
        <v>26</v>
      </c>
      <c r="F21" s="15" t="n">
        <f aca="false">dummy_variables!$D$20</f>
        <v>0</v>
      </c>
      <c r="G21" s="15" t="n">
        <f aca="false">dummy_variables!$E$20</f>
        <v>0</v>
      </c>
      <c r="H21" s="15" t="n">
        <f aca="false">dummy_variables!$F$20</f>
        <v>1</v>
      </c>
      <c r="I21" s="15" t="n">
        <f aca="false">dummy_variables!$G$20</f>
        <v>0</v>
      </c>
      <c r="J21" s="15" t="n">
        <f aca="false">dummy_variables!$H$20</f>
        <v>0</v>
      </c>
      <c r="K21" s="15" t="n">
        <f aca="false">dummy_variables!$I$20</f>
        <v>0</v>
      </c>
      <c r="N21" s="18" t="s">
        <v>10</v>
      </c>
      <c r="O21" s="19" t="n">
        <f aca="false">U$8</f>
        <v>3003.33106428938</v>
      </c>
      <c r="P21" s="19" t="n">
        <f aca="false">U$9</f>
        <v>458.637174816568</v>
      </c>
      <c r="Q21" s="20" t="n">
        <f aca="false">U$8/U$9</f>
        <v>6.54838122420093</v>
      </c>
      <c r="R21" s="21" t="n">
        <f aca="false">TDIST(ABS(U$8/U$9),309,2)</f>
        <v>2.42386054992862E-010</v>
      </c>
    </row>
    <row r="22" customFormat="false" ht="15" hidden="false" customHeight="true" outlineLevel="0" collapsed="false">
      <c r="A22" s="15" t="n">
        <f aca="false">cleaned_data!$M$21</f>
        <v>666152.52</v>
      </c>
      <c r="B22" s="15" t="n">
        <f aca="false">cleaned_data!$F$21</f>
        <v>7057</v>
      </c>
      <c r="C22" s="15" t="n">
        <f aca="false">cleaned_data!$E$21</f>
        <v>48804.22</v>
      </c>
      <c r="D22" s="15" t="n">
        <f aca="false">cleaned_data!$I$21</f>
        <v>87.7</v>
      </c>
      <c r="E22" s="15" t="n">
        <f aca="false">cleaned_data!$H$21</f>
        <v>15</v>
      </c>
      <c r="F22" s="15" t="n">
        <f aca="false">dummy_variables!$D$21</f>
        <v>0</v>
      </c>
      <c r="G22" s="15" t="n">
        <f aca="false">dummy_variables!$E$21</f>
        <v>0</v>
      </c>
      <c r="H22" s="15" t="n">
        <f aca="false">dummy_variables!$F$21</f>
        <v>1</v>
      </c>
      <c r="I22" s="15" t="n">
        <f aca="false">dummy_variables!$G$21</f>
        <v>0</v>
      </c>
      <c r="J22" s="15" t="n">
        <f aca="false">dummy_variables!$H$21</f>
        <v>1</v>
      </c>
      <c r="K22" s="15" t="n">
        <f aca="false">dummy_variables!$I$21</f>
        <v>0</v>
      </c>
      <c r="N22" s="18" t="s">
        <v>9</v>
      </c>
      <c r="O22" s="19" t="n">
        <f aca="false">T$8</f>
        <v>2790.49147071768</v>
      </c>
      <c r="P22" s="19" t="n">
        <f aca="false">T$9</f>
        <v>1254.62970167204</v>
      </c>
      <c r="Q22" s="20" t="n">
        <f aca="false">T$8/T$9</f>
        <v>2.22415543566265</v>
      </c>
      <c r="R22" s="21" t="n">
        <f aca="false">TDIST(ABS(T$8/T$9),309,2)</f>
        <v>0.0268603843228743</v>
      </c>
    </row>
    <row r="23" customFormat="false" ht="15" hidden="false" customHeight="true" outlineLevel="0" collapsed="false">
      <c r="A23" s="15" t="n">
        <f aca="false">cleaned_data!$M$22</f>
        <v>573155.19</v>
      </c>
      <c r="B23" s="15" t="n">
        <f aca="false">cleaned_data!$F$22</f>
        <v>4263</v>
      </c>
      <c r="C23" s="15" t="n">
        <f aca="false">cleaned_data!$E$22</f>
        <v>59117.9</v>
      </c>
      <c r="D23" s="15" t="n">
        <f aca="false">cleaned_data!$I$22</f>
        <v>87.6</v>
      </c>
      <c r="E23" s="15" t="n">
        <f aca="false">cleaned_data!$H$22</f>
        <v>9</v>
      </c>
      <c r="F23" s="15" t="n">
        <f aca="false">dummy_variables!$D$22</f>
        <v>0</v>
      </c>
      <c r="G23" s="15" t="n">
        <f aca="false">dummy_variables!$E$22</f>
        <v>0</v>
      </c>
      <c r="H23" s="15" t="n">
        <f aca="false">dummy_variables!$F$22</f>
        <v>1</v>
      </c>
      <c r="I23" s="15" t="n">
        <f aca="false">dummy_variables!$G$22</f>
        <v>0</v>
      </c>
      <c r="J23" s="15" t="n">
        <f aca="false">dummy_variables!$H$22</f>
        <v>1</v>
      </c>
      <c r="K23" s="15" t="n">
        <f aca="false">dummy_variables!$I$22</f>
        <v>0</v>
      </c>
      <c r="N23" s="18" t="s">
        <v>112</v>
      </c>
      <c r="O23" s="19" t="n">
        <f aca="false">S$8</f>
        <v>22531.6788173183</v>
      </c>
      <c r="P23" s="19" t="n">
        <f aca="false">S$9</f>
        <v>9298.28199785129</v>
      </c>
      <c r="Q23" s="20" t="n">
        <f aca="false">S$8/S$9</f>
        <v>2.42320880594126</v>
      </c>
      <c r="R23" s="21" t="n">
        <f aca="false">TDIST(ABS(S$8/S$9),309,2)</f>
        <v>0.0159583686425918</v>
      </c>
    </row>
    <row r="24" customFormat="false" ht="15" hidden="false" customHeight="true" outlineLevel="0" collapsed="false">
      <c r="A24" s="15" t="n">
        <f aca="false">cleaned_data!$M$23</f>
        <v>666573.2</v>
      </c>
      <c r="B24" s="15" t="n">
        <f aca="false">cleaned_data!$F$23</f>
        <v>5538</v>
      </c>
      <c r="C24" s="15" t="n">
        <f aca="false">cleaned_data!$E$23</f>
        <v>78831.12</v>
      </c>
      <c r="D24" s="15" t="n">
        <f aca="false">cleaned_data!$I$23</f>
        <v>94.1</v>
      </c>
      <c r="E24" s="15" t="n">
        <f aca="false">cleaned_data!$H$23</f>
        <v>15</v>
      </c>
      <c r="F24" s="15" t="n">
        <f aca="false">dummy_variables!$D$23</f>
        <v>0</v>
      </c>
      <c r="G24" s="15" t="n">
        <f aca="false">dummy_variables!$E$23</f>
        <v>0</v>
      </c>
      <c r="H24" s="15" t="n">
        <f aca="false">dummy_variables!$F$23</f>
        <v>1</v>
      </c>
      <c r="I24" s="15" t="n">
        <f aca="false">dummy_variables!$G$23</f>
        <v>0</v>
      </c>
      <c r="J24" s="15" t="n">
        <f aca="false">dummy_variables!$H$23</f>
        <v>1</v>
      </c>
      <c r="K24" s="15" t="n">
        <f aca="false">dummy_variables!$I$23</f>
        <v>0</v>
      </c>
      <c r="N24" s="18" t="s">
        <v>113</v>
      </c>
      <c r="O24" s="19" t="n">
        <f aca="false">R$8</f>
        <v>12191.5416043552</v>
      </c>
      <c r="P24" s="19" t="n">
        <f aca="false">R$9</f>
        <v>6510.4519453694</v>
      </c>
      <c r="Q24" s="20" t="n">
        <f aca="false">R$8/R$9</f>
        <v>1.87261064311003</v>
      </c>
      <c r="R24" s="21" t="n">
        <f aca="false">TDIST(ABS(R$8/R$9),309,2)</f>
        <v>0.0620663435278582</v>
      </c>
    </row>
    <row r="25" customFormat="false" ht="15" hidden="false" customHeight="true" outlineLevel="0" collapsed="false">
      <c r="A25" s="15" t="n">
        <f aca="false">cleaned_data!$M$24</f>
        <v>591619.95</v>
      </c>
      <c r="B25" s="15" t="n">
        <f aca="false">cleaned_data!$F$24</f>
        <v>4865</v>
      </c>
      <c r="C25" s="15" t="n">
        <f aca="false">cleaned_data!$E$24</f>
        <v>41441.93</v>
      </c>
      <c r="D25" s="15" t="n">
        <f aca="false">cleaned_data!$I$24</f>
        <v>88.3</v>
      </c>
      <c r="E25" s="15" t="n">
        <f aca="false">cleaned_data!$H$24</f>
        <v>16</v>
      </c>
      <c r="F25" s="15" t="n">
        <f aca="false">dummy_variables!$D$24</f>
        <v>0</v>
      </c>
      <c r="G25" s="15" t="n">
        <f aca="false">dummy_variables!$E$24</f>
        <v>0</v>
      </c>
      <c r="H25" s="15" t="n">
        <f aca="false">dummy_variables!$F$24</f>
        <v>1</v>
      </c>
      <c r="I25" s="15" t="n">
        <f aca="false">dummy_variables!$G$24</f>
        <v>0</v>
      </c>
      <c r="J25" s="15" t="n">
        <f aca="false">dummy_variables!$H$24</f>
        <v>1</v>
      </c>
      <c r="K25" s="15" t="n">
        <f aca="false">dummy_variables!$I$24</f>
        <v>0</v>
      </c>
      <c r="N25" s="18" t="s">
        <v>114</v>
      </c>
      <c r="O25" s="19" t="n">
        <f aca="false">Q$8</f>
        <v>-17402.3480043135</v>
      </c>
      <c r="P25" s="19" t="n">
        <f aca="false">Q$9</f>
        <v>6006.09903195183</v>
      </c>
      <c r="Q25" s="20" t="n">
        <f aca="false">Q$8/Q$9</f>
        <v>-2.89744606469771</v>
      </c>
      <c r="R25" s="21" t="n">
        <f aca="false">TDIST(ABS(Q$8/Q$9),309,2)</f>
        <v>0.00403096888579771</v>
      </c>
    </row>
    <row r="26" customFormat="false" ht="15" hidden="false" customHeight="true" outlineLevel="0" collapsed="false">
      <c r="A26" s="15" t="n">
        <f aca="false">cleaned_data!$M$25</f>
        <v>415721.82</v>
      </c>
      <c r="B26" s="15" t="n">
        <f aca="false">cleaned_data!$F$25</f>
        <v>2822</v>
      </c>
      <c r="C26" s="15" t="n">
        <f aca="false">cleaned_data!$E$25</f>
        <v>30356.28</v>
      </c>
      <c r="D26" s="15" t="n">
        <f aca="false">cleaned_data!$I$25</f>
        <v>84.8</v>
      </c>
      <c r="E26" s="15" t="n">
        <f aca="false">cleaned_data!$H$25</f>
        <v>9</v>
      </c>
      <c r="F26" s="15" t="n">
        <f aca="false">dummy_variables!$D$25</f>
        <v>0</v>
      </c>
      <c r="G26" s="15" t="n">
        <f aca="false">dummy_variables!$E$25</f>
        <v>0</v>
      </c>
      <c r="H26" s="15" t="n">
        <f aca="false">dummy_variables!$F$25</f>
        <v>1</v>
      </c>
      <c r="I26" s="15" t="n">
        <f aca="false">dummy_variables!$G$25</f>
        <v>1</v>
      </c>
      <c r="J26" s="15" t="n">
        <f aca="false">dummy_variables!$H$25</f>
        <v>0</v>
      </c>
      <c r="K26" s="15" t="n">
        <f aca="false">dummy_variables!$I$25</f>
        <v>0</v>
      </c>
      <c r="N26" s="18" t="s">
        <v>115</v>
      </c>
      <c r="O26" s="19" t="n">
        <f aca="false">P$8</f>
        <v>7601.23014948106</v>
      </c>
      <c r="P26" s="19" t="n">
        <f aca="false">P$9</f>
        <v>7032.3393749582</v>
      </c>
      <c r="Q26" s="20" t="n">
        <f aca="false">P$8/P$9</f>
        <v>1.08089637660956</v>
      </c>
      <c r="R26" s="21" t="n">
        <f aca="false">TDIST(ABS(P$8/P$9),309,2)</f>
        <v>0.280586085935995</v>
      </c>
    </row>
    <row r="27" customFormat="false" ht="15" hidden="false" customHeight="true" outlineLevel="0" collapsed="false">
      <c r="A27" s="15" t="n">
        <f aca="false">cleaned_data!$M$26</f>
        <v>491905.13</v>
      </c>
      <c r="B27" s="15" t="n">
        <f aca="false">cleaned_data!$F$26</f>
        <v>2121</v>
      </c>
      <c r="C27" s="15" t="n">
        <f aca="false">cleaned_data!$E$26</f>
        <v>33518.88</v>
      </c>
      <c r="D27" s="15" t="n">
        <f aca="false">cleaned_data!$I$26</f>
        <v>88.5</v>
      </c>
      <c r="E27" s="15" t="n">
        <f aca="false">cleaned_data!$H$26</f>
        <v>8</v>
      </c>
      <c r="F27" s="15" t="n">
        <f aca="false">dummy_variables!$D$26</f>
        <v>0</v>
      </c>
      <c r="G27" s="15" t="n">
        <f aca="false">dummy_variables!$E$26</f>
        <v>0</v>
      </c>
      <c r="H27" s="15" t="n">
        <f aca="false">dummy_variables!$F$26</f>
        <v>1</v>
      </c>
      <c r="I27" s="15" t="n">
        <f aca="false">dummy_variables!$G$26</f>
        <v>1</v>
      </c>
      <c r="J27" s="15" t="n">
        <f aca="false">dummy_variables!$H$26</f>
        <v>0</v>
      </c>
      <c r="K27" s="15" t="n">
        <f aca="false">dummy_variables!$I$26</f>
        <v>0</v>
      </c>
      <c r="N27" s="18" t="s">
        <v>116</v>
      </c>
      <c r="O27" s="19" t="n">
        <f aca="false">O$8</f>
        <v>20900.9359122201</v>
      </c>
      <c r="P27" s="19" t="n">
        <f aca="false">O$9</f>
        <v>7094.52140279389</v>
      </c>
      <c r="Q27" s="20" t="n">
        <f aca="false">O$8/O$9</f>
        <v>2.94606707423408</v>
      </c>
      <c r="R27" s="21" t="n">
        <f aca="false">TDIST(ABS(O$8/O$9),309,2)</f>
        <v>0.00346311721778403</v>
      </c>
    </row>
    <row r="28" customFormat="false" ht="15" hidden="false" customHeight="true" outlineLevel="0" collapsed="false">
      <c r="A28" s="15" t="n">
        <f aca="false">cleaned_data!$M$27</f>
        <v>555929.4</v>
      </c>
      <c r="B28" s="15" t="n">
        <f aca="false">cleaned_data!$F$27</f>
        <v>3364</v>
      </c>
      <c r="C28" s="15" t="n">
        <f aca="false">cleaned_data!$E$27</f>
        <v>42267.37</v>
      </c>
      <c r="D28" s="15" t="n">
        <f aca="false">cleaned_data!$I$27</f>
        <v>82</v>
      </c>
      <c r="E28" s="15" t="n">
        <f aca="false">cleaned_data!$H$27</f>
        <v>13</v>
      </c>
      <c r="F28" s="15" t="n">
        <f aca="false">dummy_variables!$D$27</f>
        <v>0</v>
      </c>
      <c r="G28" s="15" t="n">
        <f aca="false">dummy_variables!$E$27</f>
        <v>0</v>
      </c>
      <c r="H28" s="15" t="n">
        <f aca="false">dummy_variables!$F$27</f>
        <v>1</v>
      </c>
      <c r="I28" s="15" t="n">
        <f aca="false">dummy_variables!$G$27</f>
        <v>1</v>
      </c>
      <c r="J28" s="15" t="n">
        <f aca="false">dummy_variables!$H$27</f>
        <v>0</v>
      </c>
      <c r="K28" s="15" t="n">
        <f aca="false">dummy_variables!$I$27</f>
        <v>0</v>
      </c>
      <c r="N28" s="18" t="s">
        <v>117</v>
      </c>
      <c r="O28" s="19" t="n">
        <f aca="false">N$8</f>
        <v>18892.9724862978</v>
      </c>
      <c r="P28" s="19" t="n">
        <f aca="false">N$9</f>
        <v>6280.39839812187</v>
      </c>
      <c r="Q28" s="20" t="n">
        <f aca="false">N$8/N$9</f>
        <v>3.00824426869922</v>
      </c>
      <c r="R28" s="21" t="n">
        <f aca="false">TDIST(ABS(N$8/N$9),309,2)</f>
        <v>0.00284365316352958</v>
      </c>
    </row>
    <row r="29" customFormat="false" ht="15" hidden="false" customHeight="true" outlineLevel="0" collapsed="false">
      <c r="A29" s="15" t="n">
        <f aca="false">cleaned_data!$M$28</f>
        <v>565810.99</v>
      </c>
      <c r="B29" s="15" t="n">
        <f aca="false">cleaned_data!$F$28</f>
        <v>2613</v>
      </c>
      <c r="C29" s="15" t="n">
        <f aca="false">cleaned_data!$E$28</f>
        <v>62060.43</v>
      </c>
      <c r="D29" s="15" t="n">
        <f aca="false">cleaned_data!$I$28</f>
        <v>92.1</v>
      </c>
      <c r="E29" s="15" t="n">
        <f aca="false">cleaned_data!$H$28</f>
        <v>12</v>
      </c>
      <c r="F29" s="15" t="n">
        <f aca="false">dummy_variables!$D$28</f>
        <v>0</v>
      </c>
      <c r="G29" s="15" t="n">
        <f aca="false">dummy_variables!$E$28</f>
        <v>0</v>
      </c>
      <c r="H29" s="15" t="n">
        <f aca="false">dummy_variables!$F$28</f>
        <v>1</v>
      </c>
      <c r="I29" s="15" t="n">
        <f aca="false">dummy_variables!$G$28</f>
        <v>1</v>
      </c>
      <c r="J29" s="15" t="n">
        <f aca="false">dummy_variables!$H$28</f>
        <v>0</v>
      </c>
      <c r="K29" s="15" t="n">
        <f aca="false">dummy_variables!$I$28</f>
        <v>0</v>
      </c>
    </row>
    <row r="30" customFormat="false" ht="15" hidden="false" customHeight="true" outlineLevel="0" collapsed="false">
      <c r="A30" s="15" t="n">
        <f aca="false">cleaned_data!$M$29</f>
        <v>811771.14</v>
      </c>
      <c r="B30" s="15" t="n">
        <f aca="false">cleaned_data!$F$29</f>
        <v>10218</v>
      </c>
      <c r="C30" s="15" t="n">
        <f aca="false">cleaned_data!$E$29</f>
        <v>57696.69</v>
      </c>
      <c r="D30" s="15" t="n">
        <f aca="false">cleaned_data!$I$29</f>
        <v>94.8</v>
      </c>
      <c r="E30" s="15" t="n">
        <f aca="false">cleaned_data!$H$29</f>
        <v>25</v>
      </c>
      <c r="F30" s="15" t="n">
        <f aca="false">dummy_variables!$D$29</f>
        <v>0</v>
      </c>
      <c r="G30" s="15" t="n">
        <f aca="false">dummy_variables!$E$29</f>
        <v>1</v>
      </c>
      <c r="H30" s="15" t="n">
        <f aca="false">dummy_variables!$F$29</f>
        <v>0</v>
      </c>
      <c r="I30" s="15" t="n">
        <f aca="false">dummy_variables!$G$29</f>
        <v>0</v>
      </c>
      <c r="J30" s="15" t="n">
        <f aca="false">dummy_variables!$H$29</f>
        <v>0</v>
      </c>
      <c r="K30" s="15" t="n">
        <f aca="false">dummy_variables!$I$29</f>
        <v>1</v>
      </c>
      <c r="N30" s="22" t="s">
        <v>124</v>
      </c>
      <c r="O30" s="23" t="n">
        <f aca="false">N10</f>
        <v>0.829555228919719</v>
      </c>
    </row>
    <row r="31" customFormat="false" ht="15" hidden="false" customHeight="true" outlineLevel="0" collapsed="false">
      <c r="A31" s="15" t="n">
        <f aca="false">cleaned_data!$M$30</f>
        <v>800451.94</v>
      </c>
      <c r="B31" s="15" t="n">
        <f aca="false">cleaned_data!$F$30</f>
        <v>8927</v>
      </c>
      <c r="C31" s="15" t="n">
        <f aca="false">cleaned_data!$E$30</f>
        <v>172415.52</v>
      </c>
      <c r="D31" s="15" t="n">
        <f aca="false">cleaned_data!$I$30</f>
        <v>86.2</v>
      </c>
      <c r="E31" s="15" t="n">
        <f aca="false">cleaned_data!$H$30</f>
        <v>22</v>
      </c>
      <c r="F31" s="15" t="n">
        <f aca="false">dummy_variables!$D$30</f>
        <v>0</v>
      </c>
      <c r="G31" s="15" t="n">
        <f aca="false">dummy_variables!$E$30</f>
        <v>1</v>
      </c>
      <c r="H31" s="15" t="n">
        <f aca="false">dummy_variables!$F$30</f>
        <v>0</v>
      </c>
      <c r="I31" s="15" t="n">
        <f aca="false">dummy_variables!$G$30</f>
        <v>0</v>
      </c>
      <c r="J31" s="15" t="n">
        <f aca="false">dummy_variables!$H$30</f>
        <v>0</v>
      </c>
      <c r="K31" s="15" t="n">
        <f aca="false">dummy_variables!$I$30</f>
        <v>1</v>
      </c>
      <c r="N31" s="22" t="s">
        <v>146</v>
      </c>
      <c r="O31" s="24" t="n">
        <f aca="false">N11</f>
        <v>150.390395734381</v>
      </c>
    </row>
    <row r="32" customFormat="false" ht="15" hidden="false" customHeight="true" outlineLevel="0" collapsed="false">
      <c r="A32" s="15" t="n">
        <f aca="false">cleaned_data!$M$31</f>
        <v>783672.82</v>
      </c>
      <c r="B32" s="15" t="n">
        <f aca="false">cleaned_data!$F$31</f>
        <v>9315</v>
      </c>
      <c r="C32" s="15" t="n">
        <f aca="false">cleaned_data!$E$31</f>
        <v>55270.52</v>
      </c>
      <c r="D32" s="15" t="n">
        <f aca="false">cleaned_data!$I$31</f>
        <v>91.9</v>
      </c>
      <c r="E32" s="15" t="n">
        <f aca="false">cleaned_data!$H$31</f>
        <v>23</v>
      </c>
      <c r="F32" s="15" t="n">
        <f aca="false">dummy_variables!$D$31</f>
        <v>0</v>
      </c>
      <c r="G32" s="15" t="n">
        <f aca="false">dummy_variables!$E$31</f>
        <v>1</v>
      </c>
      <c r="H32" s="15" t="n">
        <f aca="false">dummy_variables!$F$31</f>
        <v>0</v>
      </c>
      <c r="I32" s="15" t="n">
        <f aca="false">dummy_variables!$G$31</f>
        <v>0</v>
      </c>
      <c r="J32" s="15" t="n">
        <f aca="false">dummy_variables!$H$31</f>
        <v>0</v>
      </c>
      <c r="K32" s="15" t="n">
        <f aca="false">dummy_variables!$I$31</f>
        <v>1</v>
      </c>
      <c r="N32" s="22" t="s">
        <v>129</v>
      </c>
      <c r="O32" s="25" t="n">
        <f aca="false">320</f>
        <v>320</v>
      </c>
    </row>
    <row r="33" customFormat="false" ht="15" hidden="false" customHeight="true" outlineLevel="0" collapsed="false">
      <c r="A33" s="15" t="n">
        <f aca="false">cleaned_data!$M$32</f>
        <v>701641.97</v>
      </c>
      <c r="B33" s="15" t="n">
        <f aca="false">cleaned_data!$F$32</f>
        <v>7223</v>
      </c>
      <c r="C33" s="15" t="n">
        <f aca="false">cleaned_data!$E$32</f>
        <v>52715.1</v>
      </c>
      <c r="D33" s="15" t="n">
        <f aca="false">cleaned_data!$I$32</f>
        <v>84.2</v>
      </c>
      <c r="E33" s="15" t="n">
        <f aca="false">cleaned_data!$H$32</f>
        <v>16</v>
      </c>
      <c r="F33" s="15" t="n">
        <f aca="false">dummy_variables!$D$32</f>
        <v>0</v>
      </c>
      <c r="G33" s="15" t="n">
        <f aca="false">dummy_variables!$E$32</f>
        <v>1</v>
      </c>
      <c r="H33" s="15" t="n">
        <f aca="false">dummy_variables!$F$32</f>
        <v>0</v>
      </c>
      <c r="I33" s="15" t="n">
        <f aca="false">dummy_variables!$G$32</f>
        <v>0</v>
      </c>
      <c r="J33" s="15" t="n">
        <f aca="false">dummy_variables!$H$32</f>
        <v>0</v>
      </c>
      <c r="K33" s="15" t="n">
        <f aca="false">dummy_variables!$I$32</f>
        <v>1</v>
      </c>
      <c r="N33" s="22" t="s">
        <v>147</v>
      </c>
      <c r="O33" s="25" t="n">
        <f aca="false">10</f>
        <v>10</v>
      </c>
    </row>
    <row r="34" customFormat="false" ht="15" hidden="false" customHeight="true" outlineLevel="0" collapsed="false">
      <c r="A34" s="15" t="n">
        <f aca="false">cleaned_data!$M$33</f>
        <v>511844.41</v>
      </c>
      <c r="B34" s="15" t="n">
        <f aca="false">cleaned_data!$F$33</f>
        <v>3988</v>
      </c>
      <c r="C34" s="15" t="n">
        <f aca="false">cleaned_data!$E$33</f>
        <v>68600.62</v>
      </c>
      <c r="D34" s="15" t="n">
        <f aca="false">cleaned_data!$I$33</f>
        <v>85</v>
      </c>
      <c r="E34" s="15" t="n">
        <f aca="false">cleaned_data!$H$33</f>
        <v>11</v>
      </c>
      <c r="F34" s="15" t="n">
        <f aca="false">dummy_variables!$D$33</f>
        <v>0</v>
      </c>
      <c r="G34" s="15" t="n">
        <f aca="false">dummy_variables!$E$33</f>
        <v>0</v>
      </c>
      <c r="H34" s="15" t="n">
        <f aca="false">dummy_variables!$F$33</f>
        <v>1</v>
      </c>
      <c r="I34" s="15" t="n">
        <f aca="false">dummy_variables!$G$33</f>
        <v>0</v>
      </c>
      <c r="J34" s="15" t="n">
        <f aca="false">dummy_variables!$H$33</f>
        <v>0</v>
      </c>
      <c r="K34" s="15" t="n">
        <f aca="false">dummy_variables!$I$33</f>
        <v>0</v>
      </c>
    </row>
    <row r="35" customFormat="false" ht="15" hidden="false" customHeight="true" outlineLevel="0" collapsed="false">
      <c r="A35" s="15" t="n">
        <f aca="false">cleaned_data!$M$34</f>
        <v>537383.79</v>
      </c>
      <c r="B35" s="15" t="n">
        <f aca="false">cleaned_data!$F$34</f>
        <v>2390</v>
      </c>
      <c r="C35" s="15" t="n">
        <f aca="false">cleaned_data!$E$34</f>
        <v>63176.73</v>
      </c>
      <c r="D35" s="15" t="n">
        <f aca="false">cleaned_data!$I$34</f>
        <v>87.5</v>
      </c>
      <c r="E35" s="15" t="n">
        <f aca="false">cleaned_data!$H$34</f>
        <v>9</v>
      </c>
      <c r="F35" s="15" t="n">
        <f aca="false">dummy_variables!$D$34</f>
        <v>0</v>
      </c>
      <c r="G35" s="15" t="n">
        <f aca="false">dummy_variables!$E$34</f>
        <v>0</v>
      </c>
      <c r="H35" s="15" t="n">
        <f aca="false">dummy_variables!$F$34</f>
        <v>1</v>
      </c>
      <c r="I35" s="15" t="n">
        <f aca="false">dummy_variables!$G$34</f>
        <v>0</v>
      </c>
      <c r="J35" s="15" t="n">
        <f aca="false">dummy_variables!$H$34</f>
        <v>0</v>
      </c>
      <c r="K35" s="15" t="n">
        <f aca="false">dummy_variables!$I$34</f>
        <v>0</v>
      </c>
    </row>
    <row r="36" customFormat="false" ht="15" hidden="false" customHeight="true" outlineLevel="0" collapsed="false">
      <c r="A36" s="15" t="n">
        <f aca="false">cleaned_data!$M$35</f>
        <v>500173.02</v>
      </c>
      <c r="B36" s="15" t="n">
        <f aca="false">cleaned_data!$F$35</f>
        <v>2471</v>
      </c>
      <c r="C36" s="15" t="n">
        <f aca="false">cleaned_data!$E$35</f>
        <v>44970.08</v>
      </c>
      <c r="D36" s="15" t="n">
        <f aca="false">cleaned_data!$I$35</f>
        <v>87.6</v>
      </c>
      <c r="E36" s="15" t="n">
        <f aca="false">cleaned_data!$H$35</f>
        <v>11</v>
      </c>
      <c r="F36" s="15" t="n">
        <f aca="false">dummy_variables!$D$35</f>
        <v>0</v>
      </c>
      <c r="G36" s="15" t="n">
        <f aca="false">dummy_variables!$E$35</f>
        <v>0</v>
      </c>
      <c r="H36" s="15" t="n">
        <f aca="false">dummy_variables!$F$35</f>
        <v>1</v>
      </c>
      <c r="I36" s="15" t="n">
        <f aca="false">dummy_variables!$G$35</f>
        <v>0</v>
      </c>
      <c r="J36" s="15" t="n">
        <f aca="false">dummy_variables!$H$35</f>
        <v>0</v>
      </c>
      <c r="K36" s="15" t="n">
        <f aca="false">dummy_variables!$I$35</f>
        <v>0</v>
      </c>
    </row>
    <row r="37" customFormat="false" ht="15" hidden="false" customHeight="true" outlineLevel="0" collapsed="false">
      <c r="A37" s="15" t="n">
        <f aca="false">cleaned_data!$M$36</f>
        <v>427917.38</v>
      </c>
      <c r="B37" s="15" t="n">
        <f aca="false">cleaned_data!$F$36</f>
        <v>971</v>
      </c>
      <c r="C37" s="15" t="n">
        <f aca="false">cleaned_data!$E$36</f>
        <v>69816.35</v>
      </c>
      <c r="D37" s="15" t="n">
        <f aca="false">cleaned_data!$I$36</f>
        <v>89.9</v>
      </c>
      <c r="E37" s="15" t="n">
        <f aca="false">cleaned_data!$H$36</f>
        <v>5</v>
      </c>
      <c r="F37" s="15" t="n">
        <f aca="false">dummy_variables!$D$36</f>
        <v>0</v>
      </c>
      <c r="G37" s="15" t="n">
        <f aca="false">dummy_variables!$E$36</f>
        <v>0</v>
      </c>
      <c r="H37" s="15" t="n">
        <f aca="false">dummy_variables!$F$36</f>
        <v>1</v>
      </c>
      <c r="I37" s="15" t="n">
        <f aca="false">dummy_variables!$G$36</f>
        <v>0</v>
      </c>
      <c r="J37" s="15" t="n">
        <f aca="false">dummy_variables!$H$36</f>
        <v>0</v>
      </c>
      <c r="K37" s="15" t="n">
        <f aca="false">dummy_variables!$I$36</f>
        <v>0</v>
      </c>
    </row>
    <row r="38" customFormat="false" ht="15" hidden="false" customHeight="true" outlineLevel="0" collapsed="false">
      <c r="A38" s="15" t="n">
        <f aca="false">cleaned_data!$M$37</f>
        <v>641865.03</v>
      </c>
      <c r="B38" s="15" t="n">
        <f aca="false">cleaned_data!$F$37</f>
        <v>9429</v>
      </c>
      <c r="C38" s="15" t="n">
        <f aca="false">cleaned_data!$E$37</f>
        <v>54597.83</v>
      </c>
      <c r="D38" s="15" t="n">
        <f aca="false">cleaned_data!$I$37</f>
        <v>83.3</v>
      </c>
      <c r="E38" s="15" t="n">
        <f aca="false">cleaned_data!$H$37</f>
        <v>21</v>
      </c>
      <c r="F38" s="15" t="n">
        <f aca="false">dummy_variables!$D$37</f>
        <v>0</v>
      </c>
      <c r="G38" s="15" t="n">
        <f aca="false">dummy_variables!$E$37</f>
        <v>0</v>
      </c>
      <c r="H38" s="15" t="n">
        <f aca="false">dummy_variables!$F$37</f>
        <v>1</v>
      </c>
      <c r="I38" s="15" t="n">
        <f aca="false">dummy_variables!$G$37</f>
        <v>1</v>
      </c>
      <c r="J38" s="15" t="n">
        <f aca="false">dummy_variables!$H$37</f>
        <v>0</v>
      </c>
      <c r="K38" s="15" t="n">
        <f aca="false">dummy_variables!$I$37</f>
        <v>0</v>
      </c>
    </row>
    <row r="39" customFormat="false" ht="15" hidden="false" customHeight="true" outlineLevel="0" collapsed="false">
      <c r="A39" s="15" t="n">
        <f aca="false">cleaned_data!$M$38</f>
        <v>799477.76</v>
      </c>
      <c r="B39" s="15" t="n">
        <f aca="false">cleaned_data!$F$38</f>
        <v>11695</v>
      </c>
      <c r="C39" s="15" t="n">
        <f aca="false">cleaned_data!$E$38</f>
        <v>73771.91</v>
      </c>
      <c r="D39" s="15" t="n">
        <f aca="false">cleaned_data!$I$38</f>
        <v>84.7</v>
      </c>
      <c r="E39" s="15" t="n">
        <f aca="false">cleaned_data!$H$38</f>
        <v>25</v>
      </c>
      <c r="F39" s="15" t="n">
        <f aca="false">dummy_variables!$D$38</f>
        <v>0</v>
      </c>
      <c r="G39" s="15" t="n">
        <f aca="false">dummy_variables!$E$38</f>
        <v>0</v>
      </c>
      <c r="H39" s="15" t="n">
        <f aca="false">dummy_variables!$F$38</f>
        <v>1</v>
      </c>
      <c r="I39" s="15" t="n">
        <f aca="false">dummy_variables!$G$38</f>
        <v>1</v>
      </c>
      <c r="J39" s="15" t="n">
        <f aca="false">dummy_variables!$H$38</f>
        <v>0</v>
      </c>
      <c r="K39" s="15" t="n">
        <f aca="false">dummy_variables!$I$38</f>
        <v>0</v>
      </c>
    </row>
    <row r="40" customFormat="false" ht="15" hidden="false" customHeight="true" outlineLevel="0" collapsed="false">
      <c r="A40" s="15" t="n">
        <f aca="false">cleaned_data!$M$39</f>
        <v>798952.17</v>
      </c>
      <c r="B40" s="15" t="n">
        <f aca="false">cleaned_data!$F$39</f>
        <v>9449</v>
      </c>
      <c r="C40" s="15" t="n">
        <f aca="false">cleaned_data!$E$39</f>
        <v>74413.88</v>
      </c>
      <c r="D40" s="15" t="n">
        <f aca="false">cleaned_data!$I$39</f>
        <v>92.1</v>
      </c>
      <c r="E40" s="15" t="n">
        <f aca="false">cleaned_data!$H$39</f>
        <v>23</v>
      </c>
      <c r="F40" s="15" t="n">
        <f aca="false">dummy_variables!$D$39</f>
        <v>0</v>
      </c>
      <c r="G40" s="15" t="n">
        <f aca="false">dummy_variables!$E$39</f>
        <v>0</v>
      </c>
      <c r="H40" s="15" t="n">
        <f aca="false">dummy_variables!$F$39</f>
        <v>1</v>
      </c>
      <c r="I40" s="15" t="n">
        <f aca="false">dummy_variables!$G$39</f>
        <v>1</v>
      </c>
      <c r="J40" s="15" t="n">
        <f aca="false">dummy_variables!$H$39</f>
        <v>0</v>
      </c>
      <c r="K40" s="15" t="n">
        <f aca="false">dummy_variables!$I$39</f>
        <v>0</v>
      </c>
    </row>
    <row r="41" customFormat="false" ht="15" hidden="false" customHeight="true" outlineLevel="0" collapsed="false">
      <c r="A41" s="15" t="n">
        <f aca="false">cleaned_data!$M$40</f>
        <v>800979.78</v>
      </c>
      <c r="B41" s="15" t="n">
        <f aca="false">cleaned_data!$F$40</f>
        <v>10453</v>
      </c>
      <c r="C41" s="15" t="n">
        <f aca="false">cleaned_data!$E$40</f>
        <v>52483.77</v>
      </c>
      <c r="D41" s="15" t="n">
        <f aca="false">cleaned_data!$I$40</f>
        <v>99</v>
      </c>
      <c r="E41" s="15" t="n">
        <f aca="false">cleaned_data!$H$40</f>
        <v>25</v>
      </c>
      <c r="F41" s="15" t="n">
        <f aca="false">dummy_variables!$D$40</f>
        <v>0</v>
      </c>
      <c r="G41" s="15" t="n">
        <f aca="false">dummy_variables!$E$40</f>
        <v>0</v>
      </c>
      <c r="H41" s="15" t="n">
        <f aca="false">dummy_variables!$F$40</f>
        <v>1</v>
      </c>
      <c r="I41" s="15" t="n">
        <f aca="false">dummy_variables!$G$40</f>
        <v>1</v>
      </c>
      <c r="J41" s="15" t="n">
        <f aca="false">dummy_variables!$H$40</f>
        <v>0</v>
      </c>
      <c r="K41" s="15" t="n">
        <f aca="false">dummy_variables!$I$40</f>
        <v>0</v>
      </c>
    </row>
    <row r="42" customFormat="false" ht="15" hidden="false" customHeight="true" outlineLevel="0" collapsed="false">
      <c r="A42" s="15" t="n">
        <f aca="false">cleaned_data!$M$41</f>
        <v>820593.93</v>
      </c>
      <c r="B42" s="15" t="n">
        <f aca="false">cleaned_data!$F$41</f>
        <v>8838</v>
      </c>
      <c r="C42" s="15" t="n">
        <f aca="false">cleaned_data!$E$41</f>
        <v>75269.87</v>
      </c>
      <c r="D42" s="15" t="n">
        <f aca="false">cleaned_data!$I$41</f>
        <v>83.1</v>
      </c>
      <c r="E42" s="15" t="n">
        <f aca="false">cleaned_data!$H$41</f>
        <v>21</v>
      </c>
      <c r="F42" s="15" t="n">
        <f aca="false">dummy_variables!$D$41</f>
        <v>0</v>
      </c>
      <c r="G42" s="15" t="n">
        <f aca="false">dummy_variables!$E$41</f>
        <v>1</v>
      </c>
      <c r="H42" s="15" t="n">
        <f aca="false">dummy_variables!$F$41</f>
        <v>0</v>
      </c>
      <c r="I42" s="15" t="n">
        <f aca="false">dummy_variables!$G$41</f>
        <v>1</v>
      </c>
      <c r="J42" s="15" t="n">
        <f aca="false">dummy_variables!$H$41</f>
        <v>0</v>
      </c>
      <c r="K42" s="15" t="n">
        <f aca="false">dummy_variables!$I$41</f>
        <v>0</v>
      </c>
    </row>
    <row r="43" customFormat="false" ht="15" hidden="false" customHeight="true" outlineLevel="0" collapsed="false">
      <c r="A43" s="15" t="n">
        <f aca="false">cleaned_data!$M$42</f>
        <v>718330.53</v>
      </c>
      <c r="B43" s="15" t="n">
        <f aca="false">cleaned_data!$F$42</f>
        <v>8156</v>
      </c>
      <c r="C43" s="15" t="n">
        <f aca="false">cleaned_data!$E$42</f>
        <v>61245.41</v>
      </c>
      <c r="D43" s="15" t="n">
        <f aca="false">cleaned_data!$I$42</f>
        <v>92.9</v>
      </c>
      <c r="E43" s="15" t="n">
        <f aca="false">cleaned_data!$H$42</f>
        <v>19</v>
      </c>
      <c r="F43" s="15" t="n">
        <f aca="false">dummy_variables!$D$42</f>
        <v>0</v>
      </c>
      <c r="G43" s="15" t="n">
        <f aca="false">dummy_variables!$E$42</f>
        <v>1</v>
      </c>
      <c r="H43" s="15" t="n">
        <f aca="false">dummy_variables!$F$42</f>
        <v>0</v>
      </c>
      <c r="I43" s="15" t="n">
        <f aca="false">dummy_variables!$G$42</f>
        <v>1</v>
      </c>
      <c r="J43" s="15" t="n">
        <f aca="false">dummy_variables!$H$42</f>
        <v>0</v>
      </c>
      <c r="K43" s="15" t="n">
        <f aca="false">dummy_variables!$I$42</f>
        <v>0</v>
      </c>
    </row>
    <row r="44" customFormat="false" ht="15" hidden="false" customHeight="true" outlineLevel="0" collapsed="false">
      <c r="A44" s="15" t="n">
        <f aca="false">cleaned_data!$M$43</f>
        <v>736633.4</v>
      </c>
      <c r="B44" s="15" t="n">
        <f aca="false">cleaned_data!$F$43</f>
        <v>7562</v>
      </c>
      <c r="C44" s="15" t="n">
        <f aca="false">cleaned_data!$E$43</f>
        <v>93381.26</v>
      </c>
      <c r="D44" s="15" t="n">
        <f aca="false">cleaned_data!$I$43</f>
        <v>82.9</v>
      </c>
      <c r="E44" s="15" t="n">
        <f aca="false">cleaned_data!$H$43</f>
        <v>19</v>
      </c>
      <c r="F44" s="15" t="n">
        <f aca="false">dummy_variables!$D$43</f>
        <v>0</v>
      </c>
      <c r="G44" s="15" t="n">
        <f aca="false">dummy_variables!$E$43</f>
        <v>1</v>
      </c>
      <c r="H44" s="15" t="n">
        <f aca="false">dummy_variables!$F$43</f>
        <v>0</v>
      </c>
      <c r="I44" s="15" t="n">
        <f aca="false">dummy_variables!$G$43</f>
        <v>1</v>
      </c>
      <c r="J44" s="15" t="n">
        <f aca="false">dummy_variables!$H$43</f>
        <v>0</v>
      </c>
      <c r="K44" s="15" t="n">
        <f aca="false">dummy_variables!$I$43</f>
        <v>0</v>
      </c>
    </row>
    <row r="45" customFormat="false" ht="15" hidden="false" customHeight="true" outlineLevel="0" collapsed="false">
      <c r="A45" s="15" t="n">
        <f aca="false">cleaned_data!$M$44</f>
        <v>828623.85</v>
      </c>
      <c r="B45" s="15" t="n">
        <f aca="false">cleaned_data!$F$44</f>
        <v>9598</v>
      </c>
      <c r="C45" s="15" t="n">
        <f aca="false">cleaned_data!$E$44</f>
        <v>65012.19</v>
      </c>
      <c r="D45" s="15" t="n">
        <f aca="false">cleaned_data!$I$44</f>
        <v>98.3</v>
      </c>
      <c r="E45" s="15" t="n">
        <f aca="false">cleaned_data!$H$44</f>
        <v>24</v>
      </c>
      <c r="F45" s="15" t="n">
        <f aca="false">dummy_variables!$D$44</f>
        <v>0</v>
      </c>
      <c r="G45" s="15" t="n">
        <f aca="false">dummy_variables!$E$44</f>
        <v>1</v>
      </c>
      <c r="H45" s="15" t="n">
        <f aca="false">dummy_variables!$F$44</f>
        <v>0</v>
      </c>
      <c r="I45" s="15" t="n">
        <f aca="false">dummy_variables!$G$44</f>
        <v>1</v>
      </c>
      <c r="J45" s="15" t="n">
        <f aca="false">dummy_variables!$H$44</f>
        <v>0</v>
      </c>
      <c r="K45" s="15" t="n">
        <f aca="false">dummy_variables!$I$44</f>
        <v>0</v>
      </c>
    </row>
    <row r="46" customFormat="false" ht="15" hidden="false" customHeight="true" outlineLevel="0" collapsed="false">
      <c r="A46" s="15" t="n">
        <f aca="false">cleaned_data!$M$45</f>
        <v>592195.85</v>
      </c>
      <c r="B46" s="15" t="n">
        <f aca="false">cleaned_data!$F$45</f>
        <v>3660</v>
      </c>
      <c r="C46" s="15" t="n">
        <f aca="false">cleaned_data!$E$45</f>
        <v>40462.94</v>
      </c>
      <c r="D46" s="15" t="n">
        <f aca="false">cleaned_data!$I$45</f>
        <v>95.2</v>
      </c>
      <c r="E46" s="15" t="n">
        <f aca="false">cleaned_data!$H$45</f>
        <v>11</v>
      </c>
      <c r="F46" s="15" t="n">
        <f aca="false">dummy_variables!$D$45</f>
        <v>0</v>
      </c>
      <c r="G46" s="15" t="n">
        <f aca="false">dummy_variables!$E$45</f>
        <v>1</v>
      </c>
      <c r="H46" s="15" t="n">
        <f aca="false">dummy_variables!$F$45</f>
        <v>0</v>
      </c>
      <c r="I46" s="15" t="n">
        <f aca="false">dummy_variables!$G$45</f>
        <v>0</v>
      </c>
      <c r="J46" s="15" t="n">
        <f aca="false">dummy_variables!$H$45</f>
        <v>0</v>
      </c>
      <c r="K46" s="15" t="n">
        <f aca="false">dummy_variables!$I$45</f>
        <v>0</v>
      </c>
    </row>
    <row r="47" customFormat="false" ht="15" hidden="false" customHeight="true" outlineLevel="0" collapsed="false">
      <c r="A47" s="15" t="n">
        <f aca="false">cleaned_data!$M$46</f>
        <v>532644.46</v>
      </c>
      <c r="B47" s="15" t="n">
        <f aca="false">cleaned_data!$F$46</f>
        <v>3227</v>
      </c>
      <c r="C47" s="15" t="n">
        <f aca="false">cleaned_data!$E$46</f>
        <v>46123.88</v>
      </c>
      <c r="D47" s="15" t="n">
        <f aca="false">cleaned_data!$I$46</f>
        <v>75.4</v>
      </c>
      <c r="E47" s="15" t="n">
        <f aca="false">cleaned_data!$H$46</f>
        <v>10</v>
      </c>
      <c r="F47" s="15" t="n">
        <f aca="false">dummy_variables!$D$46</f>
        <v>0</v>
      </c>
      <c r="G47" s="15" t="n">
        <f aca="false">dummy_variables!$E$46</f>
        <v>1</v>
      </c>
      <c r="H47" s="15" t="n">
        <f aca="false">dummy_variables!$F$46</f>
        <v>0</v>
      </c>
      <c r="I47" s="15" t="n">
        <f aca="false">dummy_variables!$G$46</f>
        <v>0</v>
      </c>
      <c r="J47" s="15" t="n">
        <f aca="false">dummy_variables!$H$46</f>
        <v>0</v>
      </c>
      <c r="K47" s="15" t="n">
        <f aca="false">dummy_variables!$I$46</f>
        <v>0</v>
      </c>
    </row>
    <row r="48" customFormat="false" ht="15" hidden="false" customHeight="true" outlineLevel="0" collapsed="false">
      <c r="A48" s="15" t="n">
        <f aca="false">cleaned_data!$M$47</f>
        <v>657429.18</v>
      </c>
      <c r="B48" s="15" t="n">
        <f aca="false">cleaned_data!$F$47</f>
        <v>3360</v>
      </c>
      <c r="C48" s="15" t="n">
        <f aca="false">cleaned_data!$E$47</f>
        <v>68077.54</v>
      </c>
      <c r="D48" s="15" t="n">
        <f aca="false">cleaned_data!$I$47</f>
        <v>88.2</v>
      </c>
      <c r="E48" s="15" t="n">
        <f aca="false">cleaned_data!$H$47</f>
        <v>14</v>
      </c>
      <c r="F48" s="15" t="n">
        <f aca="false">dummy_variables!$D$47</f>
        <v>0</v>
      </c>
      <c r="G48" s="15" t="n">
        <f aca="false">dummy_variables!$E$47</f>
        <v>1</v>
      </c>
      <c r="H48" s="15" t="n">
        <f aca="false">dummy_variables!$F$47</f>
        <v>0</v>
      </c>
      <c r="I48" s="15" t="n">
        <f aca="false">dummy_variables!$G$47</f>
        <v>0</v>
      </c>
      <c r="J48" s="15" t="n">
        <f aca="false">dummy_variables!$H$47</f>
        <v>0</v>
      </c>
      <c r="K48" s="15" t="n">
        <f aca="false">dummy_variables!$I$47</f>
        <v>0</v>
      </c>
    </row>
    <row r="49" customFormat="false" ht="15" hidden="false" customHeight="true" outlineLevel="0" collapsed="false">
      <c r="A49" s="15" t="n">
        <f aca="false">cleaned_data!$M$48</f>
        <v>605178</v>
      </c>
      <c r="B49" s="15" t="n">
        <f aca="false">cleaned_data!$F$48</f>
        <v>3642</v>
      </c>
      <c r="C49" s="15" t="n">
        <f aca="false">cleaned_data!$E$48</f>
        <v>64882.14</v>
      </c>
      <c r="D49" s="15" t="n">
        <f aca="false">cleaned_data!$I$48</f>
        <v>87.8</v>
      </c>
      <c r="E49" s="15" t="n">
        <f aca="false">cleaned_data!$H$48</f>
        <v>13</v>
      </c>
      <c r="F49" s="15" t="n">
        <f aca="false">dummy_variables!$D$48</f>
        <v>0</v>
      </c>
      <c r="G49" s="15" t="n">
        <f aca="false">dummy_variables!$E$48</f>
        <v>1</v>
      </c>
      <c r="H49" s="15" t="n">
        <f aca="false">dummy_variables!$F$48</f>
        <v>0</v>
      </c>
      <c r="I49" s="15" t="n">
        <f aca="false">dummy_variables!$G$48</f>
        <v>0</v>
      </c>
      <c r="J49" s="15" t="n">
        <f aca="false">dummy_variables!$H$48</f>
        <v>0</v>
      </c>
      <c r="K49" s="15" t="n">
        <f aca="false">dummy_variables!$I$48</f>
        <v>0</v>
      </c>
    </row>
    <row r="50" customFormat="false" ht="15" hidden="false" customHeight="true" outlineLevel="0" collapsed="false">
      <c r="A50" s="15" t="n">
        <f aca="false">cleaned_data!$M$49</f>
        <v>595467.6</v>
      </c>
      <c r="B50" s="15" t="n">
        <f aca="false">cleaned_data!$F$49</f>
        <v>5145</v>
      </c>
      <c r="C50" s="15" t="n">
        <f aca="false">cleaned_data!$E$49</f>
        <v>138855.51</v>
      </c>
      <c r="D50" s="15" t="n">
        <f aca="false">cleaned_data!$I$49</f>
        <v>88.2</v>
      </c>
      <c r="E50" s="15" t="n">
        <f aca="false">cleaned_data!$H$49</f>
        <v>17</v>
      </c>
      <c r="F50" s="15" t="n">
        <f aca="false">dummy_variables!$D$49</f>
        <v>0</v>
      </c>
      <c r="G50" s="15" t="n">
        <f aca="false">dummy_variables!$E$49</f>
        <v>0</v>
      </c>
      <c r="H50" s="15" t="n">
        <f aca="false">dummy_variables!$F$49</f>
        <v>1</v>
      </c>
      <c r="I50" s="15" t="n">
        <f aca="false">dummy_variables!$G$49</f>
        <v>0</v>
      </c>
      <c r="J50" s="15" t="n">
        <f aca="false">dummy_variables!$H$49</f>
        <v>0</v>
      </c>
      <c r="K50" s="15" t="n">
        <f aca="false">dummy_variables!$I$49</f>
        <v>1</v>
      </c>
    </row>
    <row r="51" customFormat="false" ht="15" hidden="false" customHeight="true" outlineLevel="0" collapsed="false">
      <c r="A51" s="15" t="n">
        <f aca="false">cleaned_data!$M$50</f>
        <v>599603.4</v>
      </c>
      <c r="B51" s="15" t="n">
        <f aca="false">cleaned_data!$F$50</f>
        <v>4460</v>
      </c>
      <c r="C51" s="15" t="n">
        <f aca="false">cleaned_data!$E$50</f>
        <v>63630.21</v>
      </c>
      <c r="D51" s="15" t="n">
        <f aca="false">cleaned_data!$I$50</f>
        <v>98.6</v>
      </c>
      <c r="E51" s="15" t="n">
        <f aca="false">cleaned_data!$H$50</f>
        <v>14</v>
      </c>
      <c r="F51" s="15" t="n">
        <f aca="false">dummy_variables!$D$50</f>
        <v>0</v>
      </c>
      <c r="G51" s="15" t="n">
        <f aca="false">dummy_variables!$E$50</f>
        <v>0</v>
      </c>
      <c r="H51" s="15" t="n">
        <f aca="false">dummy_variables!$F$50</f>
        <v>1</v>
      </c>
      <c r="I51" s="15" t="n">
        <f aca="false">dummy_variables!$G$50</f>
        <v>0</v>
      </c>
      <c r="J51" s="15" t="n">
        <f aca="false">dummy_variables!$H$50</f>
        <v>0</v>
      </c>
      <c r="K51" s="15" t="n">
        <f aca="false">dummy_variables!$I$50</f>
        <v>1</v>
      </c>
    </row>
    <row r="52" customFormat="false" ht="15" hidden="false" customHeight="true" outlineLevel="0" collapsed="false">
      <c r="A52" s="15" t="n">
        <f aca="false">cleaned_data!$M$51</f>
        <v>614800.09</v>
      </c>
      <c r="B52" s="15" t="n">
        <f aca="false">cleaned_data!$F$51</f>
        <v>3804</v>
      </c>
      <c r="C52" s="15" t="n">
        <f aca="false">cleaned_data!$E$51</f>
        <v>50043.65</v>
      </c>
      <c r="D52" s="15" t="n">
        <f aca="false">cleaned_data!$I$51</f>
        <v>90.9</v>
      </c>
      <c r="E52" s="15" t="n">
        <f aca="false">cleaned_data!$H$51</f>
        <v>11</v>
      </c>
      <c r="F52" s="15" t="n">
        <f aca="false">dummy_variables!$D$51</f>
        <v>0</v>
      </c>
      <c r="G52" s="15" t="n">
        <f aca="false">dummy_variables!$E$51</f>
        <v>0</v>
      </c>
      <c r="H52" s="15" t="n">
        <f aca="false">dummy_variables!$F$51</f>
        <v>1</v>
      </c>
      <c r="I52" s="15" t="n">
        <f aca="false">dummy_variables!$G$51</f>
        <v>0</v>
      </c>
      <c r="J52" s="15" t="n">
        <f aca="false">dummy_variables!$H$51</f>
        <v>0</v>
      </c>
      <c r="K52" s="15" t="n">
        <f aca="false">dummy_variables!$I$51</f>
        <v>1</v>
      </c>
    </row>
    <row r="53" customFormat="false" ht="15" hidden="false" customHeight="true" outlineLevel="0" collapsed="false">
      <c r="A53" s="15" t="n">
        <f aca="false">cleaned_data!$M$52</f>
        <v>585365.73</v>
      </c>
      <c r="B53" s="15" t="n">
        <f aca="false">cleaned_data!$F$52</f>
        <v>4074</v>
      </c>
      <c r="C53" s="15" t="n">
        <f aca="false">cleaned_data!$E$52</f>
        <v>42093.84</v>
      </c>
      <c r="D53" s="15" t="n">
        <f aca="false">cleaned_data!$I$52</f>
        <v>88</v>
      </c>
      <c r="E53" s="15" t="n">
        <f aca="false">cleaned_data!$H$52</f>
        <v>15</v>
      </c>
      <c r="F53" s="15" t="n">
        <f aca="false">dummy_variables!$D$52</f>
        <v>0</v>
      </c>
      <c r="G53" s="15" t="n">
        <f aca="false">dummy_variables!$E$52</f>
        <v>0</v>
      </c>
      <c r="H53" s="15" t="n">
        <f aca="false">dummy_variables!$F$52</f>
        <v>1</v>
      </c>
      <c r="I53" s="15" t="n">
        <f aca="false">dummy_variables!$G$52</f>
        <v>0</v>
      </c>
      <c r="J53" s="15" t="n">
        <f aca="false">dummy_variables!$H$52</f>
        <v>0</v>
      </c>
      <c r="K53" s="15" t="n">
        <f aca="false">dummy_variables!$I$52</f>
        <v>1</v>
      </c>
    </row>
    <row r="54" customFormat="false" ht="15" hidden="false" customHeight="true" outlineLevel="0" collapsed="false">
      <c r="A54" s="15" t="n">
        <f aca="false">cleaned_data!$M$53</f>
        <v>622811.74</v>
      </c>
      <c r="B54" s="15" t="n">
        <f aca="false">cleaned_data!$F$53</f>
        <v>5104</v>
      </c>
      <c r="C54" s="15" t="n">
        <f aca="false">cleaned_data!$E$53</f>
        <v>46624.05</v>
      </c>
      <c r="D54" s="15" t="n">
        <f aca="false">cleaned_data!$I$53</f>
        <v>97.3</v>
      </c>
      <c r="E54" s="15" t="n">
        <f aca="false">cleaned_data!$H$53</f>
        <v>11</v>
      </c>
      <c r="F54" s="15" t="n">
        <f aca="false">dummy_variables!$D$53</f>
        <v>0</v>
      </c>
      <c r="G54" s="15" t="n">
        <f aca="false">dummy_variables!$E$53</f>
        <v>1</v>
      </c>
      <c r="H54" s="15" t="n">
        <f aca="false">dummy_variables!$F$53</f>
        <v>0</v>
      </c>
      <c r="I54" s="15" t="n">
        <f aca="false">dummy_variables!$G$53</f>
        <v>1</v>
      </c>
      <c r="J54" s="15" t="n">
        <f aca="false">dummy_variables!$H$53</f>
        <v>0</v>
      </c>
      <c r="K54" s="15" t="n">
        <f aca="false">dummy_variables!$I$53</f>
        <v>0</v>
      </c>
    </row>
    <row r="55" customFormat="false" ht="15" hidden="false" customHeight="true" outlineLevel="0" collapsed="false">
      <c r="A55" s="15" t="n">
        <f aca="false">cleaned_data!$M$54</f>
        <v>603297.57</v>
      </c>
      <c r="B55" s="15" t="n">
        <f aca="false">cleaned_data!$F$54</f>
        <v>5559</v>
      </c>
      <c r="C55" s="15" t="n">
        <f aca="false">cleaned_data!$E$54</f>
        <v>49710.29</v>
      </c>
      <c r="D55" s="15" t="n">
        <f aca="false">cleaned_data!$I$54</f>
        <v>71</v>
      </c>
      <c r="E55" s="15" t="n">
        <f aca="false">cleaned_data!$H$54</f>
        <v>14</v>
      </c>
      <c r="F55" s="15" t="n">
        <f aca="false">dummy_variables!$D$54</f>
        <v>0</v>
      </c>
      <c r="G55" s="15" t="n">
        <f aca="false">dummy_variables!$E$54</f>
        <v>1</v>
      </c>
      <c r="H55" s="15" t="n">
        <f aca="false">dummy_variables!$F$54</f>
        <v>0</v>
      </c>
      <c r="I55" s="15" t="n">
        <f aca="false">dummy_variables!$G$54</f>
        <v>1</v>
      </c>
      <c r="J55" s="15" t="n">
        <f aca="false">dummy_variables!$H$54</f>
        <v>0</v>
      </c>
      <c r="K55" s="15" t="n">
        <f aca="false">dummy_variables!$I$54</f>
        <v>0</v>
      </c>
    </row>
    <row r="56" customFormat="false" ht="15" hidden="false" customHeight="true" outlineLevel="0" collapsed="false">
      <c r="A56" s="15" t="n">
        <f aca="false">cleaned_data!$M$55</f>
        <v>625672.86</v>
      </c>
      <c r="B56" s="15" t="n">
        <f aca="false">cleaned_data!$F$55</f>
        <v>5150</v>
      </c>
      <c r="C56" s="15" t="n">
        <f aca="false">cleaned_data!$E$55</f>
        <v>48287.85</v>
      </c>
      <c r="D56" s="15" t="n">
        <f aca="false">cleaned_data!$I$55</f>
        <v>80.4</v>
      </c>
      <c r="E56" s="15" t="n">
        <f aca="false">cleaned_data!$H$55</f>
        <v>12</v>
      </c>
      <c r="F56" s="15" t="n">
        <f aca="false">dummy_variables!$D$55</f>
        <v>0</v>
      </c>
      <c r="G56" s="15" t="n">
        <f aca="false">dummy_variables!$E$55</f>
        <v>1</v>
      </c>
      <c r="H56" s="15" t="n">
        <f aca="false">dummy_variables!$F$55</f>
        <v>0</v>
      </c>
      <c r="I56" s="15" t="n">
        <f aca="false">dummy_variables!$G$55</f>
        <v>1</v>
      </c>
      <c r="J56" s="15" t="n">
        <f aca="false">dummy_variables!$H$55</f>
        <v>0</v>
      </c>
      <c r="K56" s="15" t="n">
        <f aca="false">dummy_variables!$I$55</f>
        <v>0</v>
      </c>
    </row>
    <row r="57" customFormat="false" ht="15" hidden="false" customHeight="true" outlineLevel="0" collapsed="false">
      <c r="A57" s="15" t="n">
        <f aca="false">cleaned_data!$M$56</f>
        <v>773815.14</v>
      </c>
      <c r="B57" s="15" t="n">
        <f aca="false">cleaned_data!$F$56</f>
        <v>7189</v>
      </c>
      <c r="C57" s="15" t="n">
        <f aca="false">cleaned_data!$E$56</f>
        <v>65312.49</v>
      </c>
      <c r="D57" s="15" t="n">
        <f aca="false">cleaned_data!$I$56</f>
        <v>93.7</v>
      </c>
      <c r="E57" s="15" t="n">
        <f aca="false">cleaned_data!$H$56</f>
        <v>19</v>
      </c>
      <c r="F57" s="15" t="n">
        <f aca="false">dummy_variables!$D$56</f>
        <v>0</v>
      </c>
      <c r="G57" s="15" t="n">
        <f aca="false">dummy_variables!$E$56</f>
        <v>1</v>
      </c>
      <c r="H57" s="15" t="n">
        <f aca="false">dummy_variables!$F$56</f>
        <v>0</v>
      </c>
      <c r="I57" s="15" t="n">
        <f aca="false">dummy_variables!$G$56</f>
        <v>1</v>
      </c>
      <c r="J57" s="15" t="n">
        <f aca="false">dummy_variables!$H$56</f>
        <v>0</v>
      </c>
      <c r="K57" s="15" t="n">
        <f aca="false">dummy_variables!$I$56</f>
        <v>0</v>
      </c>
    </row>
    <row r="58" customFormat="false" ht="15" hidden="false" customHeight="true" outlineLevel="0" collapsed="false">
      <c r="A58" s="15" t="n">
        <f aca="false">cleaned_data!$M$57</f>
        <v>463534.25</v>
      </c>
      <c r="B58" s="15" t="n">
        <f aca="false">cleaned_data!$F$57</f>
        <v>3279</v>
      </c>
      <c r="C58" s="15" t="n">
        <f aca="false">cleaned_data!$E$57</f>
        <v>53015.46</v>
      </c>
      <c r="D58" s="15" t="n">
        <f aca="false">cleaned_data!$I$57</f>
        <v>84.3</v>
      </c>
      <c r="E58" s="15" t="n">
        <f aca="false">cleaned_data!$H$57</f>
        <v>9</v>
      </c>
      <c r="F58" s="15" t="n">
        <f aca="false">dummy_variables!$D$57</f>
        <v>0</v>
      </c>
      <c r="G58" s="15" t="n">
        <f aca="false">dummy_variables!$E$57</f>
        <v>0</v>
      </c>
      <c r="H58" s="15" t="n">
        <f aca="false">dummy_variables!$F$57</f>
        <v>0</v>
      </c>
      <c r="I58" s="15" t="n">
        <f aca="false">dummy_variables!$G$57</f>
        <v>0</v>
      </c>
      <c r="J58" s="15" t="n">
        <f aca="false">dummy_variables!$H$57</f>
        <v>0</v>
      </c>
      <c r="K58" s="15" t="n">
        <f aca="false">dummy_variables!$I$57</f>
        <v>1</v>
      </c>
    </row>
    <row r="59" customFormat="false" ht="15" hidden="false" customHeight="true" outlineLevel="0" collapsed="false">
      <c r="A59" s="15" t="n">
        <f aca="false">cleaned_data!$M$58</f>
        <v>746677.75</v>
      </c>
      <c r="B59" s="15" t="n">
        <f aca="false">cleaned_data!$F$58</f>
        <v>5887</v>
      </c>
      <c r="C59" s="15" t="n">
        <f aca="false">cleaned_data!$E$58</f>
        <v>99874.01</v>
      </c>
      <c r="D59" s="15" t="n">
        <f aca="false">cleaned_data!$I$58</f>
        <v>88.7</v>
      </c>
      <c r="E59" s="15" t="n">
        <f aca="false">cleaned_data!$H$58</f>
        <v>14</v>
      </c>
      <c r="F59" s="15" t="n">
        <f aca="false">dummy_variables!$D$58</f>
        <v>0</v>
      </c>
      <c r="G59" s="15" t="n">
        <f aca="false">dummy_variables!$E$58</f>
        <v>0</v>
      </c>
      <c r="H59" s="15" t="n">
        <f aca="false">dummy_variables!$F$58</f>
        <v>0</v>
      </c>
      <c r="I59" s="15" t="n">
        <f aca="false">dummy_variables!$G$58</f>
        <v>0</v>
      </c>
      <c r="J59" s="15" t="n">
        <f aca="false">dummy_variables!$H$58</f>
        <v>0</v>
      </c>
      <c r="K59" s="15" t="n">
        <f aca="false">dummy_variables!$I$58</f>
        <v>1</v>
      </c>
    </row>
    <row r="60" customFormat="false" ht="15" hidden="false" customHeight="true" outlineLevel="0" collapsed="false">
      <c r="A60" s="15" t="n">
        <f aca="false">cleaned_data!$M$59</f>
        <v>720852.5</v>
      </c>
      <c r="B60" s="15" t="n">
        <f aca="false">cleaned_data!$F$59</f>
        <v>5516</v>
      </c>
      <c r="C60" s="15" t="n">
        <f aca="false">cleaned_data!$E$59</f>
        <v>81195.5</v>
      </c>
      <c r="D60" s="15" t="n">
        <f aca="false">cleaned_data!$I$59</f>
        <v>88</v>
      </c>
      <c r="E60" s="15" t="n">
        <f aca="false">cleaned_data!$H$59</f>
        <v>14</v>
      </c>
      <c r="F60" s="15" t="n">
        <f aca="false">dummy_variables!$D$59</f>
        <v>0</v>
      </c>
      <c r="G60" s="15" t="n">
        <f aca="false">dummy_variables!$E$59</f>
        <v>0</v>
      </c>
      <c r="H60" s="15" t="n">
        <f aca="false">dummy_variables!$F$59</f>
        <v>0</v>
      </c>
      <c r="I60" s="15" t="n">
        <f aca="false">dummy_variables!$G$59</f>
        <v>0</v>
      </c>
      <c r="J60" s="15" t="n">
        <f aca="false">dummy_variables!$H$59</f>
        <v>0</v>
      </c>
      <c r="K60" s="15" t="n">
        <f aca="false">dummy_variables!$I$59</f>
        <v>1</v>
      </c>
    </row>
    <row r="61" customFormat="false" ht="15" hidden="false" customHeight="true" outlineLevel="0" collapsed="false">
      <c r="A61" s="15" t="n">
        <f aca="false">cleaned_data!$M$60</f>
        <v>487464.91</v>
      </c>
      <c r="B61" s="15" t="n">
        <f aca="false">cleaned_data!$F$60</f>
        <v>2863</v>
      </c>
      <c r="C61" s="15" t="n">
        <f aca="false">cleaned_data!$E$60</f>
        <v>27808.6</v>
      </c>
      <c r="D61" s="15" t="n">
        <f aca="false">cleaned_data!$I$60</f>
        <v>89.3</v>
      </c>
      <c r="E61" s="15" t="n">
        <f aca="false">cleaned_data!$H$60</f>
        <v>13</v>
      </c>
      <c r="F61" s="15" t="n">
        <f aca="false">dummy_variables!$D$60</f>
        <v>0</v>
      </c>
      <c r="G61" s="15" t="n">
        <f aca="false">dummy_variables!$E$60</f>
        <v>0</v>
      </c>
      <c r="H61" s="15" t="n">
        <f aca="false">dummy_variables!$F$60</f>
        <v>0</v>
      </c>
      <c r="I61" s="15" t="n">
        <f aca="false">dummy_variables!$G$60</f>
        <v>0</v>
      </c>
      <c r="J61" s="15" t="n">
        <f aca="false">dummy_variables!$H$60</f>
        <v>0</v>
      </c>
      <c r="K61" s="15" t="n">
        <f aca="false">dummy_variables!$I$60</f>
        <v>1</v>
      </c>
    </row>
    <row r="62" customFormat="false" ht="15" hidden="false" customHeight="true" outlineLevel="0" collapsed="false">
      <c r="A62" s="15" t="n">
        <f aca="false">cleaned_data!$M$61</f>
        <v>518049.26</v>
      </c>
      <c r="B62" s="15" t="n">
        <f aca="false">cleaned_data!$F$61</f>
        <v>2378</v>
      </c>
      <c r="C62" s="15" t="n">
        <f aca="false">cleaned_data!$E$61</f>
        <v>19365.06</v>
      </c>
      <c r="D62" s="15" t="n">
        <f aca="false">cleaned_data!$I$61</f>
        <v>94.8</v>
      </c>
      <c r="E62" s="15" t="n">
        <f aca="false">cleaned_data!$H$61</f>
        <v>12</v>
      </c>
      <c r="F62" s="15" t="n">
        <f aca="false">dummy_variables!$D$61</f>
        <v>1</v>
      </c>
      <c r="G62" s="15" t="n">
        <f aca="false">dummy_variables!$E$61</f>
        <v>0</v>
      </c>
      <c r="H62" s="15" t="n">
        <f aca="false">dummy_variables!$F$61</f>
        <v>0</v>
      </c>
      <c r="I62" s="15" t="n">
        <f aca="false">dummy_variables!$G$61</f>
        <v>0</v>
      </c>
      <c r="J62" s="15" t="n">
        <f aca="false">dummy_variables!$H$61</f>
        <v>0</v>
      </c>
      <c r="K62" s="15" t="n">
        <f aca="false">dummy_variables!$I$61</f>
        <v>0</v>
      </c>
    </row>
    <row r="63" customFormat="false" ht="15" hidden="false" customHeight="true" outlineLevel="0" collapsed="false">
      <c r="A63" s="15" t="n">
        <f aca="false">cleaned_data!$M$62</f>
        <v>500298.48</v>
      </c>
      <c r="B63" s="15" t="n">
        <f aca="false">cleaned_data!$F$62</f>
        <v>2515</v>
      </c>
      <c r="C63" s="15" t="n">
        <f aca="false">cleaned_data!$E$62</f>
        <v>59405.68</v>
      </c>
      <c r="D63" s="15" t="n">
        <f aca="false">cleaned_data!$I$62</f>
        <v>76</v>
      </c>
      <c r="E63" s="15" t="n">
        <f aca="false">cleaned_data!$H$62</f>
        <v>12</v>
      </c>
      <c r="F63" s="15" t="n">
        <f aca="false">dummy_variables!$D$62</f>
        <v>1</v>
      </c>
      <c r="G63" s="15" t="n">
        <f aca="false">dummy_variables!$E$62</f>
        <v>0</v>
      </c>
      <c r="H63" s="15" t="n">
        <f aca="false">dummy_variables!$F$62</f>
        <v>0</v>
      </c>
      <c r="I63" s="15" t="n">
        <f aca="false">dummy_variables!$G$62</f>
        <v>0</v>
      </c>
      <c r="J63" s="15" t="n">
        <f aca="false">dummy_variables!$H$62</f>
        <v>0</v>
      </c>
      <c r="K63" s="15" t="n">
        <f aca="false">dummy_variables!$I$62</f>
        <v>0</v>
      </c>
    </row>
    <row r="64" customFormat="false" ht="15" hidden="false" customHeight="true" outlineLevel="0" collapsed="false">
      <c r="A64" s="15" t="n">
        <f aca="false">cleaned_data!$M$63</f>
        <v>617291.15</v>
      </c>
      <c r="B64" s="15" t="n">
        <f aca="false">cleaned_data!$F$63</f>
        <v>4022</v>
      </c>
      <c r="C64" s="15" t="n">
        <f aca="false">cleaned_data!$E$63</f>
        <v>118910.48</v>
      </c>
      <c r="D64" s="15" t="n">
        <f aca="false">cleaned_data!$I$63</f>
        <v>87.1</v>
      </c>
      <c r="E64" s="15" t="n">
        <f aca="false">cleaned_data!$H$63</f>
        <v>11</v>
      </c>
      <c r="F64" s="15" t="n">
        <f aca="false">dummy_variables!$D$63</f>
        <v>1</v>
      </c>
      <c r="G64" s="15" t="n">
        <f aca="false">dummy_variables!$E$63</f>
        <v>0</v>
      </c>
      <c r="H64" s="15" t="n">
        <f aca="false">dummy_variables!$F$63</f>
        <v>0</v>
      </c>
      <c r="I64" s="15" t="n">
        <f aca="false">dummy_variables!$G$63</f>
        <v>0</v>
      </c>
      <c r="J64" s="15" t="n">
        <f aca="false">dummy_variables!$H$63</f>
        <v>0</v>
      </c>
      <c r="K64" s="15" t="n">
        <f aca="false">dummy_variables!$I$63</f>
        <v>0</v>
      </c>
    </row>
    <row r="65" customFormat="false" ht="15" hidden="false" customHeight="true" outlineLevel="0" collapsed="false">
      <c r="A65" s="15" t="n">
        <f aca="false">cleaned_data!$M$64</f>
        <v>553756.43</v>
      </c>
      <c r="B65" s="15" t="n">
        <f aca="false">cleaned_data!$F$64</f>
        <v>4377</v>
      </c>
      <c r="C65" s="15" t="n">
        <f aca="false">cleaned_data!$E$64</f>
        <v>52952.12</v>
      </c>
      <c r="D65" s="15" t="n">
        <f aca="false">cleaned_data!$I$64</f>
        <v>88.6</v>
      </c>
      <c r="E65" s="15" t="n">
        <f aca="false">cleaned_data!$H$64</f>
        <v>14</v>
      </c>
      <c r="F65" s="15" t="n">
        <f aca="false">dummy_variables!$D$64</f>
        <v>1</v>
      </c>
      <c r="G65" s="15" t="n">
        <f aca="false">dummy_variables!$E$64</f>
        <v>0</v>
      </c>
      <c r="H65" s="15" t="n">
        <f aca="false">dummy_variables!$F$64</f>
        <v>0</v>
      </c>
      <c r="I65" s="15" t="n">
        <f aca="false">dummy_variables!$G$64</f>
        <v>0</v>
      </c>
      <c r="J65" s="15" t="n">
        <f aca="false">dummy_variables!$H$64</f>
        <v>0</v>
      </c>
      <c r="K65" s="15" t="n">
        <f aca="false">dummy_variables!$I$64</f>
        <v>0</v>
      </c>
    </row>
    <row r="66" customFormat="false" ht="15" hidden="false" customHeight="true" outlineLevel="0" collapsed="false">
      <c r="A66" s="15" t="n">
        <f aca="false">cleaned_data!$M$65</f>
        <v>749559.71</v>
      </c>
      <c r="B66" s="15" t="n">
        <f aca="false">cleaned_data!$F$65</f>
        <v>5306</v>
      </c>
      <c r="C66" s="15" t="n">
        <f aca="false">cleaned_data!$E$65</f>
        <v>74907.98</v>
      </c>
      <c r="D66" s="15" t="n">
        <f aca="false">cleaned_data!$I$65</f>
        <v>95.6</v>
      </c>
      <c r="E66" s="15" t="n">
        <f aca="false">cleaned_data!$H$65</f>
        <v>16</v>
      </c>
      <c r="F66" s="15" t="n">
        <f aca="false">dummy_variables!$D$65</f>
        <v>0</v>
      </c>
      <c r="G66" s="15" t="n">
        <f aca="false">dummy_variables!$E$65</f>
        <v>0</v>
      </c>
      <c r="H66" s="15" t="n">
        <f aca="false">dummy_variables!$F$65</f>
        <v>0</v>
      </c>
      <c r="I66" s="15" t="n">
        <f aca="false">dummy_variables!$G$65</f>
        <v>0</v>
      </c>
      <c r="J66" s="15" t="n">
        <f aca="false">dummy_variables!$H$65</f>
        <v>1</v>
      </c>
      <c r="K66" s="15" t="n">
        <f aca="false">dummy_variables!$I$65</f>
        <v>0</v>
      </c>
    </row>
    <row r="67" customFormat="false" ht="15" hidden="false" customHeight="true" outlineLevel="0" collapsed="false">
      <c r="A67" s="15" t="n">
        <f aca="false">cleaned_data!$M$66</f>
        <v>615966.48</v>
      </c>
      <c r="B67" s="15" t="n">
        <f aca="false">cleaned_data!$F$66</f>
        <v>3928</v>
      </c>
      <c r="C67" s="15" t="n">
        <f aca="false">cleaned_data!$E$66</f>
        <v>37284.66</v>
      </c>
      <c r="D67" s="15" t="n">
        <f aca="false">cleaned_data!$I$66</f>
        <v>86.5</v>
      </c>
      <c r="E67" s="15" t="n">
        <f aca="false">cleaned_data!$H$66</f>
        <v>12</v>
      </c>
      <c r="F67" s="15" t="n">
        <f aca="false">dummy_variables!$D$66</f>
        <v>0</v>
      </c>
      <c r="G67" s="15" t="n">
        <f aca="false">dummy_variables!$E$66</f>
        <v>0</v>
      </c>
      <c r="H67" s="15" t="n">
        <f aca="false">dummy_variables!$F$66</f>
        <v>0</v>
      </c>
      <c r="I67" s="15" t="n">
        <f aca="false">dummy_variables!$G$66</f>
        <v>0</v>
      </c>
      <c r="J67" s="15" t="n">
        <f aca="false">dummy_variables!$H$66</f>
        <v>1</v>
      </c>
      <c r="K67" s="15" t="n">
        <f aca="false">dummy_variables!$I$66</f>
        <v>0</v>
      </c>
    </row>
    <row r="68" customFormat="false" ht="15" hidden="false" customHeight="true" outlineLevel="0" collapsed="false">
      <c r="A68" s="15" t="n">
        <f aca="false">cleaned_data!$M$67</f>
        <v>572011.2</v>
      </c>
      <c r="B68" s="15" t="n">
        <f aca="false">cleaned_data!$F$67</f>
        <v>3845</v>
      </c>
      <c r="C68" s="15" t="n">
        <f aca="false">cleaned_data!$E$67</f>
        <v>50343.19</v>
      </c>
      <c r="D68" s="15" t="n">
        <f aca="false">cleaned_data!$I$67</f>
        <v>88.7</v>
      </c>
      <c r="E68" s="15" t="n">
        <f aca="false">cleaned_data!$H$67</f>
        <v>9</v>
      </c>
      <c r="F68" s="15" t="n">
        <f aca="false">dummy_variables!$D$67</f>
        <v>0</v>
      </c>
      <c r="G68" s="15" t="n">
        <f aca="false">dummy_variables!$E$67</f>
        <v>0</v>
      </c>
      <c r="H68" s="15" t="n">
        <f aca="false">dummy_variables!$F$67</f>
        <v>0</v>
      </c>
      <c r="I68" s="15" t="n">
        <f aca="false">dummy_variables!$G$67</f>
        <v>0</v>
      </c>
      <c r="J68" s="15" t="n">
        <f aca="false">dummy_variables!$H$67</f>
        <v>1</v>
      </c>
      <c r="K68" s="15" t="n">
        <f aca="false">dummy_variables!$I$67</f>
        <v>0</v>
      </c>
    </row>
    <row r="69" customFormat="false" ht="15" hidden="false" customHeight="true" outlineLevel="0" collapsed="false">
      <c r="A69" s="15" t="n">
        <f aca="false">cleaned_data!$M$68</f>
        <v>761860.19</v>
      </c>
      <c r="B69" s="15" t="n">
        <f aca="false">cleaned_data!$F$68</f>
        <v>6620</v>
      </c>
      <c r="C69" s="15" t="n">
        <f aca="false">cleaned_data!$E$68</f>
        <v>74954.47</v>
      </c>
      <c r="D69" s="15" t="n">
        <f aca="false">cleaned_data!$I$68</f>
        <v>91.1</v>
      </c>
      <c r="E69" s="15" t="n">
        <f aca="false">cleaned_data!$H$68</f>
        <v>17</v>
      </c>
      <c r="F69" s="15" t="n">
        <f aca="false">dummy_variables!$D$68</f>
        <v>0</v>
      </c>
      <c r="G69" s="15" t="n">
        <f aca="false">dummy_variables!$E$68</f>
        <v>0</v>
      </c>
      <c r="H69" s="15" t="n">
        <f aca="false">dummy_variables!$F$68</f>
        <v>0</v>
      </c>
      <c r="I69" s="15" t="n">
        <f aca="false">dummy_variables!$G$68</f>
        <v>0</v>
      </c>
      <c r="J69" s="15" t="n">
        <f aca="false">dummy_variables!$H$68</f>
        <v>1</v>
      </c>
      <c r="K69" s="15" t="n">
        <f aca="false">dummy_variables!$I$68</f>
        <v>0</v>
      </c>
    </row>
    <row r="70" customFormat="false" ht="15" hidden="false" customHeight="true" outlineLevel="0" collapsed="false">
      <c r="A70" s="15" t="n">
        <f aca="false">cleaned_data!$M$69</f>
        <v>784502.68</v>
      </c>
      <c r="B70" s="15" t="n">
        <f aca="false">cleaned_data!$F$69</f>
        <v>9175</v>
      </c>
      <c r="C70" s="15" t="n">
        <f aca="false">cleaned_data!$E$69</f>
        <v>70040.31</v>
      </c>
      <c r="D70" s="15" t="n">
        <f aca="false">cleaned_data!$I$69</f>
        <v>95.1</v>
      </c>
      <c r="E70" s="15" t="n">
        <f aca="false">cleaned_data!$H$69</f>
        <v>23</v>
      </c>
      <c r="F70" s="15" t="n">
        <f aca="false">dummy_variables!$D$69</f>
        <v>0</v>
      </c>
      <c r="G70" s="15" t="n">
        <f aca="false">dummy_variables!$E$69</f>
        <v>0</v>
      </c>
      <c r="H70" s="15" t="n">
        <f aca="false">dummy_variables!$F$69</f>
        <v>0</v>
      </c>
      <c r="I70" s="15" t="n">
        <f aca="false">dummy_variables!$G$69</f>
        <v>0</v>
      </c>
      <c r="J70" s="15" t="n">
        <f aca="false">dummy_variables!$H$69</f>
        <v>0</v>
      </c>
      <c r="K70" s="15" t="n">
        <f aca="false">dummy_variables!$I$69</f>
        <v>1</v>
      </c>
    </row>
    <row r="71" customFormat="false" ht="15" hidden="false" customHeight="true" outlineLevel="0" collapsed="false">
      <c r="A71" s="15" t="n">
        <f aca="false">cleaned_data!$M$70</f>
        <v>717141.55</v>
      </c>
      <c r="B71" s="15" t="n">
        <f aca="false">cleaned_data!$F$70</f>
        <v>7940</v>
      </c>
      <c r="C71" s="15" t="n">
        <f aca="false">cleaned_data!$E$70</f>
        <v>51148.69</v>
      </c>
      <c r="D71" s="15" t="n">
        <f aca="false">cleaned_data!$I$70</f>
        <v>93.3</v>
      </c>
      <c r="E71" s="15" t="n">
        <f aca="false">cleaned_data!$H$70</f>
        <v>18</v>
      </c>
      <c r="F71" s="15" t="n">
        <f aca="false">dummy_variables!$D$70</f>
        <v>0</v>
      </c>
      <c r="G71" s="15" t="n">
        <f aca="false">dummy_variables!$E$70</f>
        <v>0</v>
      </c>
      <c r="H71" s="15" t="n">
        <f aca="false">dummy_variables!$F$70</f>
        <v>0</v>
      </c>
      <c r="I71" s="15" t="n">
        <f aca="false">dummy_variables!$G$70</f>
        <v>0</v>
      </c>
      <c r="J71" s="15" t="n">
        <f aca="false">dummy_variables!$H$70</f>
        <v>0</v>
      </c>
      <c r="K71" s="15" t="n">
        <f aca="false">dummy_variables!$I$70</f>
        <v>1</v>
      </c>
    </row>
    <row r="72" customFormat="false" ht="15" hidden="false" customHeight="true" outlineLevel="0" collapsed="false">
      <c r="A72" s="15" t="n">
        <f aca="false">cleaned_data!$M$71</f>
        <v>685379.08</v>
      </c>
      <c r="B72" s="15" t="n">
        <f aca="false">cleaned_data!$F$71</f>
        <v>9628</v>
      </c>
      <c r="C72" s="15" t="n">
        <f aca="false">cleaned_data!$E$71</f>
        <v>79346.1</v>
      </c>
      <c r="D72" s="15" t="n">
        <f aca="false">cleaned_data!$I$71</f>
        <v>99</v>
      </c>
      <c r="E72" s="15" t="n">
        <f aca="false">cleaned_data!$H$71</f>
        <v>20</v>
      </c>
      <c r="F72" s="15" t="n">
        <f aca="false">dummy_variables!$D$71</f>
        <v>0</v>
      </c>
      <c r="G72" s="15" t="n">
        <f aca="false">dummy_variables!$E$71</f>
        <v>0</v>
      </c>
      <c r="H72" s="15" t="n">
        <f aca="false">dummy_variables!$F$71</f>
        <v>0</v>
      </c>
      <c r="I72" s="15" t="n">
        <f aca="false">dummy_variables!$G$71</f>
        <v>0</v>
      </c>
      <c r="J72" s="15" t="n">
        <f aca="false">dummy_variables!$H$71</f>
        <v>0</v>
      </c>
      <c r="K72" s="15" t="n">
        <f aca="false">dummy_variables!$I$71</f>
        <v>1</v>
      </c>
    </row>
    <row r="73" customFormat="false" ht="15" hidden="false" customHeight="true" outlineLevel="0" collapsed="false">
      <c r="A73" s="15" t="n">
        <f aca="false">cleaned_data!$M$72</f>
        <v>740496.65</v>
      </c>
      <c r="B73" s="15" t="n">
        <f aca="false">cleaned_data!$F$72</f>
        <v>8296</v>
      </c>
      <c r="C73" s="15" t="n">
        <f aca="false">cleaned_data!$E$72</f>
        <v>42018.4</v>
      </c>
      <c r="D73" s="15" t="n">
        <f aca="false">cleaned_data!$I$72</f>
        <v>91.8</v>
      </c>
      <c r="E73" s="15" t="n">
        <f aca="false">cleaned_data!$H$72</f>
        <v>17</v>
      </c>
      <c r="F73" s="15" t="n">
        <f aca="false">dummy_variables!$D$72</f>
        <v>0</v>
      </c>
      <c r="G73" s="15" t="n">
        <f aca="false">dummy_variables!$E$72</f>
        <v>0</v>
      </c>
      <c r="H73" s="15" t="n">
        <f aca="false">dummy_variables!$F$72</f>
        <v>0</v>
      </c>
      <c r="I73" s="15" t="n">
        <f aca="false">dummy_variables!$G$72</f>
        <v>0</v>
      </c>
      <c r="J73" s="15" t="n">
        <f aca="false">dummy_variables!$H$72</f>
        <v>0</v>
      </c>
      <c r="K73" s="15" t="n">
        <f aca="false">dummy_variables!$I$72</f>
        <v>1</v>
      </c>
    </row>
    <row r="74" customFormat="false" ht="15" hidden="false" customHeight="true" outlineLevel="0" collapsed="false">
      <c r="A74" s="15" t="n">
        <f aca="false">cleaned_data!$M$73</f>
        <v>661927.14</v>
      </c>
      <c r="B74" s="15" t="n">
        <f aca="false">cleaned_data!$F$73</f>
        <v>3595</v>
      </c>
      <c r="C74" s="15" t="n">
        <f aca="false">cleaned_data!$E$73</f>
        <v>70937.24</v>
      </c>
      <c r="D74" s="15" t="n">
        <f aca="false">cleaned_data!$I$73</f>
        <v>88.9</v>
      </c>
      <c r="E74" s="15" t="n">
        <f aca="false">cleaned_data!$H$73</f>
        <v>11</v>
      </c>
      <c r="F74" s="15" t="n">
        <f aca="false">dummy_variables!$D$73</f>
        <v>0</v>
      </c>
      <c r="G74" s="15" t="n">
        <f aca="false">dummy_variables!$E$73</f>
        <v>0</v>
      </c>
      <c r="H74" s="15" t="n">
        <f aca="false">dummy_variables!$F$73</f>
        <v>0</v>
      </c>
      <c r="I74" s="15" t="n">
        <f aca="false">dummy_variables!$G$73</f>
        <v>0</v>
      </c>
      <c r="J74" s="15" t="n">
        <f aca="false">dummy_variables!$H$73</f>
        <v>0</v>
      </c>
      <c r="K74" s="15" t="n">
        <f aca="false">dummy_variables!$I$73</f>
        <v>0</v>
      </c>
    </row>
    <row r="75" customFormat="false" ht="15" hidden="false" customHeight="true" outlineLevel="0" collapsed="false">
      <c r="A75" s="15" t="n">
        <f aca="false">cleaned_data!$M$74</f>
        <v>479050.5</v>
      </c>
      <c r="B75" s="15" t="n">
        <f aca="false">cleaned_data!$F$74</f>
        <v>2834</v>
      </c>
      <c r="C75" s="15" t="n">
        <f aca="false">cleaned_data!$E$74</f>
        <v>36813.45</v>
      </c>
      <c r="D75" s="15" t="n">
        <f aca="false">cleaned_data!$I$74</f>
        <v>81.8</v>
      </c>
      <c r="E75" s="15" t="n">
        <f aca="false">cleaned_data!$H$74</f>
        <v>11</v>
      </c>
      <c r="F75" s="15" t="n">
        <f aca="false">dummy_variables!$D$74</f>
        <v>0</v>
      </c>
      <c r="G75" s="15" t="n">
        <f aca="false">dummy_variables!$E$74</f>
        <v>0</v>
      </c>
      <c r="H75" s="15" t="n">
        <f aca="false">dummy_variables!$F$74</f>
        <v>0</v>
      </c>
      <c r="I75" s="15" t="n">
        <f aca="false">dummy_variables!$G$74</f>
        <v>0</v>
      </c>
      <c r="J75" s="15" t="n">
        <f aca="false">dummy_variables!$H$74</f>
        <v>0</v>
      </c>
      <c r="K75" s="15" t="n">
        <f aca="false">dummy_variables!$I$74</f>
        <v>0</v>
      </c>
    </row>
    <row r="76" customFormat="false" ht="15" hidden="false" customHeight="true" outlineLevel="0" collapsed="false">
      <c r="A76" s="15" t="n">
        <f aca="false">cleaned_data!$M$75</f>
        <v>605023.87</v>
      </c>
      <c r="B76" s="15" t="n">
        <f aca="false">cleaned_data!$F$75</f>
        <v>3193</v>
      </c>
      <c r="C76" s="15" t="n">
        <f aca="false">cleaned_data!$E$75</f>
        <v>60571.82</v>
      </c>
      <c r="D76" s="15" t="n">
        <f aca="false">cleaned_data!$I$75</f>
        <v>99</v>
      </c>
      <c r="E76" s="15" t="n">
        <f aca="false">cleaned_data!$H$75</f>
        <v>7</v>
      </c>
      <c r="F76" s="15" t="n">
        <f aca="false">dummy_variables!$D$75</f>
        <v>0</v>
      </c>
      <c r="G76" s="15" t="n">
        <f aca="false">dummy_variables!$E$75</f>
        <v>0</v>
      </c>
      <c r="H76" s="15" t="n">
        <f aca="false">dummy_variables!$F$75</f>
        <v>0</v>
      </c>
      <c r="I76" s="15" t="n">
        <f aca="false">dummy_variables!$G$75</f>
        <v>0</v>
      </c>
      <c r="J76" s="15" t="n">
        <f aca="false">dummy_variables!$H$75</f>
        <v>0</v>
      </c>
      <c r="K76" s="15" t="n">
        <f aca="false">dummy_variables!$I$75</f>
        <v>0</v>
      </c>
    </row>
    <row r="77" customFormat="false" ht="15" hidden="false" customHeight="true" outlineLevel="0" collapsed="false">
      <c r="A77" s="15" t="n">
        <f aca="false">cleaned_data!$M$76</f>
        <v>674774.09</v>
      </c>
      <c r="B77" s="15" t="n">
        <f aca="false">cleaned_data!$F$76</f>
        <v>5485</v>
      </c>
      <c r="C77" s="15" t="n">
        <f aca="false">cleaned_data!$E$76</f>
        <v>55081.16</v>
      </c>
      <c r="D77" s="15" t="n">
        <f aca="false">cleaned_data!$I$76</f>
        <v>88</v>
      </c>
      <c r="E77" s="15" t="n">
        <f aca="false">cleaned_data!$H$76</f>
        <v>12</v>
      </c>
      <c r="F77" s="15" t="n">
        <f aca="false">dummy_variables!$D$76</f>
        <v>0</v>
      </c>
      <c r="G77" s="15" t="n">
        <f aca="false">dummy_variables!$E$76</f>
        <v>0</v>
      </c>
      <c r="H77" s="15" t="n">
        <f aca="false">dummy_variables!$F$76</f>
        <v>0</v>
      </c>
      <c r="I77" s="15" t="n">
        <f aca="false">dummy_variables!$G$76</f>
        <v>0</v>
      </c>
      <c r="J77" s="15" t="n">
        <f aca="false">dummy_variables!$H$76</f>
        <v>0</v>
      </c>
      <c r="K77" s="15" t="n">
        <f aca="false">dummy_variables!$I$76</f>
        <v>0</v>
      </c>
    </row>
    <row r="78" customFormat="false" ht="15" hidden="false" customHeight="true" outlineLevel="0" collapsed="false">
      <c r="A78" s="15" t="n">
        <f aca="false">cleaned_data!$M$77</f>
        <v>616069.41</v>
      </c>
      <c r="B78" s="15" t="n">
        <f aca="false">cleaned_data!$F$77</f>
        <v>5918</v>
      </c>
      <c r="C78" s="15" t="n">
        <f aca="false">cleaned_data!$E$77</f>
        <v>46201.46</v>
      </c>
      <c r="D78" s="15" t="n">
        <f aca="false">cleaned_data!$I$77</f>
        <v>78.8</v>
      </c>
      <c r="E78" s="15" t="n">
        <f aca="false">cleaned_data!$H$77</f>
        <v>13</v>
      </c>
      <c r="F78" s="15" t="n">
        <f aca="false">dummy_variables!$D$77</f>
        <v>0</v>
      </c>
      <c r="G78" s="15" t="n">
        <f aca="false">dummy_variables!$E$77</f>
        <v>0</v>
      </c>
      <c r="H78" s="15" t="n">
        <f aca="false">dummy_variables!$F$77</f>
        <v>1</v>
      </c>
      <c r="I78" s="15" t="n">
        <f aca="false">dummy_variables!$G$77</f>
        <v>0</v>
      </c>
      <c r="J78" s="15" t="n">
        <f aca="false">dummy_variables!$H$77</f>
        <v>0</v>
      </c>
      <c r="K78" s="15" t="n">
        <f aca="false">dummy_variables!$I$77</f>
        <v>0</v>
      </c>
    </row>
    <row r="79" customFormat="false" ht="15" hidden="false" customHeight="true" outlineLevel="0" collapsed="false">
      <c r="A79" s="15" t="n">
        <f aca="false">cleaned_data!$M$78</f>
        <v>630829.94</v>
      </c>
      <c r="B79" s="15" t="n">
        <f aca="false">cleaned_data!$F$78</f>
        <v>6821</v>
      </c>
      <c r="C79" s="15" t="n">
        <f aca="false">cleaned_data!$E$78</f>
        <v>53762.92</v>
      </c>
      <c r="D79" s="15" t="n">
        <f aca="false">cleaned_data!$I$78</f>
        <v>94.6</v>
      </c>
      <c r="E79" s="15" t="n">
        <f aca="false">cleaned_data!$H$78</f>
        <v>19</v>
      </c>
      <c r="F79" s="15" t="n">
        <f aca="false">dummy_variables!$D$78</f>
        <v>0</v>
      </c>
      <c r="G79" s="15" t="n">
        <f aca="false">dummy_variables!$E$78</f>
        <v>0</v>
      </c>
      <c r="H79" s="15" t="n">
        <f aca="false">dummy_variables!$F$78</f>
        <v>1</v>
      </c>
      <c r="I79" s="15" t="n">
        <f aca="false">dummy_variables!$G$78</f>
        <v>0</v>
      </c>
      <c r="J79" s="15" t="n">
        <f aca="false">dummy_variables!$H$78</f>
        <v>0</v>
      </c>
      <c r="K79" s="15" t="n">
        <f aca="false">dummy_variables!$I$78</f>
        <v>0</v>
      </c>
    </row>
    <row r="80" customFormat="false" ht="15" hidden="false" customHeight="true" outlineLevel="0" collapsed="false">
      <c r="A80" s="15" t="n">
        <f aca="false">cleaned_data!$M$79</f>
        <v>788087.68</v>
      </c>
      <c r="B80" s="15" t="n">
        <f aca="false">cleaned_data!$F$79</f>
        <v>6806</v>
      </c>
      <c r="C80" s="15" t="n">
        <f aca="false">cleaned_data!$E$79</f>
        <v>70144.78</v>
      </c>
      <c r="D80" s="15" t="n">
        <f aca="false">cleaned_data!$I$79</f>
        <v>93.1</v>
      </c>
      <c r="E80" s="15" t="n">
        <f aca="false">cleaned_data!$H$79</f>
        <v>20</v>
      </c>
      <c r="F80" s="15" t="n">
        <f aca="false">dummy_variables!$D$79</f>
        <v>0</v>
      </c>
      <c r="G80" s="15" t="n">
        <f aca="false">dummy_variables!$E$79</f>
        <v>0</v>
      </c>
      <c r="H80" s="15" t="n">
        <f aca="false">dummy_variables!$F$79</f>
        <v>1</v>
      </c>
      <c r="I80" s="15" t="n">
        <f aca="false">dummy_variables!$G$79</f>
        <v>0</v>
      </c>
      <c r="J80" s="15" t="n">
        <f aca="false">dummy_variables!$H$79</f>
        <v>0</v>
      </c>
      <c r="K80" s="15" t="n">
        <f aca="false">dummy_variables!$I$79</f>
        <v>0</v>
      </c>
    </row>
    <row r="81" customFormat="false" ht="15" hidden="false" customHeight="true" outlineLevel="0" collapsed="false">
      <c r="A81" s="15" t="n">
        <f aca="false">cleaned_data!$M$80</f>
        <v>680840.36</v>
      </c>
      <c r="B81" s="15" t="n">
        <f aca="false">cleaned_data!$F$80</f>
        <v>8252</v>
      </c>
      <c r="C81" s="15" t="n">
        <f aca="false">cleaned_data!$E$80</f>
        <v>58749.63</v>
      </c>
      <c r="D81" s="15" t="n">
        <f aca="false">cleaned_data!$I$80</f>
        <v>85.2</v>
      </c>
      <c r="E81" s="15" t="n">
        <f aca="false">cleaned_data!$H$80</f>
        <v>20</v>
      </c>
      <c r="F81" s="15" t="n">
        <f aca="false">dummy_variables!$D$80</f>
        <v>0</v>
      </c>
      <c r="G81" s="15" t="n">
        <f aca="false">dummy_variables!$E$80</f>
        <v>0</v>
      </c>
      <c r="H81" s="15" t="n">
        <f aca="false">dummy_variables!$F$80</f>
        <v>1</v>
      </c>
      <c r="I81" s="15" t="n">
        <f aca="false">dummy_variables!$G$80</f>
        <v>0</v>
      </c>
      <c r="J81" s="15" t="n">
        <f aca="false">dummy_variables!$H$80</f>
        <v>0</v>
      </c>
      <c r="K81" s="15" t="n">
        <f aca="false">dummy_variables!$I$80</f>
        <v>0</v>
      </c>
    </row>
    <row r="82" customFormat="false" ht="15" hidden="false" customHeight="true" outlineLevel="0" collapsed="false">
      <c r="A82" s="15" t="n">
        <f aca="false">cleaned_data!$M$81</f>
        <v>643657.47</v>
      </c>
      <c r="B82" s="15" t="n">
        <f aca="false">cleaned_data!$F$81</f>
        <v>6662</v>
      </c>
      <c r="C82" s="15" t="n">
        <f aca="false">cleaned_data!$E$81</f>
        <v>56973.18</v>
      </c>
      <c r="D82" s="15" t="n">
        <f aca="false">cleaned_data!$I$81</f>
        <v>77.7</v>
      </c>
      <c r="E82" s="15" t="n">
        <f aca="false">cleaned_data!$H$81</f>
        <v>15</v>
      </c>
      <c r="F82" s="15" t="n">
        <f aca="false">dummy_variables!$D$81</f>
        <v>0</v>
      </c>
      <c r="G82" s="15" t="n">
        <f aca="false">dummy_variables!$E$81</f>
        <v>0</v>
      </c>
      <c r="H82" s="15" t="n">
        <f aca="false">dummy_variables!$F$81</f>
        <v>0</v>
      </c>
      <c r="I82" s="15" t="n">
        <f aca="false">dummy_variables!$G$81</f>
        <v>0</v>
      </c>
      <c r="J82" s="15" t="n">
        <f aca="false">dummy_variables!$H$81</f>
        <v>1</v>
      </c>
      <c r="K82" s="15" t="n">
        <f aca="false">dummy_variables!$I$81</f>
        <v>0</v>
      </c>
    </row>
    <row r="83" customFormat="false" ht="15" hidden="false" customHeight="true" outlineLevel="0" collapsed="false">
      <c r="A83" s="15" t="n">
        <f aca="false">cleaned_data!$M$82</f>
        <v>691112.6</v>
      </c>
      <c r="B83" s="15" t="n">
        <f aca="false">cleaned_data!$F$82</f>
        <v>5962</v>
      </c>
      <c r="C83" s="15" t="n">
        <f aca="false">cleaned_data!$E$82</f>
        <v>54872.82</v>
      </c>
      <c r="D83" s="15" t="n">
        <f aca="false">cleaned_data!$I$82</f>
        <v>85.4</v>
      </c>
      <c r="E83" s="15" t="n">
        <f aca="false">cleaned_data!$H$82</f>
        <v>12</v>
      </c>
      <c r="F83" s="15" t="n">
        <f aca="false">dummy_variables!$D$82</f>
        <v>0</v>
      </c>
      <c r="G83" s="15" t="n">
        <f aca="false">dummy_variables!$E$82</f>
        <v>0</v>
      </c>
      <c r="H83" s="15" t="n">
        <f aca="false">dummy_variables!$F$82</f>
        <v>0</v>
      </c>
      <c r="I83" s="15" t="n">
        <f aca="false">dummy_variables!$G$82</f>
        <v>0</v>
      </c>
      <c r="J83" s="15" t="n">
        <f aca="false">dummy_variables!$H$82</f>
        <v>1</v>
      </c>
      <c r="K83" s="15" t="n">
        <f aca="false">dummy_variables!$I$82</f>
        <v>0</v>
      </c>
    </row>
    <row r="84" customFormat="false" ht="15" hidden="false" customHeight="true" outlineLevel="0" collapsed="false">
      <c r="A84" s="15" t="n">
        <f aca="false">cleaned_data!$M$83</f>
        <v>776922.17</v>
      </c>
      <c r="B84" s="15" t="n">
        <f aca="false">cleaned_data!$F$83</f>
        <v>7470</v>
      </c>
      <c r="C84" s="15" t="n">
        <f aca="false">cleaned_data!$E$83</f>
        <v>80562.81</v>
      </c>
      <c r="D84" s="15" t="n">
        <f aca="false">cleaned_data!$I$83</f>
        <v>83.5</v>
      </c>
      <c r="E84" s="15" t="n">
        <f aca="false">cleaned_data!$H$83</f>
        <v>16</v>
      </c>
      <c r="F84" s="15" t="n">
        <f aca="false">dummy_variables!$D$83</f>
        <v>0</v>
      </c>
      <c r="G84" s="15" t="n">
        <f aca="false">dummy_variables!$E$83</f>
        <v>0</v>
      </c>
      <c r="H84" s="15" t="n">
        <f aca="false">dummy_variables!$F$83</f>
        <v>0</v>
      </c>
      <c r="I84" s="15" t="n">
        <f aca="false">dummy_variables!$G$83</f>
        <v>0</v>
      </c>
      <c r="J84" s="15" t="n">
        <f aca="false">dummy_variables!$H$83</f>
        <v>1</v>
      </c>
      <c r="K84" s="15" t="n">
        <f aca="false">dummy_variables!$I$83</f>
        <v>0</v>
      </c>
    </row>
    <row r="85" customFormat="false" ht="15" hidden="false" customHeight="true" outlineLevel="0" collapsed="false">
      <c r="A85" s="15" t="n">
        <f aca="false">cleaned_data!$M$84</f>
        <v>636561.34</v>
      </c>
      <c r="B85" s="15" t="n">
        <f aca="false">cleaned_data!$F$84</f>
        <v>5974</v>
      </c>
      <c r="C85" s="15" t="n">
        <f aca="false">cleaned_data!$E$84</f>
        <v>77999.9</v>
      </c>
      <c r="D85" s="15" t="n">
        <f aca="false">cleaned_data!$I$84</f>
        <v>81.3</v>
      </c>
      <c r="E85" s="15" t="n">
        <f aca="false">cleaned_data!$H$84</f>
        <v>14</v>
      </c>
      <c r="F85" s="15" t="n">
        <f aca="false">dummy_variables!$D$84</f>
        <v>0</v>
      </c>
      <c r="G85" s="15" t="n">
        <f aca="false">dummy_variables!$E$84</f>
        <v>0</v>
      </c>
      <c r="H85" s="15" t="n">
        <f aca="false">dummy_variables!$F$84</f>
        <v>0</v>
      </c>
      <c r="I85" s="15" t="n">
        <f aca="false">dummy_variables!$G$84</f>
        <v>0</v>
      </c>
      <c r="J85" s="15" t="n">
        <f aca="false">dummy_variables!$H$84</f>
        <v>1</v>
      </c>
      <c r="K85" s="15" t="n">
        <f aca="false">dummy_variables!$I$84</f>
        <v>0</v>
      </c>
    </row>
    <row r="86" customFormat="false" ht="15" hidden="false" customHeight="true" outlineLevel="0" collapsed="false">
      <c r="A86" s="15" t="n">
        <f aca="false">cleaned_data!$M$85</f>
        <v>621369.58</v>
      </c>
      <c r="B86" s="15" t="n">
        <f aca="false">cleaned_data!$F$85</f>
        <v>5410</v>
      </c>
      <c r="C86" s="15" t="n">
        <f aca="false">cleaned_data!$E$85</f>
        <v>60881.01</v>
      </c>
      <c r="D86" s="15" t="n">
        <f aca="false">cleaned_data!$I$85</f>
        <v>83.9</v>
      </c>
      <c r="E86" s="15" t="n">
        <f aca="false">cleaned_data!$H$85</f>
        <v>15</v>
      </c>
      <c r="F86" s="15" t="n">
        <f aca="false">dummy_variables!$D$85</f>
        <v>0</v>
      </c>
      <c r="G86" s="15" t="n">
        <f aca="false">dummy_variables!$E$85</f>
        <v>1</v>
      </c>
      <c r="H86" s="15" t="n">
        <f aca="false">dummy_variables!$F$85</f>
        <v>0</v>
      </c>
      <c r="I86" s="15" t="n">
        <f aca="false">dummy_variables!$G$85</f>
        <v>0</v>
      </c>
      <c r="J86" s="15" t="n">
        <f aca="false">dummy_variables!$H$85</f>
        <v>0</v>
      </c>
      <c r="K86" s="15" t="n">
        <f aca="false">dummy_variables!$I$85</f>
        <v>1</v>
      </c>
    </row>
    <row r="87" customFormat="false" ht="15" hidden="false" customHeight="true" outlineLevel="0" collapsed="false">
      <c r="A87" s="15" t="n">
        <f aca="false">cleaned_data!$M$86</f>
        <v>682208.01</v>
      </c>
      <c r="B87" s="15" t="n">
        <f aca="false">cleaned_data!$F$86</f>
        <v>4451</v>
      </c>
      <c r="C87" s="15" t="n">
        <f aca="false">cleaned_data!$E$86</f>
        <v>60628.38</v>
      </c>
      <c r="D87" s="15" t="n">
        <f aca="false">cleaned_data!$I$86</f>
        <v>89.6</v>
      </c>
      <c r="E87" s="15" t="n">
        <f aca="false">cleaned_data!$H$86</f>
        <v>10</v>
      </c>
      <c r="F87" s="15" t="n">
        <f aca="false">dummy_variables!$D$86</f>
        <v>0</v>
      </c>
      <c r="G87" s="15" t="n">
        <f aca="false">dummy_variables!$E$86</f>
        <v>1</v>
      </c>
      <c r="H87" s="15" t="n">
        <f aca="false">dummy_variables!$F$86</f>
        <v>0</v>
      </c>
      <c r="I87" s="15" t="n">
        <f aca="false">dummy_variables!$G$86</f>
        <v>0</v>
      </c>
      <c r="J87" s="15" t="n">
        <f aca="false">dummy_variables!$H$86</f>
        <v>0</v>
      </c>
      <c r="K87" s="15" t="n">
        <f aca="false">dummy_variables!$I$86</f>
        <v>1</v>
      </c>
    </row>
    <row r="88" customFormat="false" ht="15" hidden="false" customHeight="true" outlineLevel="0" collapsed="false">
      <c r="A88" s="15" t="n">
        <f aca="false">cleaned_data!$M$87</f>
        <v>727241.86</v>
      </c>
      <c r="B88" s="15" t="n">
        <f aca="false">cleaned_data!$F$87</f>
        <v>4644</v>
      </c>
      <c r="C88" s="15" t="n">
        <f aca="false">cleaned_data!$E$87</f>
        <v>72731.14</v>
      </c>
      <c r="D88" s="15" t="n">
        <f aca="false">cleaned_data!$I$87</f>
        <v>87.1</v>
      </c>
      <c r="E88" s="15" t="n">
        <f aca="false">cleaned_data!$H$87</f>
        <v>15</v>
      </c>
      <c r="F88" s="15" t="n">
        <f aca="false">dummy_variables!$D$87</f>
        <v>0</v>
      </c>
      <c r="G88" s="15" t="n">
        <f aca="false">dummy_variables!$E$87</f>
        <v>1</v>
      </c>
      <c r="H88" s="15" t="n">
        <f aca="false">dummy_variables!$F$87</f>
        <v>0</v>
      </c>
      <c r="I88" s="15" t="n">
        <f aca="false">dummy_variables!$G$87</f>
        <v>0</v>
      </c>
      <c r="J88" s="15" t="n">
        <f aca="false">dummy_variables!$H$87</f>
        <v>0</v>
      </c>
      <c r="K88" s="15" t="n">
        <f aca="false">dummy_variables!$I$87</f>
        <v>1</v>
      </c>
    </row>
    <row r="89" customFormat="false" ht="15" hidden="false" customHeight="true" outlineLevel="0" collapsed="false">
      <c r="A89" s="15" t="n">
        <f aca="false">cleaned_data!$M$88</f>
        <v>569100.78</v>
      </c>
      <c r="B89" s="15" t="n">
        <f aca="false">cleaned_data!$F$88</f>
        <v>3559</v>
      </c>
      <c r="C89" s="15" t="n">
        <f aca="false">cleaned_data!$E$88</f>
        <v>36475.71</v>
      </c>
      <c r="D89" s="15" t="n">
        <f aca="false">cleaned_data!$I$88</f>
        <v>83.6</v>
      </c>
      <c r="E89" s="15" t="n">
        <f aca="false">cleaned_data!$H$88</f>
        <v>8</v>
      </c>
      <c r="F89" s="15" t="n">
        <f aca="false">dummy_variables!$D$88</f>
        <v>0</v>
      </c>
      <c r="G89" s="15" t="n">
        <f aca="false">dummy_variables!$E$88</f>
        <v>1</v>
      </c>
      <c r="H89" s="15" t="n">
        <f aca="false">dummy_variables!$F$88</f>
        <v>0</v>
      </c>
      <c r="I89" s="15" t="n">
        <f aca="false">dummy_variables!$G$88</f>
        <v>0</v>
      </c>
      <c r="J89" s="15" t="n">
        <f aca="false">dummy_variables!$H$88</f>
        <v>0</v>
      </c>
      <c r="K89" s="15" t="n">
        <f aca="false">dummy_variables!$I$88</f>
        <v>1</v>
      </c>
    </row>
    <row r="90" customFormat="false" ht="15" hidden="false" customHeight="true" outlineLevel="0" collapsed="false">
      <c r="A90" s="15" t="n">
        <f aca="false">cleaned_data!$M$89</f>
        <v>574436.29</v>
      </c>
      <c r="B90" s="15" t="n">
        <f aca="false">cleaned_data!$F$89</f>
        <v>3091</v>
      </c>
      <c r="C90" s="15" t="n">
        <f aca="false">cleaned_data!$E$89</f>
        <v>55388.11</v>
      </c>
      <c r="D90" s="15" t="n">
        <f aca="false">cleaned_data!$I$89</f>
        <v>85.4</v>
      </c>
      <c r="E90" s="15" t="n">
        <f aca="false">cleaned_data!$H$89</f>
        <v>7</v>
      </c>
      <c r="F90" s="15" t="n">
        <f aca="false">dummy_variables!$D$89</f>
        <v>0</v>
      </c>
      <c r="G90" s="15" t="n">
        <f aca="false">dummy_variables!$E$89</f>
        <v>0</v>
      </c>
      <c r="H90" s="15" t="n">
        <f aca="false">dummy_variables!$F$89</f>
        <v>0</v>
      </c>
      <c r="I90" s="15" t="n">
        <f aca="false">dummy_variables!$G$89</f>
        <v>0</v>
      </c>
      <c r="J90" s="15" t="n">
        <f aca="false">dummy_variables!$H$89</f>
        <v>0</v>
      </c>
      <c r="K90" s="15" t="n">
        <f aca="false">dummy_variables!$I$89</f>
        <v>1</v>
      </c>
    </row>
    <row r="91" customFormat="false" ht="15" hidden="false" customHeight="true" outlineLevel="0" collapsed="false">
      <c r="A91" s="15" t="n">
        <f aca="false">cleaned_data!$M$90</f>
        <v>611766.72</v>
      </c>
      <c r="B91" s="15" t="n">
        <f aca="false">cleaned_data!$F$90</f>
        <v>4004</v>
      </c>
      <c r="C91" s="15" t="n">
        <f aca="false">cleaned_data!$E$90</f>
        <v>88443.77</v>
      </c>
      <c r="D91" s="15" t="n">
        <f aca="false">cleaned_data!$I$90</f>
        <v>91.9</v>
      </c>
      <c r="E91" s="15" t="n">
        <f aca="false">cleaned_data!$H$90</f>
        <v>11</v>
      </c>
      <c r="F91" s="15" t="n">
        <f aca="false">dummy_variables!$D$90</f>
        <v>0</v>
      </c>
      <c r="G91" s="15" t="n">
        <f aca="false">dummy_variables!$E$90</f>
        <v>0</v>
      </c>
      <c r="H91" s="15" t="n">
        <f aca="false">dummy_variables!$F$90</f>
        <v>0</v>
      </c>
      <c r="I91" s="15" t="n">
        <f aca="false">dummy_variables!$G$90</f>
        <v>0</v>
      </c>
      <c r="J91" s="15" t="n">
        <f aca="false">dummy_variables!$H$90</f>
        <v>0</v>
      </c>
      <c r="K91" s="15" t="n">
        <f aca="false">dummy_variables!$I$90</f>
        <v>1</v>
      </c>
    </row>
    <row r="92" customFormat="false" ht="15" hidden="false" customHeight="true" outlineLevel="0" collapsed="false">
      <c r="A92" s="15" t="n">
        <f aca="false">cleaned_data!$M$91</f>
        <v>614596.32</v>
      </c>
      <c r="B92" s="15" t="n">
        <f aca="false">cleaned_data!$F$91</f>
        <v>3788</v>
      </c>
      <c r="C92" s="15" t="n">
        <f aca="false">cleaned_data!$E$91</f>
        <v>78231.91</v>
      </c>
      <c r="D92" s="15" t="n">
        <f aca="false">cleaned_data!$I$91</f>
        <v>88.5</v>
      </c>
      <c r="E92" s="15" t="n">
        <f aca="false">cleaned_data!$H$91</f>
        <v>11</v>
      </c>
      <c r="F92" s="15" t="n">
        <f aca="false">dummy_variables!$D$91</f>
        <v>0</v>
      </c>
      <c r="G92" s="15" t="n">
        <f aca="false">dummy_variables!$E$91</f>
        <v>0</v>
      </c>
      <c r="H92" s="15" t="n">
        <f aca="false">dummy_variables!$F$91</f>
        <v>0</v>
      </c>
      <c r="I92" s="15" t="n">
        <f aca="false">dummy_variables!$G$91</f>
        <v>0</v>
      </c>
      <c r="J92" s="15" t="n">
        <f aca="false">dummy_variables!$H$91</f>
        <v>0</v>
      </c>
      <c r="K92" s="15" t="n">
        <f aca="false">dummy_variables!$I$91</f>
        <v>1</v>
      </c>
    </row>
    <row r="93" customFormat="false" ht="15" hidden="false" customHeight="true" outlineLevel="0" collapsed="false">
      <c r="A93" s="15" t="n">
        <f aca="false">cleaned_data!$M$92</f>
        <v>450711.92</v>
      </c>
      <c r="B93" s="15" t="n">
        <f aca="false">cleaned_data!$F$92</f>
        <v>1260</v>
      </c>
      <c r="C93" s="15" t="n">
        <f aca="false">cleaned_data!$E$92</f>
        <v>18996.32</v>
      </c>
      <c r="D93" s="15" t="n">
        <f aca="false">cleaned_data!$I$92</f>
        <v>86.4</v>
      </c>
      <c r="E93" s="15" t="n">
        <f aca="false">cleaned_data!$H$92</f>
        <v>9</v>
      </c>
      <c r="F93" s="15" t="n">
        <f aca="false">dummy_variables!$D$92</f>
        <v>0</v>
      </c>
      <c r="G93" s="15" t="n">
        <f aca="false">dummy_variables!$E$92</f>
        <v>0</v>
      </c>
      <c r="H93" s="15" t="n">
        <f aca="false">dummy_variables!$F$92</f>
        <v>0</v>
      </c>
      <c r="I93" s="15" t="n">
        <f aca="false">dummy_variables!$G$92</f>
        <v>0</v>
      </c>
      <c r="J93" s="15" t="n">
        <f aca="false">dummy_variables!$H$92</f>
        <v>0</v>
      </c>
      <c r="K93" s="15" t="n">
        <f aca="false">dummy_variables!$I$92</f>
        <v>1</v>
      </c>
    </row>
    <row r="94" customFormat="false" ht="15" hidden="false" customHeight="true" outlineLevel="0" collapsed="false">
      <c r="A94" s="15" t="n">
        <f aca="false">cleaned_data!$M$93</f>
        <v>711213.46</v>
      </c>
      <c r="B94" s="15" t="n">
        <f aca="false">cleaned_data!$F$93</f>
        <v>7024</v>
      </c>
      <c r="C94" s="15" t="n">
        <f aca="false">cleaned_data!$E$93</f>
        <v>50517.94</v>
      </c>
      <c r="D94" s="15" t="n">
        <f aca="false">cleaned_data!$I$93</f>
        <v>79.2</v>
      </c>
      <c r="E94" s="15" t="n">
        <f aca="false">cleaned_data!$H$93</f>
        <v>18</v>
      </c>
      <c r="F94" s="15" t="n">
        <f aca="false">dummy_variables!$D$93</f>
        <v>0</v>
      </c>
      <c r="G94" s="15" t="n">
        <f aca="false">dummy_variables!$E$93</f>
        <v>1</v>
      </c>
      <c r="H94" s="15" t="n">
        <f aca="false">dummy_variables!$F$93</f>
        <v>0</v>
      </c>
      <c r="I94" s="15" t="n">
        <f aca="false">dummy_variables!$G$93</f>
        <v>0</v>
      </c>
      <c r="J94" s="15" t="n">
        <f aca="false">dummy_variables!$H$93</f>
        <v>1</v>
      </c>
      <c r="K94" s="15" t="n">
        <f aca="false">dummy_variables!$I$93</f>
        <v>0</v>
      </c>
    </row>
    <row r="95" customFormat="false" ht="15" hidden="false" customHeight="true" outlineLevel="0" collapsed="false">
      <c r="A95" s="15" t="n">
        <f aca="false">cleaned_data!$M$94</f>
        <v>627171.9</v>
      </c>
      <c r="B95" s="15" t="n">
        <f aca="false">cleaned_data!$F$94</f>
        <v>5400</v>
      </c>
      <c r="C95" s="15" t="n">
        <f aca="false">cleaned_data!$E$94</f>
        <v>141540.29</v>
      </c>
      <c r="D95" s="15" t="n">
        <f aca="false">cleaned_data!$I$94</f>
        <v>87</v>
      </c>
      <c r="E95" s="15" t="n">
        <f aca="false">cleaned_data!$H$94</f>
        <v>12</v>
      </c>
      <c r="F95" s="15" t="n">
        <f aca="false">dummy_variables!$D$94</f>
        <v>0</v>
      </c>
      <c r="G95" s="15" t="n">
        <f aca="false">dummy_variables!$E$94</f>
        <v>1</v>
      </c>
      <c r="H95" s="15" t="n">
        <f aca="false">dummy_variables!$F$94</f>
        <v>0</v>
      </c>
      <c r="I95" s="15" t="n">
        <f aca="false">dummy_variables!$G$94</f>
        <v>0</v>
      </c>
      <c r="J95" s="15" t="n">
        <f aca="false">dummy_variables!$H$94</f>
        <v>1</v>
      </c>
      <c r="K95" s="15" t="n">
        <f aca="false">dummy_variables!$I$94</f>
        <v>0</v>
      </c>
    </row>
    <row r="96" customFormat="false" ht="15" hidden="false" customHeight="true" outlineLevel="0" collapsed="false">
      <c r="A96" s="15" t="n">
        <f aca="false">cleaned_data!$M$95</f>
        <v>739852.58</v>
      </c>
      <c r="B96" s="15" t="n">
        <f aca="false">cleaned_data!$F$95</f>
        <v>5988</v>
      </c>
      <c r="C96" s="15" t="n">
        <f aca="false">cleaned_data!$E$95</f>
        <v>82116.19</v>
      </c>
      <c r="D96" s="15" t="n">
        <f aca="false">cleaned_data!$I$95</f>
        <v>91.8</v>
      </c>
      <c r="E96" s="15" t="n">
        <f aca="false">cleaned_data!$H$95</f>
        <v>17</v>
      </c>
      <c r="F96" s="15" t="n">
        <f aca="false">dummy_variables!$D$95</f>
        <v>0</v>
      </c>
      <c r="G96" s="15" t="n">
        <f aca="false">dummy_variables!$E$95</f>
        <v>1</v>
      </c>
      <c r="H96" s="15" t="n">
        <f aca="false">dummy_variables!$F$95</f>
        <v>0</v>
      </c>
      <c r="I96" s="15" t="n">
        <f aca="false">dummy_variables!$G$95</f>
        <v>0</v>
      </c>
      <c r="J96" s="15" t="n">
        <f aca="false">dummy_variables!$H$95</f>
        <v>1</v>
      </c>
      <c r="K96" s="15" t="n">
        <f aca="false">dummy_variables!$I$95</f>
        <v>0</v>
      </c>
    </row>
    <row r="97" customFormat="false" ht="15" hidden="false" customHeight="true" outlineLevel="0" collapsed="false">
      <c r="A97" s="15" t="n">
        <f aca="false">cleaned_data!$M$96</f>
        <v>586307.22</v>
      </c>
      <c r="B97" s="15" t="n">
        <f aca="false">cleaned_data!$F$96</f>
        <v>3701</v>
      </c>
      <c r="C97" s="15" t="n">
        <f aca="false">cleaned_data!$E$96</f>
        <v>31207.51</v>
      </c>
      <c r="D97" s="15" t="n">
        <f aca="false">cleaned_data!$I$96</f>
        <v>84.7</v>
      </c>
      <c r="E97" s="15" t="n">
        <f aca="false">cleaned_data!$H$96</f>
        <v>11</v>
      </c>
      <c r="F97" s="15" t="n">
        <f aca="false">dummy_variables!$D$96</f>
        <v>0</v>
      </c>
      <c r="G97" s="15" t="n">
        <f aca="false">dummy_variables!$E$96</f>
        <v>1</v>
      </c>
      <c r="H97" s="15" t="n">
        <f aca="false">dummy_variables!$F$96</f>
        <v>0</v>
      </c>
      <c r="I97" s="15" t="n">
        <f aca="false">dummy_variables!$G$96</f>
        <v>0</v>
      </c>
      <c r="J97" s="15" t="n">
        <f aca="false">dummy_variables!$H$96</f>
        <v>1</v>
      </c>
      <c r="K97" s="15" t="n">
        <f aca="false">dummy_variables!$I$96</f>
        <v>0</v>
      </c>
    </row>
    <row r="98" customFormat="false" ht="15" hidden="false" customHeight="true" outlineLevel="0" collapsed="false">
      <c r="A98" s="15" t="n">
        <f aca="false">cleaned_data!$M$97</f>
        <v>585937.48</v>
      </c>
      <c r="B98" s="15" t="n">
        <f aca="false">cleaned_data!$F$97</f>
        <v>4509</v>
      </c>
      <c r="C98" s="15" t="n">
        <f aca="false">cleaned_data!$E$97</f>
        <v>38966.59</v>
      </c>
      <c r="D98" s="15" t="n">
        <f aca="false">cleaned_data!$I$97</f>
        <v>91.1</v>
      </c>
      <c r="E98" s="15" t="n">
        <f aca="false">cleaned_data!$H$97</f>
        <v>14</v>
      </c>
      <c r="F98" s="15" t="n">
        <f aca="false">dummy_variables!$D$97</f>
        <v>0</v>
      </c>
      <c r="G98" s="15" t="n">
        <f aca="false">dummy_variables!$E$97</f>
        <v>0</v>
      </c>
      <c r="H98" s="15" t="n">
        <f aca="false">dummy_variables!$F$97</f>
        <v>1</v>
      </c>
      <c r="I98" s="15" t="n">
        <f aca="false">dummy_variables!$G$97</f>
        <v>0</v>
      </c>
      <c r="J98" s="15" t="n">
        <f aca="false">dummy_variables!$H$97</f>
        <v>0</v>
      </c>
      <c r="K98" s="15" t="n">
        <f aca="false">dummy_variables!$I$97</f>
        <v>1</v>
      </c>
    </row>
    <row r="99" customFormat="false" ht="15" hidden="false" customHeight="true" outlineLevel="0" collapsed="false">
      <c r="A99" s="15" t="n">
        <f aca="false">cleaned_data!$M$98</f>
        <v>753473.55</v>
      </c>
      <c r="B99" s="15" t="n">
        <f aca="false">cleaned_data!$F$98</f>
        <v>6477</v>
      </c>
      <c r="C99" s="15" t="n">
        <f aca="false">cleaned_data!$E$98</f>
        <v>67439.3</v>
      </c>
      <c r="D99" s="15" t="n">
        <f aca="false">cleaned_data!$I$98</f>
        <v>90.9</v>
      </c>
      <c r="E99" s="15" t="n">
        <f aca="false">cleaned_data!$H$98</f>
        <v>16</v>
      </c>
      <c r="F99" s="15" t="n">
        <f aca="false">dummy_variables!$D$98</f>
        <v>0</v>
      </c>
      <c r="G99" s="15" t="n">
        <f aca="false">dummy_variables!$E$98</f>
        <v>0</v>
      </c>
      <c r="H99" s="15" t="n">
        <f aca="false">dummy_variables!$F$98</f>
        <v>1</v>
      </c>
      <c r="I99" s="15" t="n">
        <f aca="false">dummy_variables!$G$98</f>
        <v>0</v>
      </c>
      <c r="J99" s="15" t="n">
        <f aca="false">dummy_variables!$H$98</f>
        <v>0</v>
      </c>
      <c r="K99" s="15" t="n">
        <f aca="false">dummy_variables!$I$98</f>
        <v>1</v>
      </c>
    </row>
    <row r="100" customFormat="false" ht="15" hidden="false" customHeight="true" outlineLevel="0" collapsed="false">
      <c r="A100" s="15" t="n">
        <f aca="false">cleaned_data!$M$99</f>
        <v>838250.32</v>
      </c>
      <c r="B100" s="15" t="n">
        <f aca="false">cleaned_data!$F$99</f>
        <v>7970</v>
      </c>
      <c r="C100" s="15" t="n">
        <f aca="false">cleaned_data!$E$99</f>
        <v>86421.88</v>
      </c>
      <c r="D100" s="15" t="n">
        <f aca="false">cleaned_data!$I$99</f>
        <v>91.3</v>
      </c>
      <c r="E100" s="15" t="n">
        <f aca="false">cleaned_data!$H$99</f>
        <v>17</v>
      </c>
      <c r="F100" s="15" t="n">
        <f aca="false">dummy_variables!$D$99</f>
        <v>0</v>
      </c>
      <c r="G100" s="15" t="n">
        <f aca="false">dummy_variables!$E$99</f>
        <v>0</v>
      </c>
      <c r="H100" s="15" t="n">
        <f aca="false">dummy_variables!$F$99</f>
        <v>1</v>
      </c>
      <c r="I100" s="15" t="n">
        <f aca="false">dummy_variables!$G$99</f>
        <v>0</v>
      </c>
      <c r="J100" s="15" t="n">
        <f aca="false">dummy_variables!$H$99</f>
        <v>0</v>
      </c>
      <c r="K100" s="15" t="n">
        <f aca="false">dummy_variables!$I$99</f>
        <v>1</v>
      </c>
    </row>
    <row r="101" customFormat="false" ht="15" hidden="false" customHeight="true" outlineLevel="0" collapsed="false">
      <c r="A101" s="15" t="n">
        <f aca="false">cleaned_data!$M$100</f>
        <v>607898.12</v>
      </c>
      <c r="B101" s="15" t="n">
        <f aca="false">cleaned_data!$F$100</f>
        <v>6057</v>
      </c>
      <c r="C101" s="15" t="n">
        <f aca="false">cleaned_data!$E$100</f>
        <v>9534.65</v>
      </c>
      <c r="D101" s="15" t="n">
        <f aca="false">cleaned_data!$I$100</f>
        <v>94.1</v>
      </c>
      <c r="E101" s="15" t="n">
        <f aca="false">cleaned_data!$H$100</f>
        <v>15</v>
      </c>
      <c r="F101" s="15" t="n">
        <f aca="false">dummy_variables!$D$100</f>
        <v>0</v>
      </c>
      <c r="G101" s="15" t="n">
        <f aca="false">dummy_variables!$E$100</f>
        <v>0</v>
      </c>
      <c r="H101" s="15" t="n">
        <f aca="false">dummy_variables!$F$100</f>
        <v>1</v>
      </c>
      <c r="I101" s="15" t="n">
        <f aca="false">dummy_variables!$G$100</f>
        <v>0</v>
      </c>
      <c r="J101" s="15" t="n">
        <f aca="false">dummy_variables!$H$100</f>
        <v>0</v>
      </c>
      <c r="K101" s="15" t="n">
        <f aca="false">dummy_variables!$I$100</f>
        <v>1</v>
      </c>
    </row>
    <row r="102" customFormat="false" ht="15" hidden="false" customHeight="true" outlineLevel="0" collapsed="false">
      <c r="A102" s="15" t="n">
        <f aca="false">cleaned_data!$M$101</f>
        <v>691113.62</v>
      </c>
      <c r="B102" s="15" t="n">
        <f aca="false">cleaned_data!$F$101</f>
        <v>6394</v>
      </c>
      <c r="C102" s="15" t="n">
        <f aca="false">cleaned_data!$E$101</f>
        <v>61132.07</v>
      </c>
      <c r="D102" s="15" t="n">
        <f aca="false">cleaned_data!$I$101</f>
        <v>91</v>
      </c>
      <c r="E102" s="15" t="n">
        <f aca="false">cleaned_data!$H$101</f>
        <v>19</v>
      </c>
      <c r="F102" s="15" t="n">
        <f aca="false">dummy_variables!$D$101</f>
        <v>0</v>
      </c>
      <c r="G102" s="15" t="n">
        <f aca="false">dummy_variables!$E$101</f>
        <v>1</v>
      </c>
      <c r="H102" s="15" t="n">
        <f aca="false">dummy_variables!$F$101</f>
        <v>0</v>
      </c>
      <c r="I102" s="15" t="n">
        <f aca="false">dummy_variables!$G$101</f>
        <v>0</v>
      </c>
      <c r="J102" s="15" t="n">
        <f aca="false">dummy_variables!$H$101</f>
        <v>0</v>
      </c>
      <c r="K102" s="15" t="n">
        <f aca="false">dummy_variables!$I$101</f>
        <v>1</v>
      </c>
    </row>
    <row r="103" customFormat="false" ht="15" hidden="false" customHeight="true" outlineLevel="0" collapsed="false">
      <c r="A103" s="15" t="n">
        <f aca="false">cleaned_data!$M$102</f>
        <v>735509.4</v>
      </c>
      <c r="B103" s="15" t="n">
        <f aca="false">cleaned_data!$F$102</f>
        <v>5150</v>
      </c>
      <c r="C103" s="15" t="n">
        <f aca="false">cleaned_data!$E$102</f>
        <v>78839.39</v>
      </c>
      <c r="D103" s="15" t="n">
        <f aca="false">cleaned_data!$I$102</f>
        <v>85.8</v>
      </c>
      <c r="E103" s="15" t="n">
        <f aca="false">cleaned_data!$H$102</f>
        <v>13</v>
      </c>
      <c r="F103" s="15" t="n">
        <f aca="false">dummy_variables!$D$102</f>
        <v>0</v>
      </c>
      <c r="G103" s="15" t="n">
        <f aca="false">dummy_variables!$E$102</f>
        <v>1</v>
      </c>
      <c r="H103" s="15" t="n">
        <f aca="false">dummy_variables!$F$102</f>
        <v>0</v>
      </c>
      <c r="I103" s="15" t="n">
        <f aca="false">dummy_variables!$G$102</f>
        <v>0</v>
      </c>
      <c r="J103" s="15" t="n">
        <f aca="false">dummy_variables!$H$102</f>
        <v>0</v>
      </c>
      <c r="K103" s="15" t="n">
        <f aca="false">dummy_variables!$I$102</f>
        <v>1</v>
      </c>
    </row>
    <row r="104" customFormat="false" ht="15" hidden="false" customHeight="true" outlineLevel="0" collapsed="false">
      <c r="A104" s="15" t="n">
        <f aca="false">cleaned_data!$M$103</f>
        <v>605775.33</v>
      </c>
      <c r="B104" s="15" t="n">
        <f aca="false">cleaned_data!$F$103</f>
        <v>4712</v>
      </c>
      <c r="C104" s="15" t="n">
        <f aca="false">cleaned_data!$E$103</f>
        <v>38752.8</v>
      </c>
      <c r="D104" s="15" t="n">
        <f aca="false">cleaned_data!$I$103</f>
        <v>89.7</v>
      </c>
      <c r="E104" s="15" t="n">
        <f aca="false">cleaned_data!$H$103</f>
        <v>15</v>
      </c>
      <c r="F104" s="15" t="n">
        <f aca="false">dummy_variables!$D$103</f>
        <v>0</v>
      </c>
      <c r="G104" s="15" t="n">
        <f aca="false">dummy_variables!$E$103</f>
        <v>1</v>
      </c>
      <c r="H104" s="15" t="n">
        <f aca="false">dummy_variables!$F$103</f>
        <v>0</v>
      </c>
      <c r="I104" s="15" t="n">
        <f aca="false">dummy_variables!$G$103</f>
        <v>0</v>
      </c>
      <c r="J104" s="15" t="n">
        <f aca="false">dummy_variables!$H$103</f>
        <v>0</v>
      </c>
      <c r="K104" s="15" t="n">
        <f aca="false">dummy_variables!$I$103</f>
        <v>1</v>
      </c>
    </row>
    <row r="105" customFormat="false" ht="15" hidden="false" customHeight="true" outlineLevel="0" collapsed="false">
      <c r="A105" s="15" t="n">
        <f aca="false">cleaned_data!$M$104</f>
        <v>675177.68</v>
      </c>
      <c r="B105" s="15" t="n">
        <f aca="false">cleaned_data!$F$104</f>
        <v>5281</v>
      </c>
      <c r="C105" s="15" t="n">
        <f aca="false">cleaned_data!$E$104</f>
        <v>55101.1</v>
      </c>
      <c r="D105" s="15" t="n">
        <f aca="false">cleaned_data!$I$104</f>
        <v>91</v>
      </c>
      <c r="E105" s="15" t="n">
        <f aca="false">cleaned_data!$H$104</f>
        <v>11</v>
      </c>
      <c r="F105" s="15" t="n">
        <f aca="false">dummy_variables!$D$104</f>
        <v>0</v>
      </c>
      <c r="G105" s="15" t="n">
        <f aca="false">dummy_variables!$E$104</f>
        <v>1</v>
      </c>
      <c r="H105" s="15" t="n">
        <f aca="false">dummy_variables!$F$104</f>
        <v>0</v>
      </c>
      <c r="I105" s="15" t="n">
        <f aca="false">dummy_variables!$G$104</f>
        <v>0</v>
      </c>
      <c r="J105" s="15" t="n">
        <f aca="false">dummy_variables!$H$104</f>
        <v>0</v>
      </c>
      <c r="K105" s="15" t="n">
        <f aca="false">dummy_variables!$I$104</f>
        <v>1</v>
      </c>
    </row>
    <row r="106" customFormat="false" ht="15" hidden="false" customHeight="true" outlineLevel="0" collapsed="false">
      <c r="A106" s="15" t="n">
        <f aca="false">cleaned_data!$M$105</f>
        <v>635181.35</v>
      </c>
      <c r="B106" s="15" t="n">
        <f aca="false">cleaned_data!$F$105</f>
        <v>3642</v>
      </c>
      <c r="C106" s="15" t="n">
        <f aca="false">cleaned_data!$E$105</f>
        <v>53084.76</v>
      </c>
      <c r="D106" s="15" t="n">
        <f aca="false">cleaned_data!$I$105</f>
        <v>91.4</v>
      </c>
      <c r="E106" s="15" t="n">
        <f aca="false">cleaned_data!$H$105</f>
        <v>12</v>
      </c>
      <c r="F106" s="15" t="n">
        <f aca="false">dummy_variables!$D$105</f>
        <v>0</v>
      </c>
      <c r="G106" s="15" t="n">
        <f aca="false">dummy_variables!$E$105</f>
        <v>1</v>
      </c>
      <c r="H106" s="15" t="n">
        <f aca="false">dummy_variables!$F$105</f>
        <v>0</v>
      </c>
      <c r="I106" s="15" t="n">
        <f aca="false">dummy_variables!$G$105</f>
        <v>0</v>
      </c>
      <c r="J106" s="15" t="n">
        <f aca="false">dummy_variables!$H$105</f>
        <v>0</v>
      </c>
      <c r="K106" s="15" t="n">
        <f aca="false">dummy_variables!$I$105</f>
        <v>0</v>
      </c>
    </row>
    <row r="107" customFormat="false" ht="15" hidden="false" customHeight="true" outlineLevel="0" collapsed="false">
      <c r="A107" s="15" t="n">
        <f aca="false">cleaned_data!$M$106</f>
        <v>586626.94</v>
      </c>
      <c r="B107" s="15" t="n">
        <f aca="false">cleaned_data!$F$106</f>
        <v>4373</v>
      </c>
      <c r="C107" s="15" t="n">
        <f aca="false">cleaned_data!$E$106</f>
        <v>63101.59</v>
      </c>
      <c r="D107" s="15" t="n">
        <f aca="false">cleaned_data!$I$106</f>
        <v>90.4</v>
      </c>
      <c r="E107" s="15" t="n">
        <f aca="false">cleaned_data!$H$106</f>
        <v>14</v>
      </c>
      <c r="F107" s="15" t="n">
        <f aca="false">dummy_variables!$D$106</f>
        <v>0</v>
      </c>
      <c r="G107" s="15" t="n">
        <f aca="false">dummy_variables!$E$106</f>
        <v>1</v>
      </c>
      <c r="H107" s="15" t="n">
        <f aca="false">dummy_variables!$F$106</f>
        <v>0</v>
      </c>
      <c r="I107" s="15" t="n">
        <f aca="false">dummy_variables!$G$106</f>
        <v>0</v>
      </c>
      <c r="J107" s="15" t="n">
        <f aca="false">dummy_variables!$H$106</f>
        <v>0</v>
      </c>
      <c r="K107" s="15" t="n">
        <f aca="false">dummy_variables!$I$106</f>
        <v>0</v>
      </c>
    </row>
    <row r="108" customFormat="false" ht="15" hidden="false" customHeight="true" outlineLevel="0" collapsed="false">
      <c r="A108" s="15" t="n">
        <f aca="false">cleaned_data!$M$107</f>
        <v>740102.64</v>
      </c>
      <c r="B108" s="15" t="n">
        <f aca="false">cleaned_data!$F$107</f>
        <v>6832</v>
      </c>
      <c r="C108" s="15" t="n">
        <f aca="false">cleaned_data!$E$107</f>
        <v>90084.4</v>
      </c>
      <c r="D108" s="15" t="n">
        <f aca="false">cleaned_data!$I$107</f>
        <v>80.5</v>
      </c>
      <c r="E108" s="15" t="n">
        <f aca="false">cleaned_data!$H$107</f>
        <v>14</v>
      </c>
      <c r="F108" s="15" t="n">
        <f aca="false">dummy_variables!$D$107</f>
        <v>0</v>
      </c>
      <c r="G108" s="15" t="n">
        <f aca="false">dummy_variables!$E$107</f>
        <v>1</v>
      </c>
      <c r="H108" s="15" t="n">
        <f aca="false">dummy_variables!$F$107</f>
        <v>0</v>
      </c>
      <c r="I108" s="15" t="n">
        <f aca="false">dummy_variables!$G$107</f>
        <v>0</v>
      </c>
      <c r="J108" s="15" t="n">
        <f aca="false">dummy_variables!$H$107</f>
        <v>0</v>
      </c>
      <c r="K108" s="15" t="n">
        <f aca="false">dummy_variables!$I$107</f>
        <v>0</v>
      </c>
    </row>
    <row r="109" customFormat="false" ht="15" hidden="false" customHeight="true" outlineLevel="0" collapsed="false">
      <c r="A109" s="15" t="n">
        <f aca="false">cleaned_data!$M$108</f>
        <v>625514.04</v>
      </c>
      <c r="B109" s="15" t="n">
        <f aca="false">cleaned_data!$F$108</f>
        <v>2414</v>
      </c>
      <c r="C109" s="15" t="n">
        <f aca="false">cleaned_data!$E$108</f>
        <v>32266.64</v>
      </c>
      <c r="D109" s="15" t="n">
        <f aca="false">cleaned_data!$I$108</f>
        <v>92.1</v>
      </c>
      <c r="E109" s="15" t="n">
        <f aca="false">cleaned_data!$H$108</f>
        <v>7</v>
      </c>
      <c r="F109" s="15" t="n">
        <f aca="false">dummy_variables!$D$108</f>
        <v>0</v>
      </c>
      <c r="G109" s="15" t="n">
        <f aca="false">dummy_variables!$E$108</f>
        <v>1</v>
      </c>
      <c r="H109" s="15" t="n">
        <f aca="false">dummy_variables!$F$108</f>
        <v>0</v>
      </c>
      <c r="I109" s="15" t="n">
        <f aca="false">dummy_variables!$G$108</f>
        <v>0</v>
      </c>
      <c r="J109" s="15" t="n">
        <f aca="false">dummy_variables!$H$108</f>
        <v>0</v>
      </c>
      <c r="K109" s="15" t="n">
        <f aca="false">dummy_variables!$I$108</f>
        <v>0</v>
      </c>
    </row>
    <row r="110" customFormat="false" ht="15" hidden="false" customHeight="true" outlineLevel="0" collapsed="false">
      <c r="A110" s="15" t="n">
        <f aca="false">cleaned_data!$M$109</f>
        <v>727227.2</v>
      </c>
      <c r="B110" s="15" t="n">
        <f aca="false">cleaned_data!$F$109</f>
        <v>7374</v>
      </c>
      <c r="C110" s="15" t="n">
        <f aca="false">cleaned_data!$E$109</f>
        <v>57919.07</v>
      </c>
      <c r="D110" s="15" t="n">
        <f aca="false">cleaned_data!$I$109</f>
        <v>82.3</v>
      </c>
      <c r="E110" s="15" t="n">
        <f aca="false">cleaned_data!$H$109</f>
        <v>21</v>
      </c>
      <c r="F110" s="15" t="n">
        <f aca="false">dummy_variables!$D$109</f>
        <v>0</v>
      </c>
      <c r="G110" s="15" t="n">
        <f aca="false">dummy_variables!$E$109</f>
        <v>0</v>
      </c>
      <c r="H110" s="15" t="n">
        <f aca="false">dummy_variables!$F$109</f>
        <v>0</v>
      </c>
      <c r="I110" s="15" t="n">
        <f aca="false">dummy_variables!$G$109</f>
        <v>0</v>
      </c>
      <c r="J110" s="15" t="n">
        <f aca="false">dummy_variables!$H$109</f>
        <v>0</v>
      </c>
      <c r="K110" s="15" t="n">
        <f aca="false">dummy_variables!$I$109</f>
        <v>1</v>
      </c>
    </row>
    <row r="111" customFormat="false" ht="15" hidden="false" customHeight="true" outlineLevel="0" collapsed="false">
      <c r="A111" s="15" t="n">
        <f aca="false">cleaned_data!$M$110</f>
        <v>783797.89</v>
      </c>
      <c r="B111" s="15" t="n">
        <f aca="false">cleaned_data!$F$110</f>
        <v>8739</v>
      </c>
      <c r="C111" s="15" t="n">
        <f aca="false">cleaned_data!$E$110</f>
        <v>74679.35</v>
      </c>
      <c r="D111" s="15" t="n">
        <f aca="false">cleaned_data!$I$110</f>
        <v>91.8</v>
      </c>
      <c r="E111" s="15" t="n">
        <f aca="false">cleaned_data!$H$110</f>
        <v>21</v>
      </c>
      <c r="F111" s="15" t="n">
        <f aca="false">dummy_variables!$D$110</f>
        <v>0</v>
      </c>
      <c r="G111" s="15" t="n">
        <f aca="false">dummy_variables!$E$110</f>
        <v>0</v>
      </c>
      <c r="H111" s="15" t="n">
        <f aca="false">dummy_variables!$F$110</f>
        <v>0</v>
      </c>
      <c r="I111" s="15" t="n">
        <f aca="false">dummy_variables!$G$110</f>
        <v>0</v>
      </c>
      <c r="J111" s="15" t="n">
        <f aca="false">dummy_variables!$H$110</f>
        <v>0</v>
      </c>
      <c r="K111" s="15" t="n">
        <f aca="false">dummy_variables!$I$110</f>
        <v>1</v>
      </c>
    </row>
    <row r="112" customFormat="false" ht="15" hidden="false" customHeight="true" outlineLevel="0" collapsed="false">
      <c r="A112" s="15" t="n">
        <f aca="false">cleaned_data!$M$111</f>
        <v>795153.84</v>
      </c>
      <c r="B112" s="15" t="n">
        <f aca="false">cleaned_data!$F$111</f>
        <v>6992</v>
      </c>
      <c r="C112" s="15" t="n">
        <f aca="false">cleaned_data!$E$111</f>
        <v>64294.23</v>
      </c>
      <c r="D112" s="15" t="n">
        <f aca="false">cleaned_data!$I$111</f>
        <v>94.1</v>
      </c>
      <c r="E112" s="15" t="n">
        <f aca="false">cleaned_data!$H$111</f>
        <v>14</v>
      </c>
      <c r="F112" s="15" t="n">
        <f aca="false">dummy_variables!$D$111</f>
        <v>0</v>
      </c>
      <c r="G112" s="15" t="n">
        <f aca="false">dummy_variables!$E$111</f>
        <v>0</v>
      </c>
      <c r="H112" s="15" t="n">
        <f aca="false">dummy_variables!$F$111</f>
        <v>0</v>
      </c>
      <c r="I112" s="15" t="n">
        <f aca="false">dummy_variables!$G$111</f>
        <v>0</v>
      </c>
      <c r="J112" s="15" t="n">
        <f aca="false">dummy_variables!$H$111</f>
        <v>0</v>
      </c>
      <c r="K112" s="15" t="n">
        <f aca="false">dummy_variables!$I$111</f>
        <v>1</v>
      </c>
    </row>
    <row r="113" customFormat="false" ht="15" hidden="false" customHeight="true" outlineLevel="0" collapsed="false">
      <c r="A113" s="15" t="n">
        <f aca="false">cleaned_data!$M$112</f>
        <v>665594.94</v>
      </c>
      <c r="B113" s="15" t="n">
        <f aca="false">cleaned_data!$F$112</f>
        <v>7107</v>
      </c>
      <c r="C113" s="15" t="n">
        <f aca="false">cleaned_data!$E$112</f>
        <v>31042.03</v>
      </c>
      <c r="D113" s="15" t="n">
        <f aca="false">cleaned_data!$I$112</f>
        <v>87</v>
      </c>
      <c r="E113" s="15" t="n">
        <f aca="false">cleaned_data!$H$112</f>
        <v>15</v>
      </c>
      <c r="F113" s="15" t="n">
        <f aca="false">dummy_variables!$D$112</f>
        <v>0</v>
      </c>
      <c r="G113" s="15" t="n">
        <f aca="false">dummy_variables!$E$112</f>
        <v>0</v>
      </c>
      <c r="H113" s="15" t="n">
        <f aca="false">dummy_variables!$F$112</f>
        <v>0</v>
      </c>
      <c r="I113" s="15" t="n">
        <f aca="false">dummy_variables!$G$112</f>
        <v>0</v>
      </c>
      <c r="J113" s="15" t="n">
        <f aca="false">dummy_variables!$H$112</f>
        <v>0</v>
      </c>
      <c r="K113" s="15" t="n">
        <f aca="false">dummy_variables!$I$112</f>
        <v>1</v>
      </c>
    </row>
    <row r="114" customFormat="false" ht="15" hidden="false" customHeight="true" outlineLevel="0" collapsed="false">
      <c r="A114" s="15" t="n">
        <f aca="false">cleaned_data!$M$113</f>
        <v>709478.39</v>
      </c>
      <c r="B114" s="15" t="n">
        <f aca="false">cleaned_data!$F$113</f>
        <v>6975</v>
      </c>
      <c r="C114" s="15" t="n">
        <f aca="false">cleaned_data!$E$113</f>
        <v>75265.02</v>
      </c>
      <c r="D114" s="15" t="n">
        <f aca="false">cleaned_data!$I$113</f>
        <v>73.8</v>
      </c>
      <c r="E114" s="15" t="n">
        <f aca="false">cleaned_data!$H$113</f>
        <v>20</v>
      </c>
      <c r="F114" s="15" t="n">
        <f aca="false">dummy_variables!$D$113</f>
        <v>0</v>
      </c>
      <c r="G114" s="15" t="n">
        <f aca="false">dummy_variables!$E$113</f>
        <v>1</v>
      </c>
      <c r="H114" s="15" t="n">
        <f aca="false">dummy_variables!$F$113</f>
        <v>0</v>
      </c>
      <c r="I114" s="15" t="n">
        <f aca="false">dummy_variables!$G$113</f>
        <v>0</v>
      </c>
      <c r="J114" s="15" t="n">
        <f aca="false">dummy_variables!$H$113</f>
        <v>0</v>
      </c>
      <c r="K114" s="15" t="n">
        <f aca="false">dummy_variables!$I$113</f>
        <v>0</v>
      </c>
    </row>
    <row r="115" customFormat="false" ht="15" hidden="false" customHeight="true" outlineLevel="0" collapsed="false">
      <c r="A115" s="15" t="n">
        <f aca="false">cleaned_data!$M$114</f>
        <v>664162.49</v>
      </c>
      <c r="B115" s="15" t="n">
        <f aca="false">cleaned_data!$F$114</f>
        <v>5493</v>
      </c>
      <c r="C115" s="15" t="n">
        <f aca="false">cleaned_data!$E$114</f>
        <v>69411.7</v>
      </c>
      <c r="D115" s="15" t="n">
        <f aca="false">cleaned_data!$I$114</f>
        <v>86.5</v>
      </c>
      <c r="E115" s="15" t="n">
        <f aca="false">cleaned_data!$H$114</f>
        <v>13</v>
      </c>
      <c r="F115" s="15" t="n">
        <f aca="false">dummy_variables!$D$114</f>
        <v>0</v>
      </c>
      <c r="G115" s="15" t="n">
        <f aca="false">dummy_variables!$E$114</f>
        <v>1</v>
      </c>
      <c r="H115" s="15" t="n">
        <f aca="false">dummy_variables!$F$114</f>
        <v>0</v>
      </c>
      <c r="I115" s="15" t="n">
        <f aca="false">dummy_variables!$G$114</f>
        <v>0</v>
      </c>
      <c r="J115" s="15" t="n">
        <f aca="false">dummy_variables!$H$114</f>
        <v>0</v>
      </c>
      <c r="K115" s="15" t="n">
        <f aca="false">dummy_variables!$I$114</f>
        <v>0</v>
      </c>
    </row>
    <row r="116" customFormat="false" ht="15" hidden="false" customHeight="true" outlineLevel="0" collapsed="false">
      <c r="A116" s="15" t="n">
        <f aca="false">cleaned_data!$M$115</f>
        <v>633494.21</v>
      </c>
      <c r="B116" s="15" t="n">
        <f aca="false">cleaned_data!$F$115</f>
        <v>5686</v>
      </c>
      <c r="C116" s="15" t="n">
        <f aca="false">cleaned_data!$E$115</f>
        <v>51056.15</v>
      </c>
      <c r="D116" s="15" t="n">
        <f aca="false">cleaned_data!$I$115</f>
        <v>89.9</v>
      </c>
      <c r="E116" s="15" t="n">
        <f aca="false">cleaned_data!$H$115</f>
        <v>13</v>
      </c>
      <c r="F116" s="15" t="n">
        <f aca="false">dummy_variables!$D$115</f>
        <v>0</v>
      </c>
      <c r="G116" s="15" t="n">
        <f aca="false">dummy_variables!$E$115</f>
        <v>1</v>
      </c>
      <c r="H116" s="15" t="n">
        <f aca="false">dummy_variables!$F$115</f>
        <v>0</v>
      </c>
      <c r="I116" s="15" t="n">
        <f aca="false">dummy_variables!$G$115</f>
        <v>0</v>
      </c>
      <c r="J116" s="15" t="n">
        <f aca="false">dummy_variables!$H$115</f>
        <v>0</v>
      </c>
      <c r="K116" s="15" t="n">
        <f aca="false">dummy_variables!$I$115</f>
        <v>0</v>
      </c>
    </row>
    <row r="117" customFormat="false" ht="15" hidden="false" customHeight="true" outlineLevel="0" collapsed="false">
      <c r="A117" s="15" t="n">
        <f aca="false">cleaned_data!$M$116</f>
        <v>713611.16</v>
      </c>
      <c r="B117" s="15" t="n">
        <f aca="false">cleaned_data!$F$116</f>
        <v>4063</v>
      </c>
      <c r="C117" s="15" t="n">
        <f aca="false">cleaned_data!$E$116</f>
        <v>52758.01</v>
      </c>
      <c r="D117" s="15" t="n">
        <f aca="false">cleaned_data!$I$116</f>
        <v>91.7</v>
      </c>
      <c r="E117" s="15" t="n">
        <f aca="false">cleaned_data!$H$116</f>
        <v>12</v>
      </c>
      <c r="F117" s="15" t="n">
        <f aca="false">dummy_variables!$D$116</f>
        <v>0</v>
      </c>
      <c r="G117" s="15" t="n">
        <f aca="false">dummy_variables!$E$116</f>
        <v>1</v>
      </c>
      <c r="H117" s="15" t="n">
        <f aca="false">dummy_variables!$F$116</f>
        <v>0</v>
      </c>
      <c r="I117" s="15" t="n">
        <f aca="false">dummy_variables!$G$116</f>
        <v>0</v>
      </c>
      <c r="J117" s="15" t="n">
        <f aca="false">dummy_variables!$H$116</f>
        <v>0</v>
      </c>
      <c r="K117" s="15" t="n">
        <f aca="false">dummy_variables!$I$116</f>
        <v>0</v>
      </c>
    </row>
    <row r="118" customFormat="false" ht="15" hidden="false" customHeight="true" outlineLevel="0" collapsed="false">
      <c r="A118" s="15" t="n">
        <f aca="false">cleaned_data!$M$117</f>
        <v>778397.97</v>
      </c>
      <c r="B118" s="15" t="n">
        <f aca="false">cleaned_data!$F$117</f>
        <v>8966</v>
      </c>
      <c r="C118" s="15" t="n">
        <f aca="false">cleaned_data!$E$117</f>
        <v>61426.04</v>
      </c>
      <c r="D118" s="15" t="n">
        <f aca="false">cleaned_data!$I$117</f>
        <v>76.4</v>
      </c>
      <c r="E118" s="15" t="n">
        <f aca="false">cleaned_data!$H$117</f>
        <v>22</v>
      </c>
      <c r="F118" s="15" t="n">
        <f aca="false">dummy_variables!$D$117</f>
        <v>0</v>
      </c>
      <c r="G118" s="15" t="n">
        <f aca="false">dummy_variables!$E$117</f>
        <v>1</v>
      </c>
      <c r="H118" s="15" t="n">
        <f aca="false">dummy_variables!$F$117</f>
        <v>0</v>
      </c>
      <c r="I118" s="15" t="n">
        <f aca="false">dummy_variables!$G$117</f>
        <v>0</v>
      </c>
      <c r="J118" s="15" t="n">
        <f aca="false">dummy_variables!$H$117</f>
        <v>0</v>
      </c>
      <c r="K118" s="15" t="n">
        <f aca="false">dummy_variables!$I$117</f>
        <v>1</v>
      </c>
    </row>
    <row r="119" customFormat="false" ht="15" hidden="false" customHeight="true" outlineLevel="0" collapsed="false">
      <c r="A119" s="15" t="n">
        <f aca="false">cleaned_data!$M$118</f>
        <v>873380.02</v>
      </c>
      <c r="B119" s="15" t="n">
        <f aca="false">cleaned_data!$F$118</f>
        <v>9489</v>
      </c>
      <c r="C119" s="15" t="n">
        <f aca="false">cleaned_data!$E$118</f>
        <v>80176.34</v>
      </c>
      <c r="D119" s="15" t="n">
        <f aca="false">cleaned_data!$I$118</f>
        <v>94.3</v>
      </c>
      <c r="E119" s="15" t="n">
        <f aca="false">cleaned_data!$H$118</f>
        <v>22</v>
      </c>
      <c r="F119" s="15" t="n">
        <f aca="false">dummy_variables!$D$118</f>
        <v>0</v>
      </c>
      <c r="G119" s="15" t="n">
        <f aca="false">dummy_variables!$E$118</f>
        <v>1</v>
      </c>
      <c r="H119" s="15" t="n">
        <f aca="false">dummy_variables!$F$118</f>
        <v>0</v>
      </c>
      <c r="I119" s="15" t="n">
        <f aca="false">dummy_variables!$G$118</f>
        <v>0</v>
      </c>
      <c r="J119" s="15" t="n">
        <f aca="false">dummy_variables!$H$118</f>
        <v>0</v>
      </c>
      <c r="K119" s="15" t="n">
        <f aca="false">dummy_variables!$I$118</f>
        <v>1</v>
      </c>
    </row>
    <row r="120" customFormat="false" ht="15" hidden="false" customHeight="true" outlineLevel="0" collapsed="false">
      <c r="A120" s="15" t="n">
        <f aca="false">cleaned_data!$M$119</f>
        <v>697287.9</v>
      </c>
      <c r="B120" s="15" t="n">
        <f aca="false">cleaned_data!$F$119</f>
        <v>9225</v>
      </c>
      <c r="C120" s="15" t="n">
        <f aca="false">cleaned_data!$E$119</f>
        <v>33605.18</v>
      </c>
      <c r="D120" s="15" t="n">
        <f aca="false">cleaned_data!$I$119</f>
        <v>88.4</v>
      </c>
      <c r="E120" s="15" t="n">
        <f aca="false">cleaned_data!$H$119</f>
        <v>23</v>
      </c>
      <c r="F120" s="15" t="n">
        <f aca="false">dummy_variables!$D$119</f>
        <v>0</v>
      </c>
      <c r="G120" s="15" t="n">
        <f aca="false">dummy_variables!$E$119</f>
        <v>1</v>
      </c>
      <c r="H120" s="15" t="n">
        <f aca="false">dummy_variables!$F$119</f>
        <v>0</v>
      </c>
      <c r="I120" s="15" t="n">
        <f aca="false">dummy_variables!$G$119</f>
        <v>0</v>
      </c>
      <c r="J120" s="15" t="n">
        <f aca="false">dummy_variables!$H$119</f>
        <v>0</v>
      </c>
      <c r="K120" s="15" t="n">
        <f aca="false">dummy_variables!$I$119</f>
        <v>1</v>
      </c>
    </row>
    <row r="121" customFormat="false" ht="15" hidden="false" customHeight="true" outlineLevel="0" collapsed="false">
      <c r="A121" s="15" t="n">
        <f aca="false">cleaned_data!$M$120</f>
        <v>718074.79</v>
      </c>
      <c r="B121" s="15" t="n">
        <f aca="false">cleaned_data!$F$120</f>
        <v>9249</v>
      </c>
      <c r="C121" s="15" t="n">
        <f aca="false">cleaned_data!$E$120</f>
        <v>25990.54</v>
      </c>
      <c r="D121" s="15" t="n">
        <f aca="false">cleaned_data!$I$120</f>
        <v>92.5</v>
      </c>
      <c r="E121" s="15" t="n">
        <f aca="false">cleaned_data!$H$120</f>
        <v>23</v>
      </c>
      <c r="F121" s="15" t="n">
        <f aca="false">dummy_variables!$D$120</f>
        <v>0</v>
      </c>
      <c r="G121" s="15" t="n">
        <f aca="false">dummy_variables!$E$120</f>
        <v>1</v>
      </c>
      <c r="H121" s="15" t="n">
        <f aca="false">dummy_variables!$F$120</f>
        <v>0</v>
      </c>
      <c r="I121" s="15" t="n">
        <f aca="false">dummy_variables!$G$120</f>
        <v>0</v>
      </c>
      <c r="J121" s="15" t="n">
        <f aca="false">dummy_variables!$H$120</f>
        <v>0</v>
      </c>
      <c r="K121" s="15" t="n">
        <f aca="false">dummy_variables!$I$120</f>
        <v>1</v>
      </c>
    </row>
    <row r="122" customFormat="false" ht="15" hidden="false" customHeight="true" outlineLevel="0" collapsed="false">
      <c r="A122" s="15" t="n">
        <f aca="false">cleaned_data!$M$121</f>
        <v>714942.43</v>
      </c>
      <c r="B122" s="15" t="n">
        <f aca="false">cleaned_data!$F$121</f>
        <v>7821</v>
      </c>
      <c r="C122" s="15" t="n">
        <f aca="false">cleaned_data!$E$121</f>
        <v>43685.14</v>
      </c>
      <c r="D122" s="15" t="n">
        <f aca="false">cleaned_data!$I$121</f>
        <v>91</v>
      </c>
      <c r="E122" s="15" t="n">
        <f aca="false">cleaned_data!$H$121</f>
        <v>17</v>
      </c>
      <c r="F122" s="15" t="n">
        <f aca="false">dummy_variables!$D$121</f>
        <v>0</v>
      </c>
      <c r="G122" s="15" t="n">
        <f aca="false">dummy_variables!$E$121</f>
        <v>0</v>
      </c>
      <c r="H122" s="15" t="n">
        <f aca="false">dummy_variables!$F$121</f>
        <v>1</v>
      </c>
      <c r="I122" s="15" t="n">
        <f aca="false">dummy_variables!$G$121</f>
        <v>0</v>
      </c>
      <c r="J122" s="15" t="n">
        <f aca="false">dummy_variables!$H$121</f>
        <v>0</v>
      </c>
      <c r="K122" s="15" t="n">
        <f aca="false">dummy_variables!$I$121</f>
        <v>1</v>
      </c>
    </row>
    <row r="123" customFormat="false" ht="15" hidden="false" customHeight="true" outlineLevel="0" collapsed="false">
      <c r="A123" s="15" t="n">
        <f aca="false">cleaned_data!$M$122</f>
        <v>820519.04</v>
      </c>
      <c r="B123" s="15" t="n">
        <f aca="false">cleaned_data!$F$122</f>
        <v>8434</v>
      </c>
      <c r="C123" s="15" t="n">
        <f aca="false">cleaned_data!$E$122</f>
        <v>57360.01</v>
      </c>
      <c r="D123" s="15" t="n">
        <f aca="false">cleaned_data!$I$122</f>
        <v>84.1</v>
      </c>
      <c r="E123" s="15" t="n">
        <f aca="false">cleaned_data!$H$122</f>
        <v>19</v>
      </c>
      <c r="F123" s="15" t="n">
        <f aca="false">dummy_variables!$D$122</f>
        <v>0</v>
      </c>
      <c r="G123" s="15" t="n">
        <f aca="false">dummy_variables!$E$122</f>
        <v>0</v>
      </c>
      <c r="H123" s="15" t="n">
        <f aca="false">dummy_variables!$F$122</f>
        <v>1</v>
      </c>
      <c r="I123" s="15" t="n">
        <f aca="false">dummy_variables!$G$122</f>
        <v>0</v>
      </c>
      <c r="J123" s="15" t="n">
        <f aca="false">dummy_variables!$H$122</f>
        <v>0</v>
      </c>
      <c r="K123" s="15" t="n">
        <f aca="false">dummy_variables!$I$122</f>
        <v>1</v>
      </c>
    </row>
    <row r="124" customFormat="false" ht="15" hidden="false" customHeight="true" outlineLevel="0" collapsed="false">
      <c r="A124" s="15" t="n">
        <f aca="false">cleaned_data!$M$123</f>
        <v>684217.32</v>
      </c>
      <c r="B124" s="15" t="n">
        <f aca="false">cleaned_data!$F$123</f>
        <v>8512</v>
      </c>
      <c r="C124" s="15" t="n">
        <f aca="false">cleaned_data!$E$123</f>
        <v>42415.47</v>
      </c>
      <c r="D124" s="15" t="n">
        <f aca="false">cleaned_data!$I$123</f>
        <v>96.8</v>
      </c>
      <c r="E124" s="15" t="n">
        <f aca="false">cleaned_data!$H$123</f>
        <v>18</v>
      </c>
      <c r="F124" s="15" t="n">
        <f aca="false">dummy_variables!$D$123</f>
        <v>0</v>
      </c>
      <c r="G124" s="15" t="n">
        <f aca="false">dummy_variables!$E$123</f>
        <v>0</v>
      </c>
      <c r="H124" s="15" t="n">
        <f aca="false">dummy_variables!$F$123</f>
        <v>1</v>
      </c>
      <c r="I124" s="15" t="n">
        <f aca="false">dummy_variables!$G$123</f>
        <v>0</v>
      </c>
      <c r="J124" s="15" t="n">
        <f aca="false">dummy_variables!$H$123</f>
        <v>0</v>
      </c>
      <c r="K124" s="15" t="n">
        <f aca="false">dummy_variables!$I$123</f>
        <v>1</v>
      </c>
    </row>
    <row r="125" customFormat="false" ht="15" hidden="false" customHeight="true" outlineLevel="0" collapsed="false">
      <c r="A125" s="15" t="n">
        <f aca="false">cleaned_data!$M$124</f>
        <v>735480.19</v>
      </c>
      <c r="B125" s="15" t="n">
        <f aca="false">cleaned_data!$F$124</f>
        <v>7816</v>
      </c>
      <c r="C125" s="15" t="n">
        <f aca="false">cleaned_data!$E$124</f>
        <v>54968.98</v>
      </c>
      <c r="D125" s="15" t="n">
        <f aca="false">cleaned_data!$I$124</f>
        <v>95.7</v>
      </c>
      <c r="E125" s="15" t="n">
        <f aca="false">cleaned_data!$H$124</f>
        <v>19</v>
      </c>
      <c r="F125" s="15" t="n">
        <f aca="false">dummy_variables!$D$124</f>
        <v>0</v>
      </c>
      <c r="G125" s="15" t="n">
        <f aca="false">dummy_variables!$E$124</f>
        <v>0</v>
      </c>
      <c r="H125" s="15" t="n">
        <f aca="false">dummy_variables!$F$124</f>
        <v>1</v>
      </c>
      <c r="I125" s="15" t="n">
        <f aca="false">dummy_variables!$G$124</f>
        <v>0</v>
      </c>
      <c r="J125" s="15" t="n">
        <f aca="false">dummy_variables!$H$124</f>
        <v>0</v>
      </c>
      <c r="K125" s="15" t="n">
        <f aca="false">dummy_variables!$I$124</f>
        <v>1</v>
      </c>
    </row>
    <row r="126" customFormat="false" ht="15" hidden="false" customHeight="true" outlineLevel="0" collapsed="false">
      <c r="A126" s="15" t="n">
        <f aca="false">cleaned_data!$M$125</f>
        <v>509484.81</v>
      </c>
      <c r="B126" s="15" t="n">
        <f aca="false">cleaned_data!$F$125</f>
        <v>3853</v>
      </c>
      <c r="C126" s="15" t="n">
        <f aca="false">cleaned_data!$E$125</f>
        <v>43896.13</v>
      </c>
      <c r="D126" s="15" t="n">
        <f aca="false">cleaned_data!$I$125</f>
        <v>83</v>
      </c>
      <c r="E126" s="15" t="n">
        <f aca="false">cleaned_data!$H$125</f>
        <v>13</v>
      </c>
      <c r="F126" s="15" t="n">
        <f aca="false">dummy_variables!$D$125</f>
        <v>0</v>
      </c>
      <c r="G126" s="15" t="n">
        <f aca="false">dummy_variables!$E$125</f>
        <v>0</v>
      </c>
      <c r="H126" s="15" t="n">
        <f aca="false">dummy_variables!$F$125</f>
        <v>0</v>
      </c>
      <c r="I126" s="15" t="n">
        <f aca="false">dummy_variables!$G$125</f>
        <v>1</v>
      </c>
      <c r="J126" s="15" t="n">
        <f aca="false">dummy_variables!$H$125</f>
        <v>0</v>
      </c>
      <c r="K126" s="15" t="n">
        <f aca="false">dummy_variables!$I$125</f>
        <v>0</v>
      </c>
    </row>
    <row r="127" customFormat="false" ht="15" hidden="false" customHeight="true" outlineLevel="0" collapsed="false">
      <c r="A127" s="15" t="n">
        <f aca="false">cleaned_data!$M$126</f>
        <v>654317.09</v>
      </c>
      <c r="B127" s="15" t="n">
        <f aca="false">cleaned_data!$F$126</f>
        <v>3694</v>
      </c>
      <c r="C127" s="15" t="n">
        <f aca="false">cleaned_data!$E$126</f>
        <v>83044.17</v>
      </c>
      <c r="D127" s="15" t="n">
        <f aca="false">cleaned_data!$I$126</f>
        <v>89.4</v>
      </c>
      <c r="E127" s="15" t="n">
        <f aca="false">cleaned_data!$H$126</f>
        <v>14</v>
      </c>
      <c r="F127" s="15" t="n">
        <f aca="false">dummy_variables!$D$126</f>
        <v>0</v>
      </c>
      <c r="G127" s="15" t="n">
        <f aca="false">dummy_variables!$E$126</f>
        <v>0</v>
      </c>
      <c r="H127" s="15" t="n">
        <f aca="false">dummy_variables!$F$126</f>
        <v>0</v>
      </c>
      <c r="I127" s="15" t="n">
        <f aca="false">dummy_variables!$G$126</f>
        <v>1</v>
      </c>
      <c r="J127" s="15" t="n">
        <f aca="false">dummy_variables!$H$126</f>
        <v>0</v>
      </c>
      <c r="K127" s="15" t="n">
        <f aca="false">dummy_variables!$I$126</f>
        <v>0</v>
      </c>
    </row>
    <row r="128" customFormat="false" ht="15" hidden="false" customHeight="true" outlineLevel="0" collapsed="false">
      <c r="A128" s="15" t="n">
        <f aca="false">cleaned_data!$M$127</f>
        <v>557487.26</v>
      </c>
      <c r="B128" s="15" t="n">
        <f aca="false">cleaned_data!$F$127</f>
        <v>4423</v>
      </c>
      <c r="C128" s="15" t="n">
        <f aca="false">cleaned_data!$E$127</f>
        <v>48396.13</v>
      </c>
      <c r="D128" s="15" t="n">
        <f aca="false">cleaned_data!$I$127</f>
        <v>85.7</v>
      </c>
      <c r="E128" s="15" t="n">
        <f aca="false">cleaned_data!$H$127</f>
        <v>15</v>
      </c>
      <c r="F128" s="15" t="n">
        <f aca="false">dummy_variables!$D$127</f>
        <v>0</v>
      </c>
      <c r="G128" s="15" t="n">
        <f aca="false">dummy_variables!$E$127</f>
        <v>0</v>
      </c>
      <c r="H128" s="15" t="n">
        <f aca="false">dummy_variables!$F$127</f>
        <v>0</v>
      </c>
      <c r="I128" s="15" t="n">
        <f aca="false">dummy_variables!$G$127</f>
        <v>1</v>
      </c>
      <c r="J128" s="15" t="n">
        <f aca="false">dummy_variables!$H$127</f>
        <v>0</v>
      </c>
      <c r="K128" s="15" t="n">
        <f aca="false">dummy_variables!$I$127</f>
        <v>0</v>
      </c>
    </row>
    <row r="129" customFormat="false" ht="15" hidden="false" customHeight="true" outlineLevel="0" collapsed="false">
      <c r="A129" s="15" t="n">
        <f aca="false">cleaned_data!$M$128</f>
        <v>441275.42</v>
      </c>
      <c r="B129" s="15" t="n">
        <f aca="false">cleaned_data!$F$128</f>
        <v>1906</v>
      </c>
      <c r="C129" s="15" t="n">
        <f aca="false">cleaned_data!$E$128</f>
        <v>19063.48</v>
      </c>
      <c r="D129" s="15" t="n">
        <f aca="false">cleaned_data!$I$128</f>
        <v>97.8</v>
      </c>
      <c r="E129" s="15" t="n">
        <f aca="false">cleaned_data!$H$128</f>
        <v>10</v>
      </c>
      <c r="F129" s="15" t="n">
        <f aca="false">dummy_variables!$D$128</f>
        <v>0</v>
      </c>
      <c r="G129" s="15" t="n">
        <f aca="false">dummy_variables!$E$128</f>
        <v>0</v>
      </c>
      <c r="H129" s="15" t="n">
        <f aca="false">dummy_variables!$F$128</f>
        <v>0</v>
      </c>
      <c r="I129" s="15" t="n">
        <f aca="false">dummy_variables!$G$128</f>
        <v>1</v>
      </c>
      <c r="J129" s="15" t="n">
        <f aca="false">dummy_variables!$H$128</f>
        <v>0</v>
      </c>
      <c r="K129" s="15" t="n">
        <f aca="false">dummy_variables!$I$128</f>
        <v>0</v>
      </c>
    </row>
    <row r="130" customFormat="false" ht="15" hidden="false" customHeight="true" outlineLevel="0" collapsed="false">
      <c r="A130" s="15" t="n">
        <f aca="false">cleaned_data!$M$129</f>
        <v>914544.17</v>
      </c>
      <c r="B130" s="15" t="n">
        <f aca="false">cleaned_data!$F$129</f>
        <v>10396</v>
      </c>
      <c r="C130" s="15" t="n">
        <f aca="false">cleaned_data!$E$129</f>
        <v>61541.21</v>
      </c>
      <c r="D130" s="15" t="n">
        <f aca="false">cleaned_data!$I$129</f>
        <v>88.1</v>
      </c>
      <c r="E130" s="15" t="n">
        <f aca="false">cleaned_data!$H$129</f>
        <v>25</v>
      </c>
      <c r="F130" s="15" t="n">
        <f aca="false">dummy_variables!$D$129</f>
        <v>0</v>
      </c>
      <c r="G130" s="15" t="n">
        <f aca="false">dummy_variables!$E$129</f>
        <v>0</v>
      </c>
      <c r="H130" s="15" t="n">
        <f aca="false">dummy_variables!$F$129</f>
        <v>0</v>
      </c>
      <c r="I130" s="15" t="n">
        <f aca="false">dummy_variables!$G$129</f>
        <v>0</v>
      </c>
      <c r="J130" s="15" t="n">
        <f aca="false">dummy_variables!$H$129</f>
        <v>1</v>
      </c>
      <c r="K130" s="15" t="n">
        <f aca="false">dummy_variables!$I$129</f>
        <v>0</v>
      </c>
    </row>
    <row r="131" customFormat="false" ht="15" hidden="false" customHeight="true" outlineLevel="0" collapsed="false">
      <c r="A131" s="15" t="n">
        <f aca="false">cleaned_data!$M$130</f>
        <v>842439.67</v>
      </c>
      <c r="B131" s="15" t="n">
        <f aca="false">cleaned_data!$F$130</f>
        <v>11076</v>
      </c>
      <c r="C131" s="15" t="n">
        <f aca="false">cleaned_data!$E$130</f>
        <v>44747</v>
      </c>
      <c r="D131" s="15" t="n">
        <f aca="false">cleaned_data!$I$130</f>
        <v>98.3</v>
      </c>
      <c r="E131" s="15" t="n">
        <f aca="false">cleaned_data!$H$130</f>
        <v>27</v>
      </c>
      <c r="F131" s="15" t="n">
        <f aca="false">dummy_variables!$D$130</f>
        <v>0</v>
      </c>
      <c r="G131" s="15" t="n">
        <f aca="false">dummy_variables!$E$130</f>
        <v>0</v>
      </c>
      <c r="H131" s="15" t="n">
        <f aca="false">dummy_variables!$F$130</f>
        <v>0</v>
      </c>
      <c r="I131" s="15" t="n">
        <f aca="false">dummy_variables!$G$130</f>
        <v>0</v>
      </c>
      <c r="J131" s="15" t="n">
        <f aca="false">dummy_variables!$H$130</f>
        <v>1</v>
      </c>
      <c r="K131" s="15" t="n">
        <f aca="false">dummy_variables!$I$130</f>
        <v>0</v>
      </c>
    </row>
    <row r="132" customFormat="false" ht="15" hidden="false" customHeight="true" outlineLevel="0" collapsed="false">
      <c r="A132" s="15" t="n">
        <f aca="false">cleaned_data!$M$131</f>
        <v>842157.92</v>
      </c>
      <c r="B132" s="15" t="n">
        <f aca="false">cleaned_data!$F$131</f>
        <v>9574</v>
      </c>
      <c r="C132" s="15" t="n">
        <f aca="false">cleaned_data!$E$131</f>
        <v>56517.9</v>
      </c>
      <c r="D132" s="15" t="n">
        <f aca="false">cleaned_data!$I$131</f>
        <v>88.2</v>
      </c>
      <c r="E132" s="15" t="n">
        <f aca="false">cleaned_data!$H$131</f>
        <v>20</v>
      </c>
      <c r="F132" s="15" t="n">
        <f aca="false">dummy_variables!$D$131</f>
        <v>0</v>
      </c>
      <c r="G132" s="15" t="n">
        <f aca="false">dummy_variables!$E$131</f>
        <v>0</v>
      </c>
      <c r="H132" s="15" t="n">
        <f aca="false">dummy_variables!$F$131</f>
        <v>0</v>
      </c>
      <c r="I132" s="15" t="n">
        <f aca="false">dummy_variables!$G$131</f>
        <v>0</v>
      </c>
      <c r="J132" s="15" t="n">
        <f aca="false">dummy_variables!$H$131</f>
        <v>1</v>
      </c>
      <c r="K132" s="15" t="n">
        <f aca="false">dummy_variables!$I$131</f>
        <v>0</v>
      </c>
    </row>
    <row r="133" customFormat="false" ht="15" hidden="false" customHeight="true" outlineLevel="0" collapsed="false">
      <c r="A133" s="15" t="n">
        <f aca="false">cleaned_data!$M$132</f>
        <v>697155.3</v>
      </c>
      <c r="B133" s="15" t="n">
        <f aca="false">cleaned_data!$F$132</f>
        <v>8221</v>
      </c>
      <c r="C133" s="15" t="n">
        <f aca="false">cleaned_data!$E$132</f>
        <v>37828.5</v>
      </c>
      <c r="D133" s="15" t="n">
        <f aca="false">cleaned_data!$I$132</f>
        <v>81.5</v>
      </c>
      <c r="E133" s="15" t="n">
        <f aca="false">cleaned_data!$H$132</f>
        <v>19</v>
      </c>
      <c r="F133" s="15" t="n">
        <f aca="false">dummy_variables!$D$132</f>
        <v>0</v>
      </c>
      <c r="G133" s="15" t="n">
        <f aca="false">dummy_variables!$E$132</f>
        <v>0</v>
      </c>
      <c r="H133" s="15" t="n">
        <f aca="false">dummy_variables!$F$132</f>
        <v>0</v>
      </c>
      <c r="I133" s="15" t="n">
        <f aca="false">dummy_variables!$G$132</f>
        <v>0</v>
      </c>
      <c r="J133" s="15" t="n">
        <f aca="false">dummy_variables!$H$132</f>
        <v>1</v>
      </c>
      <c r="K133" s="15" t="n">
        <f aca="false">dummy_variables!$I$132</f>
        <v>0</v>
      </c>
    </row>
    <row r="134" customFormat="false" ht="15" hidden="false" customHeight="true" outlineLevel="0" collapsed="false">
      <c r="A134" s="15" t="n">
        <f aca="false">cleaned_data!$M$133</f>
        <v>849018.3</v>
      </c>
      <c r="B134" s="15" t="n">
        <f aca="false">cleaned_data!$F$133</f>
        <v>10618</v>
      </c>
      <c r="C134" s="15" t="n">
        <f aca="false">cleaned_data!$E$133</f>
        <v>66250.53</v>
      </c>
      <c r="D134" s="15" t="n">
        <f aca="false">cleaned_data!$I$133</f>
        <v>88.3</v>
      </c>
      <c r="E134" s="15" t="n">
        <f aca="false">cleaned_data!$H$133</f>
        <v>27</v>
      </c>
      <c r="F134" s="15" t="n">
        <f aca="false">dummy_variables!$D$133</f>
        <v>0</v>
      </c>
      <c r="G134" s="15" t="n">
        <f aca="false">dummy_variables!$E$133</f>
        <v>0</v>
      </c>
      <c r="H134" s="15" t="n">
        <f aca="false">dummy_variables!$F$133</f>
        <v>0</v>
      </c>
      <c r="I134" s="15" t="n">
        <f aca="false">dummy_variables!$G$133</f>
        <v>0</v>
      </c>
      <c r="J134" s="15" t="n">
        <f aca="false">dummy_variables!$H$133</f>
        <v>0</v>
      </c>
      <c r="K134" s="15" t="n">
        <f aca="false">dummy_variables!$I$133</f>
        <v>0</v>
      </c>
    </row>
    <row r="135" customFormat="false" ht="15" hidden="false" customHeight="true" outlineLevel="0" collapsed="false">
      <c r="A135" s="15" t="n">
        <f aca="false">cleaned_data!$M$134</f>
        <v>801830.35</v>
      </c>
      <c r="B135" s="15" t="n">
        <f aca="false">cleaned_data!$F$134</f>
        <v>10596</v>
      </c>
      <c r="C135" s="15" t="n">
        <f aca="false">cleaned_data!$E$134</f>
        <v>68410.93</v>
      </c>
      <c r="D135" s="15" t="n">
        <f aca="false">cleaned_data!$I$134</f>
        <v>81.2</v>
      </c>
      <c r="E135" s="15" t="n">
        <f aca="false">cleaned_data!$H$134</f>
        <v>25</v>
      </c>
      <c r="F135" s="15" t="n">
        <f aca="false">dummy_variables!$D$134</f>
        <v>0</v>
      </c>
      <c r="G135" s="15" t="n">
        <f aca="false">dummy_variables!$E$134</f>
        <v>0</v>
      </c>
      <c r="H135" s="15" t="n">
        <f aca="false">dummy_variables!$F$134</f>
        <v>0</v>
      </c>
      <c r="I135" s="15" t="n">
        <f aca="false">dummy_variables!$G$134</f>
        <v>0</v>
      </c>
      <c r="J135" s="15" t="n">
        <f aca="false">dummy_variables!$H$134</f>
        <v>0</v>
      </c>
      <c r="K135" s="15" t="n">
        <f aca="false">dummy_variables!$I$134</f>
        <v>0</v>
      </c>
    </row>
    <row r="136" customFormat="false" ht="15" hidden="false" customHeight="true" outlineLevel="0" collapsed="false">
      <c r="A136" s="15" t="n">
        <f aca="false">cleaned_data!$M$135</f>
        <v>725235.28</v>
      </c>
      <c r="B136" s="15" t="n">
        <f aca="false">cleaned_data!$F$135</f>
        <v>9619</v>
      </c>
      <c r="C136" s="15" t="n">
        <f aca="false">cleaned_data!$E$135</f>
        <v>50735.63</v>
      </c>
      <c r="D136" s="15" t="n">
        <f aca="false">cleaned_data!$I$135</f>
        <v>93.8</v>
      </c>
      <c r="E136" s="15" t="n">
        <f aca="false">cleaned_data!$H$135</f>
        <v>19</v>
      </c>
      <c r="F136" s="15" t="n">
        <f aca="false">dummy_variables!$D$135</f>
        <v>0</v>
      </c>
      <c r="G136" s="15" t="n">
        <f aca="false">dummy_variables!$E$135</f>
        <v>0</v>
      </c>
      <c r="H136" s="15" t="n">
        <f aca="false">dummy_variables!$F$135</f>
        <v>0</v>
      </c>
      <c r="I136" s="15" t="n">
        <f aca="false">dummy_variables!$G$135</f>
        <v>0</v>
      </c>
      <c r="J136" s="15" t="n">
        <f aca="false">dummy_variables!$H$135</f>
        <v>0</v>
      </c>
      <c r="K136" s="15" t="n">
        <f aca="false">dummy_variables!$I$135</f>
        <v>0</v>
      </c>
    </row>
    <row r="137" customFormat="false" ht="15" hidden="false" customHeight="true" outlineLevel="0" collapsed="false">
      <c r="A137" s="15" t="n">
        <f aca="false">cleaned_data!$M$136</f>
        <v>811452.72</v>
      </c>
      <c r="B137" s="15" t="n">
        <f aca="false">cleaned_data!$F$136</f>
        <v>10836</v>
      </c>
      <c r="C137" s="15" t="n">
        <f aca="false">cleaned_data!$E$136</f>
        <v>66455.8</v>
      </c>
      <c r="D137" s="15" t="n">
        <f aca="false">cleaned_data!$I$136</f>
        <v>85</v>
      </c>
      <c r="E137" s="15" t="n">
        <f aca="false">cleaned_data!$H$136</f>
        <v>25</v>
      </c>
      <c r="F137" s="15" t="n">
        <f aca="false">dummy_variables!$D$136</f>
        <v>0</v>
      </c>
      <c r="G137" s="15" t="n">
        <f aca="false">dummy_variables!$E$136</f>
        <v>0</v>
      </c>
      <c r="H137" s="15" t="n">
        <f aca="false">dummy_variables!$F$136</f>
        <v>0</v>
      </c>
      <c r="I137" s="15" t="n">
        <f aca="false">dummy_variables!$G$136</f>
        <v>0</v>
      </c>
      <c r="J137" s="15" t="n">
        <f aca="false">dummy_variables!$H$136</f>
        <v>0</v>
      </c>
      <c r="K137" s="15" t="n">
        <f aca="false">dummy_variables!$I$136</f>
        <v>0</v>
      </c>
    </row>
    <row r="138" customFormat="false" ht="15" hidden="false" customHeight="true" outlineLevel="0" collapsed="false">
      <c r="A138" s="15" t="n">
        <f aca="false">cleaned_data!$M$137</f>
        <v>527300.13</v>
      </c>
      <c r="B138" s="15" t="n">
        <f aca="false">cleaned_data!$F$137</f>
        <v>3043</v>
      </c>
      <c r="C138" s="15" t="n">
        <f aca="false">cleaned_data!$E$137</f>
        <v>70276.28</v>
      </c>
      <c r="D138" s="15" t="n">
        <f aca="false">cleaned_data!$I$137</f>
        <v>87.9</v>
      </c>
      <c r="E138" s="15" t="n">
        <f aca="false">cleaned_data!$H$137</f>
        <v>9</v>
      </c>
      <c r="F138" s="15" t="n">
        <f aca="false">dummy_variables!$D$137</f>
        <v>0</v>
      </c>
      <c r="G138" s="15" t="n">
        <f aca="false">dummy_variables!$E$137</f>
        <v>0</v>
      </c>
      <c r="H138" s="15" t="n">
        <f aca="false">dummy_variables!$F$137</f>
        <v>0</v>
      </c>
      <c r="I138" s="15" t="n">
        <f aca="false">dummy_variables!$G$137</f>
        <v>1</v>
      </c>
      <c r="J138" s="15" t="n">
        <f aca="false">dummy_variables!$H$137</f>
        <v>0</v>
      </c>
      <c r="K138" s="15" t="n">
        <f aca="false">dummy_variables!$I$137</f>
        <v>0</v>
      </c>
    </row>
    <row r="139" customFormat="false" ht="15" hidden="false" customHeight="true" outlineLevel="0" collapsed="false">
      <c r="A139" s="15" t="n">
        <f aca="false">cleaned_data!$M$138</f>
        <v>400831.65</v>
      </c>
      <c r="B139" s="15" t="n">
        <f aca="false">cleaned_data!$F$138</f>
        <v>1814</v>
      </c>
      <c r="C139" s="15" t="n">
        <f aca="false">cleaned_data!$E$138</f>
        <v>22071.64</v>
      </c>
      <c r="D139" s="15" t="n">
        <f aca="false">cleaned_data!$I$138</f>
        <v>81.1</v>
      </c>
      <c r="E139" s="15" t="n">
        <f aca="false">cleaned_data!$H$138</f>
        <v>8</v>
      </c>
      <c r="F139" s="15" t="n">
        <f aca="false">dummy_variables!$D$138</f>
        <v>0</v>
      </c>
      <c r="G139" s="15" t="n">
        <f aca="false">dummy_variables!$E$138</f>
        <v>0</v>
      </c>
      <c r="H139" s="15" t="n">
        <f aca="false">dummy_variables!$F$138</f>
        <v>0</v>
      </c>
      <c r="I139" s="15" t="n">
        <f aca="false">dummy_variables!$G$138</f>
        <v>1</v>
      </c>
      <c r="J139" s="15" t="n">
        <f aca="false">dummy_variables!$H$138</f>
        <v>0</v>
      </c>
      <c r="K139" s="15" t="n">
        <f aca="false">dummy_variables!$I$138</f>
        <v>0</v>
      </c>
    </row>
    <row r="140" customFormat="false" ht="15" hidden="false" customHeight="true" outlineLevel="0" collapsed="false">
      <c r="A140" s="15" t="n">
        <f aca="false">cleaned_data!$M$139</f>
        <v>593247.25</v>
      </c>
      <c r="B140" s="15" t="n">
        <f aca="false">cleaned_data!$F$139</f>
        <v>3618</v>
      </c>
      <c r="C140" s="15" t="n">
        <f aca="false">cleaned_data!$E$139</f>
        <v>52285.45</v>
      </c>
      <c r="D140" s="15" t="n">
        <f aca="false">cleaned_data!$I$139</f>
        <v>95.6</v>
      </c>
      <c r="E140" s="15" t="n">
        <f aca="false">cleaned_data!$H$139</f>
        <v>11</v>
      </c>
      <c r="F140" s="15" t="n">
        <f aca="false">dummy_variables!$D$139</f>
        <v>0</v>
      </c>
      <c r="G140" s="15" t="n">
        <f aca="false">dummy_variables!$E$139</f>
        <v>0</v>
      </c>
      <c r="H140" s="15" t="n">
        <f aca="false">dummy_variables!$F$139</f>
        <v>0</v>
      </c>
      <c r="I140" s="15" t="n">
        <f aca="false">dummy_variables!$G$139</f>
        <v>1</v>
      </c>
      <c r="J140" s="15" t="n">
        <f aca="false">dummy_variables!$H$139</f>
        <v>0</v>
      </c>
      <c r="K140" s="15" t="n">
        <f aca="false">dummy_variables!$I$139</f>
        <v>0</v>
      </c>
    </row>
    <row r="141" customFormat="false" ht="15" hidden="false" customHeight="true" outlineLevel="0" collapsed="false">
      <c r="A141" s="15" t="n">
        <f aca="false">cleaned_data!$M$140</f>
        <v>529075.95</v>
      </c>
      <c r="B141" s="15" t="n">
        <f aca="false">cleaned_data!$F$140</f>
        <v>1963</v>
      </c>
      <c r="C141" s="15" t="n">
        <f aca="false">cleaned_data!$E$140</f>
        <v>70366.76</v>
      </c>
      <c r="D141" s="15" t="n">
        <f aca="false">cleaned_data!$I$140</f>
        <v>89.8</v>
      </c>
      <c r="E141" s="15" t="n">
        <f aca="false">cleaned_data!$H$140</f>
        <v>8</v>
      </c>
      <c r="F141" s="15" t="n">
        <f aca="false">dummy_variables!$D$140</f>
        <v>0</v>
      </c>
      <c r="G141" s="15" t="n">
        <f aca="false">dummy_variables!$E$140</f>
        <v>0</v>
      </c>
      <c r="H141" s="15" t="n">
        <f aca="false">dummy_variables!$F$140</f>
        <v>0</v>
      </c>
      <c r="I141" s="15" t="n">
        <f aca="false">dummy_variables!$G$140</f>
        <v>1</v>
      </c>
      <c r="J141" s="15" t="n">
        <f aca="false">dummy_variables!$H$140</f>
        <v>0</v>
      </c>
      <c r="K141" s="15" t="n">
        <f aca="false">dummy_variables!$I$140</f>
        <v>0</v>
      </c>
    </row>
    <row r="142" customFormat="false" ht="15" hidden="false" customHeight="true" outlineLevel="0" collapsed="false">
      <c r="A142" s="15" t="n">
        <f aca="false">cleaned_data!$M$141</f>
        <v>633638.03</v>
      </c>
      <c r="B142" s="15" t="n">
        <f aca="false">cleaned_data!$F$141</f>
        <v>7888</v>
      </c>
      <c r="C142" s="15" t="n">
        <f aca="false">cleaned_data!$E$141</f>
        <v>71320.66</v>
      </c>
      <c r="D142" s="15" t="n">
        <f aca="false">cleaned_data!$I$141</f>
        <v>78.1</v>
      </c>
      <c r="E142" s="15" t="n">
        <f aca="false">cleaned_data!$H$141</f>
        <v>20</v>
      </c>
      <c r="F142" s="15" t="n">
        <f aca="false">dummy_variables!$D$141</f>
        <v>0</v>
      </c>
      <c r="G142" s="15" t="n">
        <f aca="false">dummy_variables!$E$141</f>
        <v>0</v>
      </c>
      <c r="H142" s="15" t="n">
        <f aca="false">dummy_variables!$F$141</f>
        <v>1</v>
      </c>
      <c r="I142" s="15" t="n">
        <f aca="false">dummy_variables!$G$141</f>
        <v>0</v>
      </c>
      <c r="J142" s="15" t="n">
        <f aca="false">dummy_variables!$H$141</f>
        <v>1</v>
      </c>
      <c r="K142" s="15" t="n">
        <f aca="false">dummy_variables!$I$141</f>
        <v>0</v>
      </c>
    </row>
    <row r="143" customFormat="false" ht="15" hidden="false" customHeight="true" outlineLevel="0" collapsed="false">
      <c r="A143" s="15" t="n">
        <f aca="false">cleaned_data!$M$142</f>
        <v>743348.84</v>
      </c>
      <c r="B143" s="15" t="n">
        <f aca="false">cleaned_data!$F$142</f>
        <v>6244</v>
      </c>
      <c r="C143" s="15" t="n">
        <f aca="false">cleaned_data!$E$142</f>
        <v>75109.67</v>
      </c>
      <c r="D143" s="15" t="n">
        <f aca="false">cleaned_data!$I$142</f>
        <v>96.3</v>
      </c>
      <c r="E143" s="15" t="n">
        <f aca="false">cleaned_data!$H$142</f>
        <v>15</v>
      </c>
      <c r="F143" s="15" t="n">
        <f aca="false">dummy_variables!$D$142</f>
        <v>0</v>
      </c>
      <c r="G143" s="15" t="n">
        <f aca="false">dummy_variables!$E$142</f>
        <v>0</v>
      </c>
      <c r="H143" s="15" t="n">
        <f aca="false">dummy_variables!$F$142</f>
        <v>1</v>
      </c>
      <c r="I143" s="15" t="n">
        <f aca="false">dummy_variables!$G$142</f>
        <v>0</v>
      </c>
      <c r="J143" s="15" t="n">
        <f aca="false">dummy_variables!$H$142</f>
        <v>1</v>
      </c>
      <c r="K143" s="15" t="n">
        <f aca="false">dummy_variables!$I$142</f>
        <v>0</v>
      </c>
    </row>
    <row r="144" customFormat="false" ht="15" hidden="false" customHeight="true" outlineLevel="0" collapsed="false">
      <c r="A144" s="15" t="n">
        <f aca="false">cleaned_data!$M$143</f>
        <v>758827.64</v>
      </c>
      <c r="B144" s="15" t="n">
        <f aca="false">cleaned_data!$F$143</f>
        <v>6544</v>
      </c>
      <c r="C144" s="15" t="n">
        <f aca="false">cleaned_data!$E$143</f>
        <v>69779</v>
      </c>
      <c r="D144" s="15" t="n">
        <f aca="false">cleaned_data!$I$143</f>
        <v>90.2</v>
      </c>
      <c r="E144" s="15" t="n">
        <f aca="false">cleaned_data!$H$143</f>
        <v>18</v>
      </c>
      <c r="F144" s="15" t="n">
        <f aca="false">dummy_variables!$D$143</f>
        <v>0</v>
      </c>
      <c r="G144" s="15" t="n">
        <f aca="false">dummy_variables!$E$143</f>
        <v>0</v>
      </c>
      <c r="H144" s="15" t="n">
        <f aca="false">dummy_variables!$F$143</f>
        <v>1</v>
      </c>
      <c r="I144" s="15" t="n">
        <f aca="false">dummy_variables!$G$143</f>
        <v>0</v>
      </c>
      <c r="J144" s="15" t="n">
        <f aca="false">dummy_variables!$H$143</f>
        <v>1</v>
      </c>
      <c r="K144" s="15" t="n">
        <f aca="false">dummy_variables!$I$143</f>
        <v>0</v>
      </c>
    </row>
    <row r="145" customFormat="false" ht="15" hidden="false" customHeight="true" outlineLevel="0" collapsed="false">
      <c r="A145" s="15" t="n">
        <f aca="false">cleaned_data!$M$144</f>
        <v>646559.71</v>
      </c>
      <c r="B145" s="15" t="n">
        <f aca="false">cleaned_data!$F$144</f>
        <v>5465</v>
      </c>
      <c r="C145" s="15" t="n">
        <f aca="false">cleaned_data!$E$144</f>
        <v>44211.95</v>
      </c>
      <c r="D145" s="15" t="n">
        <f aca="false">cleaned_data!$I$144</f>
        <v>90</v>
      </c>
      <c r="E145" s="15" t="n">
        <f aca="false">cleaned_data!$H$144</f>
        <v>12</v>
      </c>
      <c r="F145" s="15" t="n">
        <f aca="false">dummy_variables!$D$144</f>
        <v>0</v>
      </c>
      <c r="G145" s="15" t="n">
        <f aca="false">dummy_variables!$E$144</f>
        <v>0</v>
      </c>
      <c r="H145" s="15" t="n">
        <f aca="false">dummy_variables!$F$144</f>
        <v>1</v>
      </c>
      <c r="I145" s="15" t="n">
        <f aca="false">dummy_variables!$G$144</f>
        <v>0</v>
      </c>
      <c r="J145" s="15" t="n">
        <f aca="false">dummy_variables!$H$144</f>
        <v>1</v>
      </c>
      <c r="K145" s="15" t="n">
        <f aca="false">dummy_variables!$I$144</f>
        <v>0</v>
      </c>
    </row>
    <row r="146" customFormat="false" ht="15" hidden="false" customHeight="true" outlineLevel="0" collapsed="false">
      <c r="A146" s="15" t="n">
        <f aca="false">cleaned_data!$M$145</f>
        <v>715890.53</v>
      </c>
      <c r="B146" s="15" t="n">
        <f aca="false">cleaned_data!$F$145</f>
        <v>6427</v>
      </c>
      <c r="C146" s="15" t="n">
        <f aca="false">cleaned_data!$E$145</f>
        <v>51430.31</v>
      </c>
      <c r="D146" s="15" t="n">
        <f aca="false">cleaned_data!$I$145</f>
        <v>88.8</v>
      </c>
      <c r="E146" s="15" t="n">
        <f aca="false">cleaned_data!$H$145</f>
        <v>14</v>
      </c>
      <c r="F146" s="15" t="n">
        <f aca="false">dummy_variables!$D$145</f>
        <v>0</v>
      </c>
      <c r="G146" s="15" t="n">
        <f aca="false">dummy_variables!$E$145</f>
        <v>0</v>
      </c>
      <c r="H146" s="15" t="n">
        <f aca="false">dummy_variables!$F$145</f>
        <v>0</v>
      </c>
      <c r="I146" s="15" t="n">
        <f aca="false">dummy_variables!$G$145</f>
        <v>0</v>
      </c>
      <c r="J146" s="15" t="n">
        <f aca="false">dummy_variables!$H$145</f>
        <v>0</v>
      </c>
      <c r="K146" s="15" t="n">
        <f aca="false">dummy_variables!$I$145</f>
        <v>1</v>
      </c>
    </row>
    <row r="147" customFormat="false" ht="15" hidden="false" customHeight="true" outlineLevel="0" collapsed="false">
      <c r="A147" s="15" t="n">
        <f aca="false">cleaned_data!$M$146</f>
        <v>715097.57</v>
      </c>
      <c r="B147" s="15" t="n">
        <f aca="false">cleaned_data!$F$146</f>
        <v>6704</v>
      </c>
      <c r="C147" s="15" t="n">
        <f aca="false">cleaned_data!$E$146</f>
        <v>45706.49</v>
      </c>
      <c r="D147" s="15" t="n">
        <f aca="false">cleaned_data!$I$146</f>
        <v>94.2</v>
      </c>
      <c r="E147" s="15" t="n">
        <f aca="false">cleaned_data!$H$146</f>
        <v>15</v>
      </c>
      <c r="F147" s="15" t="n">
        <f aca="false">dummy_variables!$D$146</f>
        <v>0</v>
      </c>
      <c r="G147" s="15" t="n">
        <f aca="false">dummy_variables!$E$146</f>
        <v>0</v>
      </c>
      <c r="H147" s="15" t="n">
        <f aca="false">dummy_variables!$F$146</f>
        <v>0</v>
      </c>
      <c r="I147" s="15" t="n">
        <f aca="false">dummy_variables!$G$146</f>
        <v>0</v>
      </c>
      <c r="J147" s="15" t="n">
        <f aca="false">dummy_variables!$H$146</f>
        <v>0</v>
      </c>
      <c r="K147" s="15" t="n">
        <f aca="false">dummy_variables!$I$146</f>
        <v>1</v>
      </c>
    </row>
    <row r="148" customFormat="false" ht="15" hidden="false" customHeight="true" outlineLevel="0" collapsed="false">
      <c r="A148" s="15" t="n">
        <f aca="false">cleaned_data!$M$147</f>
        <v>682639.28</v>
      </c>
      <c r="B148" s="15" t="n">
        <f aca="false">cleaned_data!$F$147</f>
        <v>5645</v>
      </c>
      <c r="C148" s="15" t="n">
        <f aca="false">cleaned_data!$E$147</f>
        <v>44034.6</v>
      </c>
      <c r="D148" s="15" t="n">
        <f aca="false">cleaned_data!$I$147</f>
        <v>88.5</v>
      </c>
      <c r="E148" s="15" t="n">
        <f aca="false">cleaned_data!$H$147</f>
        <v>18</v>
      </c>
      <c r="F148" s="15" t="n">
        <f aca="false">dummy_variables!$D$147</f>
        <v>0</v>
      </c>
      <c r="G148" s="15" t="n">
        <f aca="false">dummy_variables!$E$147</f>
        <v>0</v>
      </c>
      <c r="H148" s="15" t="n">
        <f aca="false">dummy_variables!$F$147</f>
        <v>0</v>
      </c>
      <c r="I148" s="15" t="n">
        <f aca="false">dummy_variables!$G$147</f>
        <v>0</v>
      </c>
      <c r="J148" s="15" t="n">
        <f aca="false">dummy_variables!$H$147</f>
        <v>0</v>
      </c>
      <c r="K148" s="15" t="n">
        <f aca="false">dummy_variables!$I$147</f>
        <v>1</v>
      </c>
    </row>
    <row r="149" customFormat="false" ht="15" hidden="false" customHeight="true" outlineLevel="0" collapsed="false">
      <c r="A149" s="15" t="n">
        <f aca="false">cleaned_data!$M$148</f>
        <v>695098.51</v>
      </c>
      <c r="B149" s="15" t="n">
        <f aca="false">cleaned_data!$F$148</f>
        <v>6089</v>
      </c>
      <c r="C149" s="15" t="n">
        <f aca="false">cleaned_data!$E$148</f>
        <v>50198.12</v>
      </c>
      <c r="D149" s="15" t="n">
        <f aca="false">cleaned_data!$I$148</f>
        <v>94</v>
      </c>
      <c r="E149" s="15" t="n">
        <f aca="false">cleaned_data!$H$148</f>
        <v>19</v>
      </c>
      <c r="F149" s="15" t="n">
        <f aca="false">dummy_variables!$D$148</f>
        <v>0</v>
      </c>
      <c r="G149" s="15" t="n">
        <f aca="false">dummy_variables!$E$148</f>
        <v>0</v>
      </c>
      <c r="H149" s="15" t="n">
        <f aca="false">dummy_variables!$F$148</f>
        <v>0</v>
      </c>
      <c r="I149" s="15" t="n">
        <f aca="false">dummy_variables!$G$148</f>
        <v>0</v>
      </c>
      <c r="J149" s="15" t="n">
        <f aca="false">dummy_variables!$H$148</f>
        <v>0</v>
      </c>
      <c r="K149" s="15" t="n">
        <f aca="false">dummy_variables!$I$148</f>
        <v>1</v>
      </c>
    </row>
    <row r="150" customFormat="false" ht="15" hidden="false" customHeight="true" outlineLevel="0" collapsed="false">
      <c r="A150" s="15" t="n">
        <f aca="false">cleaned_data!$M$149</f>
        <v>577732.57</v>
      </c>
      <c r="B150" s="15" t="n">
        <f aca="false">cleaned_data!$F$149</f>
        <v>4312</v>
      </c>
      <c r="C150" s="15" t="n">
        <f aca="false">cleaned_data!$E$149</f>
        <v>70488.2</v>
      </c>
      <c r="D150" s="15" t="n">
        <f aca="false">cleaned_data!$I$149</f>
        <v>90.2</v>
      </c>
      <c r="E150" s="15" t="n">
        <f aca="false">cleaned_data!$H$149</f>
        <v>12</v>
      </c>
      <c r="F150" s="15" t="n">
        <f aca="false">dummy_variables!$D$149</f>
        <v>0</v>
      </c>
      <c r="G150" s="15" t="n">
        <f aca="false">dummy_variables!$E$149</f>
        <v>0</v>
      </c>
      <c r="H150" s="15" t="n">
        <f aca="false">dummy_variables!$F$149</f>
        <v>1</v>
      </c>
      <c r="I150" s="15" t="n">
        <f aca="false">dummy_variables!$G$149</f>
        <v>1</v>
      </c>
      <c r="J150" s="15" t="n">
        <f aca="false">dummy_variables!$H$149</f>
        <v>0</v>
      </c>
      <c r="K150" s="15" t="n">
        <f aca="false">dummy_variables!$I$149</f>
        <v>0</v>
      </c>
    </row>
    <row r="151" customFormat="false" ht="15" hidden="false" customHeight="true" outlineLevel="0" collapsed="false">
      <c r="A151" s="15" t="n">
        <f aca="false">cleaned_data!$M$150</f>
        <v>537058.33</v>
      </c>
      <c r="B151" s="15" t="n">
        <f aca="false">cleaned_data!$F$150</f>
        <v>3152</v>
      </c>
      <c r="C151" s="15" t="n">
        <f aca="false">cleaned_data!$E$150</f>
        <v>50909.27</v>
      </c>
      <c r="D151" s="15" t="n">
        <f aca="false">cleaned_data!$I$150</f>
        <v>93.7</v>
      </c>
      <c r="E151" s="15" t="n">
        <f aca="false">cleaned_data!$H$150</f>
        <v>13</v>
      </c>
      <c r="F151" s="15" t="n">
        <f aca="false">dummy_variables!$D$150</f>
        <v>0</v>
      </c>
      <c r="G151" s="15" t="n">
        <f aca="false">dummy_variables!$E$150</f>
        <v>0</v>
      </c>
      <c r="H151" s="15" t="n">
        <f aca="false">dummy_variables!$F$150</f>
        <v>1</v>
      </c>
      <c r="I151" s="15" t="n">
        <f aca="false">dummy_variables!$G$150</f>
        <v>1</v>
      </c>
      <c r="J151" s="15" t="n">
        <f aca="false">dummy_variables!$H$150</f>
        <v>0</v>
      </c>
      <c r="K151" s="15" t="n">
        <f aca="false">dummy_variables!$I$150</f>
        <v>0</v>
      </c>
    </row>
    <row r="152" customFormat="false" ht="15" hidden="false" customHeight="true" outlineLevel="0" collapsed="false">
      <c r="A152" s="15" t="n">
        <f aca="false">cleaned_data!$M$151</f>
        <v>601568.87</v>
      </c>
      <c r="B152" s="15" t="n">
        <f aca="false">cleaned_data!$F$151</f>
        <v>4259</v>
      </c>
      <c r="C152" s="15" t="n">
        <f aca="false">cleaned_data!$E$151</f>
        <v>53351.7</v>
      </c>
      <c r="D152" s="15" t="n">
        <f aca="false">cleaned_data!$I$151</f>
        <v>93.7</v>
      </c>
      <c r="E152" s="15" t="n">
        <f aca="false">cleaned_data!$H$151</f>
        <v>15</v>
      </c>
      <c r="F152" s="15" t="n">
        <f aca="false">dummy_variables!$D$151</f>
        <v>0</v>
      </c>
      <c r="G152" s="15" t="n">
        <f aca="false">dummy_variables!$E$151</f>
        <v>0</v>
      </c>
      <c r="H152" s="15" t="n">
        <f aca="false">dummy_variables!$F$151</f>
        <v>1</v>
      </c>
      <c r="I152" s="15" t="n">
        <f aca="false">dummy_variables!$G$151</f>
        <v>1</v>
      </c>
      <c r="J152" s="15" t="n">
        <f aca="false">dummy_variables!$H$151</f>
        <v>0</v>
      </c>
      <c r="K152" s="15" t="n">
        <f aca="false">dummy_variables!$I$151</f>
        <v>0</v>
      </c>
    </row>
    <row r="153" customFormat="false" ht="15" hidden="false" customHeight="true" outlineLevel="0" collapsed="false">
      <c r="A153" s="15" t="n">
        <f aca="false">cleaned_data!$M$152</f>
        <v>570964.84</v>
      </c>
      <c r="B153" s="15" t="n">
        <f aca="false">cleaned_data!$F$152</f>
        <v>3350</v>
      </c>
      <c r="C153" s="15" t="n">
        <f aca="false">cleaned_data!$E$152</f>
        <v>60322.4</v>
      </c>
      <c r="D153" s="15" t="n">
        <f aca="false">cleaned_data!$I$152</f>
        <v>89.4</v>
      </c>
      <c r="E153" s="15" t="n">
        <f aca="false">cleaned_data!$H$152</f>
        <v>12</v>
      </c>
      <c r="F153" s="15" t="n">
        <f aca="false">dummy_variables!$D$152</f>
        <v>0</v>
      </c>
      <c r="G153" s="15" t="n">
        <f aca="false">dummy_variables!$E$152</f>
        <v>0</v>
      </c>
      <c r="H153" s="15" t="n">
        <f aca="false">dummy_variables!$F$152</f>
        <v>1</v>
      </c>
      <c r="I153" s="15" t="n">
        <f aca="false">dummy_variables!$G$152</f>
        <v>1</v>
      </c>
      <c r="J153" s="15" t="n">
        <f aca="false">dummy_variables!$H$152</f>
        <v>0</v>
      </c>
      <c r="K153" s="15" t="n">
        <f aca="false">dummy_variables!$I$152</f>
        <v>0</v>
      </c>
    </row>
    <row r="154" customFormat="false" ht="15" hidden="false" customHeight="true" outlineLevel="0" collapsed="false">
      <c r="A154" s="15" t="n">
        <f aca="false">cleaned_data!$M$153</f>
        <v>614024.91</v>
      </c>
      <c r="B154" s="15" t="n">
        <f aca="false">cleaned_data!$F$153</f>
        <v>5329</v>
      </c>
      <c r="C154" s="15" t="n">
        <f aca="false">cleaned_data!$E$153</f>
        <v>51575.68</v>
      </c>
      <c r="D154" s="15" t="n">
        <f aca="false">cleaned_data!$I$153</f>
        <v>88.1</v>
      </c>
      <c r="E154" s="15" t="n">
        <f aca="false">cleaned_data!$H$153</f>
        <v>17</v>
      </c>
      <c r="F154" s="15" t="n">
        <f aca="false">dummy_variables!$D$153</f>
        <v>0</v>
      </c>
      <c r="G154" s="15" t="n">
        <f aca="false">dummy_variables!$E$153</f>
        <v>1</v>
      </c>
      <c r="H154" s="15" t="n">
        <f aca="false">dummy_variables!$F$153</f>
        <v>0</v>
      </c>
      <c r="I154" s="15" t="n">
        <f aca="false">dummy_variables!$G$153</f>
        <v>0</v>
      </c>
      <c r="J154" s="15" t="n">
        <f aca="false">dummy_variables!$H$153</f>
        <v>1</v>
      </c>
      <c r="K154" s="15" t="n">
        <f aca="false">dummy_variables!$I$153</f>
        <v>0</v>
      </c>
    </row>
    <row r="155" customFormat="false" ht="15" hidden="false" customHeight="true" outlineLevel="0" collapsed="false">
      <c r="A155" s="15" t="n">
        <f aca="false">cleaned_data!$M$154</f>
        <v>712868.35</v>
      </c>
      <c r="B155" s="15" t="n">
        <f aca="false">cleaned_data!$F$154</f>
        <v>6551</v>
      </c>
      <c r="C155" s="15" t="n">
        <f aca="false">cleaned_data!$E$154</f>
        <v>43319.94</v>
      </c>
      <c r="D155" s="15" t="n">
        <f aca="false">cleaned_data!$I$154</f>
        <v>99</v>
      </c>
      <c r="E155" s="15" t="n">
        <f aca="false">cleaned_data!$H$154</f>
        <v>13</v>
      </c>
      <c r="F155" s="15" t="n">
        <f aca="false">dummy_variables!$D$154</f>
        <v>0</v>
      </c>
      <c r="G155" s="15" t="n">
        <f aca="false">dummy_variables!$E$154</f>
        <v>1</v>
      </c>
      <c r="H155" s="15" t="n">
        <f aca="false">dummy_variables!$F$154</f>
        <v>0</v>
      </c>
      <c r="I155" s="15" t="n">
        <f aca="false">dummy_variables!$G$154</f>
        <v>0</v>
      </c>
      <c r="J155" s="15" t="n">
        <f aca="false">dummy_variables!$H$154</f>
        <v>1</v>
      </c>
      <c r="K155" s="15" t="n">
        <f aca="false">dummy_variables!$I$154</f>
        <v>0</v>
      </c>
    </row>
    <row r="156" customFormat="false" ht="15" hidden="false" customHeight="true" outlineLevel="0" collapsed="false">
      <c r="A156" s="15" t="n">
        <f aca="false">cleaned_data!$M$155</f>
        <v>696744.15</v>
      </c>
      <c r="B156" s="15" t="n">
        <f aca="false">cleaned_data!$F$155</f>
        <v>5550</v>
      </c>
      <c r="C156" s="15" t="n">
        <f aca="false">cleaned_data!$E$155</f>
        <v>47093.55</v>
      </c>
      <c r="D156" s="15" t="n">
        <f aca="false">cleaned_data!$I$155</f>
        <v>95</v>
      </c>
      <c r="E156" s="15" t="n">
        <f aca="false">cleaned_data!$H$155</f>
        <v>12</v>
      </c>
      <c r="F156" s="15" t="n">
        <f aca="false">dummy_variables!$D$155</f>
        <v>0</v>
      </c>
      <c r="G156" s="15" t="n">
        <f aca="false">dummy_variables!$E$155</f>
        <v>1</v>
      </c>
      <c r="H156" s="15" t="n">
        <f aca="false">dummy_variables!$F$155</f>
        <v>0</v>
      </c>
      <c r="I156" s="15" t="n">
        <f aca="false">dummy_variables!$G$155</f>
        <v>0</v>
      </c>
      <c r="J156" s="15" t="n">
        <f aca="false">dummy_variables!$H$155</f>
        <v>1</v>
      </c>
      <c r="K156" s="15" t="n">
        <f aca="false">dummy_variables!$I$155</f>
        <v>0</v>
      </c>
    </row>
    <row r="157" customFormat="false" ht="15" hidden="false" customHeight="true" outlineLevel="0" collapsed="false">
      <c r="A157" s="15" t="n">
        <f aca="false">cleaned_data!$M$156</f>
        <v>725847.99</v>
      </c>
      <c r="B157" s="15" t="n">
        <f aca="false">cleaned_data!$F$156</f>
        <v>5911</v>
      </c>
      <c r="C157" s="15" t="n">
        <f aca="false">cleaned_data!$E$156</f>
        <v>71855.09</v>
      </c>
      <c r="D157" s="15" t="n">
        <f aca="false">cleaned_data!$I$156</f>
        <v>94.3</v>
      </c>
      <c r="E157" s="15" t="n">
        <f aca="false">cleaned_data!$H$156</f>
        <v>15</v>
      </c>
      <c r="F157" s="15" t="n">
        <f aca="false">dummy_variables!$D$156</f>
        <v>0</v>
      </c>
      <c r="G157" s="15" t="n">
        <f aca="false">dummy_variables!$E$156</f>
        <v>1</v>
      </c>
      <c r="H157" s="15" t="n">
        <f aca="false">dummy_variables!$F$156</f>
        <v>0</v>
      </c>
      <c r="I157" s="15" t="n">
        <f aca="false">dummy_variables!$G$156</f>
        <v>0</v>
      </c>
      <c r="J157" s="15" t="n">
        <f aca="false">dummy_variables!$H$156</f>
        <v>1</v>
      </c>
      <c r="K157" s="15" t="n">
        <f aca="false">dummy_variables!$I$156</f>
        <v>0</v>
      </c>
    </row>
    <row r="158" customFormat="false" ht="15" hidden="false" customHeight="true" outlineLevel="0" collapsed="false">
      <c r="A158" s="15" t="n">
        <f aca="false">cleaned_data!$M$157</f>
        <v>785028.25</v>
      </c>
      <c r="B158" s="15" t="n">
        <f aca="false">cleaned_data!$F$157</f>
        <v>9674</v>
      </c>
      <c r="C158" s="15" t="n">
        <f aca="false">cleaned_data!$E$157</f>
        <v>75645.23</v>
      </c>
      <c r="D158" s="15" t="n">
        <f aca="false">cleaned_data!$I$157</f>
        <v>87.4</v>
      </c>
      <c r="E158" s="15" t="n">
        <f aca="false">cleaned_data!$H$157</f>
        <v>21</v>
      </c>
      <c r="F158" s="15" t="n">
        <f aca="false">dummy_variables!$D$157</f>
        <v>0</v>
      </c>
      <c r="G158" s="15" t="n">
        <f aca="false">dummy_variables!$E$157</f>
        <v>0</v>
      </c>
      <c r="H158" s="15" t="n">
        <f aca="false">dummy_variables!$F$157</f>
        <v>0</v>
      </c>
      <c r="I158" s="15" t="n">
        <f aca="false">dummy_variables!$G$157</f>
        <v>0</v>
      </c>
      <c r="J158" s="15" t="n">
        <f aca="false">dummy_variables!$H$157</f>
        <v>0</v>
      </c>
      <c r="K158" s="15" t="n">
        <f aca="false">dummy_variables!$I$157</f>
        <v>0</v>
      </c>
    </row>
    <row r="159" customFormat="false" ht="15" hidden="false" customHeight="true" outlineLevel="0" collapsed="false">
      <c r="A159" s="15" t="n">
        <f aca="false">cleaned_data!$M$158</f>
        <v>698492.67</v>
      </c>
      <c r="B159" s="15" t="n">
        <f aca="false">cleaned_data!$F$158</f>
        <v>6740</v>
      </c>
      <c r="C159" s="15" t="n">
        <f aca="false">cleaned_data!$E$158</f>
        <v>64374.75</v>
      </c>
      <c r="D159" s="15" t="n">
        <f aca="false">cleaned_data!$I$158</f>
        <v>87</v>
      </c>
      <c r="E159" s="15" t="n">
        <f aca="false">cleaned_data!$H$158</f>
        <v>18</v>
      </c>
      <c r="F159" s="15" t="n">
        <f aca="false">dummy_variables!$D$158</f>
        <v>0</v>
      </c>
      <c r="G159" s="15" t="n">
        <f aca="false">dummy_variables!$E$158</f>
        <v>0</v>
      </c>
      <c r="H159" s="15" t="n">
        <f aca="false">dummy_variables!$F$158</f>
        <v>0</v>
      </c>
      <c r="I159" s="15" t="n">
        <f aca="false">dummy_variables!$G$158</f>
        <v>0</v>
      </c>
      <c r="J159" s="15" t="n">
        <f aca="false">dummy_variables!$H$158</f>
        <v>0</v>
      </c>
      <c r="K159" s="15" t="n">
        <f aca="false">dummy_variables!$I$158</f>
        <v>0</v>
      </c>
    </row>
    <row r="160" customFormat="false" ht="15" hidden="false" customHeight="true" outlineLevel="0" collapsed="false">
      <c r="A160" s="15" t="n">
        <f aca="false">cleaned_data!$M$159</f>
        <v>685830.24</v>
      </c>
      <c r="B160" s="15" t="n">
        <f aca="false">cleaned_data!$F$159</f>
        <v>7745</v>
      </c>
      <c r="C160" s="15" t="n">
        <f aca="false">cleaned_data!$E$159</f>
        <v>61433.84</v>
      </c>
      <c r="D160" s="15" t="n">
        <f aca="false">cleaned_data!$I$159</f>
        <v>90.5</v>
      </c>
      <c r="E160" s="15" t="n">
        <f aca="false">cleaned_data!$H$159</f>
        <v>16</v>
      </c>
      <c r="F160" s="15" t="n">
        <f aca="false">dummy_variables!$D$159</f>
        <v>0</v>
      </c>
      <c r="G160" s="15" t="n">
        <f aca="false">dummy_variables!$E$159</f>
        <v>0</v>
      </c>
      <c r="H160" s="15" t="n">
        <f aca="false">dummy_variables!$F$159</f>
        <v>0</v>
      </c>
      <c r="I160" s="15" t="n">
        <f aca="false">dummy_variables!$G$159</f>
        <v>0</v>
      </c>
      <c r="J160" s="15" t="n">
        <f aca="false">dummy_variables!$H$159</f>
        <v>0</v>
      </c>
      <c r="K160" s="15" t="n">
        <f aca="false">dummy_variables!$I$159</f>
        <v>0</v>
      </c>
    </row>
    <row r="161" customFormat="false" ht="15" hidden="false" customHeight="true" outlineLevel="0" collapsed="false">
      <c r="A161" s="15" t="n">
        <f aca="false">cleaned_data!$M$160</f>
        <v>702318.94</v>
      </c>
      <c r="B161" s="15" t="n">
        <f aca="false">cleaned_data!$F$160</f>
        <v>7693</v>
      </c>
      <c r="C161" s="15" t="n">
        <f aca="false">cleaned_data!$E$160</f>
        <v>42698.14</v>
      </c>
      <c r="D161" s="15" t="n">
        <f aca="false">cleaned_data!$I$160</f>
        <v>90.1</v>
      </c>
      <c r="E161" s="15" t="n">
        <f aca="false">cleaned_data!$H$160</f>
        <v>19</v>
      </c>
      <c r="F161" s="15" t="n">
        <f aca="false">dummy_variables!$D$160</f>
        <v>0</v>
      </c>
      <c r="G161" s="15" t="n">
        <f aca="false">dummy_variables!$E$160</f>
        <v>0</v>
      </c>
      <c r="H161" s="15" t="n">
        <f aca="false">dummy_variables!$F$160</f>
        <v>0</v>
      </c>
      <c r="I161" s="15" t="n">
        <f aca="false">dummy_variables!$G$160</f>
        <v>0</v>
      </c>
      <c r="J161" s="15" t="n">
        <f aca="false">dummy_variables!$H$160</f>
        <v>0</v>
      </c>
      <c r="K161" s="15" t="n">
        <f aca="false">dummy_variables!$I$160</f>
        <v>0</v>
      </c>
    </row>
    <row r="162" customFormat="false" ht="15" hidden="false" customHeight="true" outlineLevel="0" collapsed="false">
      <c r="A162" s="15" t="n">
        <f aca="false">cleaned_data!$M$161</f>
        <v>700078.32</v>
      </c>
      <c r="B162" s="15" t="n">
        <f aca="false">cleaned_data!$F$161</f>
        <v>6424</v>
      </c>
      <c r="C162" s="15" t="n">
        <f aca="false">cleaned_data!$E$161</f>
        <v>86883.31</v>
      </c>
      <c r="D162" s="15" t="n">
        <f aca="false">cleaned_data!$I$161</f>
        <v>85.2</v>
      </c>
      <c r="E162" s="15" t="n">
        <f aca="false">cleaned_data!$H$161</f>
        <v>19</v>
      </c>
      <c r="F162" s="15" t="n">
        <f aca="false">dummy_variables!$D$161</f>
        <v>0</v>
      </c>
      <c r="G162" s="15" t="n">
        <f aca="false">dummy_variables!$E$161</f>
        <v>1</v>
      </c>
      <c r="H162" s="15" t="n">
        <f aca="false">dummy_variables!$F$161</f>
        <v>0</v>
      </c>
      <c r="I162" s="15" t="n">
        <f aca="false">dummy_variables!$G$161</f>
        <v>1</v>
      </c>
      <c r="J162" s="15" t="n">
        <f aca="false">dummy_variables!$H$161</f>
        <v>0</v>
      </c>
      <c r="K162" s="15" t="n">
        <f aca="false">dummy_variables!$I$161</f>
        <v>0</v>
      </c>
    </row>
    <row r="163" customFormat="false" ht="15" hidden="false" customHeight="true" outlineLevel="0" collapsed="false">
      <c r="A163" s="15" t="n">
        <f aca="false">cleaned_data!$M$162</f>
        <v>602002.32</v>
      </c>
      <c r="B163" s="15" t="n">
        <f aca="false">cleaned_data!$F$162</f>
        <v>5400</v>
      </c>
      <c r="C163" s="15" t="n">
        <f aca="false">cleaned_data!$E$162</f>
        <v>41863.08</v>
      </c>
      <c r="D163" s="15" t="n">
        <f aca="false">cleaned_data!$I$162</f>
        <v>91.6</v>
      </c>
      <c r="E163" s="15" t="n">
        <f aca="false">cleaned_data!$H$162</f>
        <v>11</v>
      </c>
      <c r="F163" s="15" t="n">
        <f aca="false">dummy_variables!$D$162</f>
        <v>0</v>
      </c>
      <c r="G163" s="15" t="n">
        <f aca="false">dummy_variables!$E$162</f>
        <v>1</v>
      </c>
      <c r="H163" s="15" t="n">
        <f aca="false">dummy_variables!$F$162</f>
        <v>0</v>
      </c>
      <c r="I163" s="15" t="n">
        <f aca="false">dummy_variables!$G$162</f>
        <v>1</v>
      </c>
      <c r="J163" s="15" t="n">
        <f aca="false">dummy_variables!$H$162</f>
        <v>0</v>
      </c>
      <c r="K163" s="15" t="n">
        <f aca="false">dummy_variables!$I$162</f>
        <v>0</v>
      </c>
    </row>
    <row r="164" customFormat="false" ht="15" hidden="false" customHeight="true" outlineLevel="0" collapsed="false">
      <c r="A164" s="15" t="n">
        <f aca="false">cleaned_data!$M$163</f>
        <v>724216.07</v>
      </c>
      <c r="B164" s="15" t="n">
        <f aca="false">cleaned_data!$F$163</f>
        <v>7015</v>
      </c>
      <c r="C164" s="15" t="n">
        <f aca="false">cleaned_data!$E$163</f>
        <v>56918.16</v>
      </c>
      <c r="D164" s="15" t="n">
        <f aca="false">cleaned_data!$I$163</f>
        <v>74.2</v>
      </c>
      <c r="E164" s="15" t="n">
        <f aca="false">cleaned_data!$H$163</f>
        <v>18</v>
      </c>
      <c r="F164" s="15" t="n">
        <f aca="false">dummy_variables!$D$163</f>
        <v>0</v>
      </c>
      <c r="G164" s="15" t="n">
        <f aca="false">dummy_variables!$E$163</f>
        <v>1</v>
      </c>
      <c r="H164" s="15" t="n">
        <f aca="false">dummy_variables!$F$163</f>
        <v>0</v>
      </c>
      <c r="I164" s="15" t="n">
        <f aca="false">dummy_variables!$G$163</f>
        <v>1</v>
      </c>
      <c r="J164" s="15" t="n">
        <f aca="false">dummy_variables!$H$163</f>
        <v>0</v>
      </c>
      <c r="K164" s="15" t="n">
        <f aca="false">dummy_variables!$I$163</f>
        <v>0</v>
      </c>
    </row>
    <row r="165" customFormat="false" ht="15" hidden="false" customHeight="true" outlineLevel="0" collapsed="false">
      <c r="A165" s="15" t="n">
        <f aca="false">cleaned_data!$M$164</f>
        <v>620973.03</v>
      </c>
      <c r="B165" s="15" t="n">
        <f aca="false">cleaned_data!$F$164</f>
        <v>3847</v>
      </c>
      <c r="C165" s="15" t="n">
        <f aca="false">cleaned_data!$E$164</f>
        <v>23254.57</v>
      </c>
      <c r="D165" s="15" t="n">
        <f aca="false">cleaned_data!$I$164</f>
        <v>93</v>
      </c>
      <c r="E165" s="15" t="n">
        <f aca="false">cleaned_data!$H$164</f>
        <v>12</v>
      </c>
      <c r="F165" s="15" t="n">
        <f aca="false">dummy_variables!$D$164</f>
        <v>0</v>
      </c>
      <c r="G165" s="15" t="n">
        <f aca="false">dummy_variables!$E$164</f>
        <v>1</v>
      </c>
      <c r="H165" s="15" t="n">
        <f aca="false">dummy_variables!$F$164</f>
        <v>0</v>
      </c>
      <c r="I165" s="15" t="n">
        <f aca="false">dummy_variables!$G$164</f>
        <v>1</v>
      </c>
      <c r="J165" s="15" t="n">
        <f aca="false">dummy_variables!$H$164</f>
        <v>0</v>
      </c>
      <c r="K165" s="15" t="n">
        <f aca="false">dummy_variables!$I$164</f>
        <v>0</v>
      </c>
    </row>
    <row r="166" customFormat="false" ht="15" hidden="false" customHeight="true" outlineLevel="0" collapsed="false">
      <c r="A166" s="15" t="n">
        <f aca="false">cleaned_data!$M$165</f>
        <v>650480.06</v>
      </c>
      <c r="B166" s="15" t="n">
        <f aca="false">cleaned_data!$F$165</f>
        <v>7455</v>
      </c>
      <c r="C166" s="15" t="n">
        <f aca="false">cleaned_data!$E$165</f>
        <v>41443.41</v>
      </c>
      <c r="D166" s="15" t="n">
        <f aca="false">cleaned_data!$I$165</f>
        <v>90.1</v>
      </c>
      <c r="E166" s="15" t="n">
        <f aca="false">cleaned_data!$H$165</f>
        <v>16</v>
      </c>
      <c r="F166" s="15" t="n">
        <f aca="false">dummy_variables!$D$165</f>
        <v>0</v>
      </c>
      <c r="G166" s="15" t="n">
        <f aca="false">dummy_variables!$E$165</f>
        <v>0</v>
      </c>
      <c r="H166" s="15" t="n">
        <f aca="false">dummy_variables!$F$165</f>
        <v>0</v>
      </c>
      <c r="I166" s="15" t="n">
        <f aca="false">dummy_variables!$G$165</f>
        <v>0</v>
      </c>
      <c r="J166" s="15" t="n">
        <f aca="false">dummy_variables!$H$165</f>
        <v>1</v>
      </c>
      <c r="K166" s="15" t="n">
        <f aca="false">dummy_variables!$I$165</f>
        <v>0</v>
      </c>
    </row>
    <row r="167" customFormat="false" ht="15" hidden="false" customHeight="true" outlineLevel="0" collapsed="false">
      <c r="A167" s="15" t="n">
        <f aca="false">cleaned_data!$M$166</f>
        <v>778298.88</v>
      </c>
      <c r="B167" s="15" t="n">
        <f aca="false">cleaned_data!$F$166</f>
        <v>6992</v>
      </c>
      <c r="C167" s="15" t="n">
        <f aca="false">cleaned_data!$E$166</f>
        <v>48438.85</v>
      </c>
      <c r="D167" s="15" t="n">
        <f aca="false">cleaned_data!$I$166</f>
        <v>91</v>
      </c>
      <c r="E167" s="15" t="n">
        <f aca="false">cleaned_data!$H$166</f>
        <v>20</v>
      </c>
      <c r="F167" s="15" t="n">
        <f aca="false">dummy_variables!$D$166</f>
        <v>0</v>
      </c>
      <c r="G167" s="15" t="n">
        <f aca="false">dummy_variables!$E$166</f>
        <v>0</v>
      </c>
      <c r="H167" s="15" t="n">
        <f aca="false">dummy_variables!$F$166</f>
        <v>0</v>
      </c>
      <c r="I167" s="15" t="n">
        <f aca="false">dummy_variables!$G$166</f>
        <v>0</v>
      </c>
      <c r="J167" s="15" t="n">
        <f aca="false">dummy_variables!$H$166</f>
        <v>1</v>
      </c>
      <c r="K167" s="15" t="n">
        <f aca="false">dummy_variables!$I$166</f>
        <v>0</v>
      </c>
    </row>
    <row r="168" customFormat="false" ht="15" hidden="false" customHeight="true" outlineLevel="0" collapsed="false">
      <c r="A168" s="15" t="n">
        <f aca="false">cleaned_data!$M$167</f>
        <v>677096.71</v>
      </c>
      <c r="B168" s="15" t="n">
        <f aca="false">cleaned_data!$F$167</f>
        <v>8038</v>
      </c>
      <c r="C168" s="15" t="n">
        <f aca="false">cleaned_data!$E$167</f>
        <v>57143.3</v>
      </c>
      <c r="D168" s="15" t="n">
        <f aca="false">cleaned_data!$I$167</f>
        <v>72.6</v>
      </c>
      <c r="E168" s="15" t="n">
        <f aca="false">cleaned_data!$H$167</f>
        <v>17</v>
      </c>
      <c r="F168" s="15" t="n">
        <f aca="false">dummy_variables!$D$167</f>
        <v>0</v>
      </c>
      <c r="G168" s="15" t="n">
        <f aca="false">dummy_variables!$E$167</f>
        <v>0</v>
      </c>
      <c r="H168" s="15" t="n">
        <f aca="false">dummy_variables!$F$167</f>
        <v>0</v>
      </c>
      <c r="I168" s="15" t="n">
        <f aca="false">dummy_variables!$G$167</f>
        <v>0</v>
      </c>
      <c r="J168" s="15" t="n">
        <f aca="false">dummy_variables!$H$167</f>
        <v>1</v>
      </c>
      <c r="K168" s="15" t="n">
        <f aca="false">dummy_variables!$I$167</f>
        <v>0</v>
      </c>
    </row>
    <row r="169" customFormat="false" ht="15" hidden="false" customHeight="true" outlineLevel="0" collapsed="false">
      <c r="A169" s="15" t="n">
        <f aca="false">cleaned_data!$M$168</f>
        <v>692008.64</v>
      </c>
      <c r="B169" s="15" t="n">
        <f aca="false">cleaned_data!$F$168</f>
        <v>6055</v>
      </c>
      <c r="C169" s="15" t="n">
        <f aca="false">cleaned_data!$E$168</f>
        <v>66870.62</v>
      </c>
      <c r="D169" s="15" t="n">
        <f aca="false">cleaned_data!$I$168</f>
        <v>93.8</v>
      </c>
      <c r="E169" s="15" t="n">
        <f aca="false">cleaned_data!$H$168</f>
        <v>19</v>
      </c>
      <c r="F169" s="15" t="n">
        <f aca="false">dummy_variables!$D$168</f>
        <v>0</v>
      </c>
      <c r="G169" s="15" t="n">
        <f aca="false">dummy_variables!$E$168</f>
        <v>0</v>
      </c>
      <c r="H169" s="15" t="n">
        <f aca="false">dummy_variables!$F$168</f>
        <v>0</v>
      </c>
      <c r="I169" s="15" t="n">
        <f aca="false">dummy_variables!$G$168</f>
        <v>0</v>
      </c>
      <c r="J169" s="15" t="n">
        <f aca="false">dummy_variables!$H$168</f>
        <v>1</v>
      </c>
      <c r="K169" s="15" t="n">
        <f aca="false">dummy_variables!$I$168</f>
        <v>0</v>
      </c>
    </row>
    <row r="170" customFormat="false" ht="15" hidden="false" customHeight="true" outlineLevel="0" collapsed="false">
      <c r="A170" s="15" t="n">
        <f aca="false">cleaned_data!$M$169</f>
        <v>825797.91</v>
      </c>
      <c r="B170" s="15" t="n">
        <f aca="false">cleaned_data!$F$169</f>
        <v>9323</v>
      </c>
      <c r="C170" s="15" t="n">
        <f aca="false">cleaned_data!$E$169</f>
        <v>72150.53</v>
      </c>
      <c r="D170" s="15" t="n">
        <f aca="false">cleaned_data!$I$169</f>
        <v>82.9</v>
      </c>
      <c r="E170" s="15" t="n">
        <f aca="false">cleaned_data!$H$169</f>
        <v>22</v>
      </c>
      <c r="F170" s="15" t="n">
        <f aca="false">dummy_variables!$D$169</f>
        <v>0</v>
      </c>
      <c r="G170" s="15" t="n">
        <f aca="false">dummy_variables!$E$169</f>
        <v>1</v>
      </c>
      <c r="H170" s="15" t="n">
        <f aca="false">dummy_variables!$F$169</f>
        <v>0</v>
      </c>
      <c r="I170" s="15" t="n">
        <f aca="false">dummy_variables!$G$169</f>
        <v>1</v>
      </c>
      <c r="J170" s="15" t="n">
        <f aca="false">dummy_variables!$H$169</f>
        <v>0</v>
      </c>
      <c r="K170" s="15" t="n">
        <f aca="false">dummy_variables!$I$169</f>
        <v>0</v>
      </c>
    </row>
    <row r="171" customFormat="false" ht="15" hidden="false" customHeight="true" outlineLevel="0" collapsed="false">
      <c r="A171" s="15" t="n">
        <f aca="false">cleaned_data!$M$170</f>
        <v>706285.52</v>
      </c>
      <c r="B171" s="15" t="n">
        <f aca="false">cleaned_data!$F$170</f>
        <v>8789</v>
      </c>
      <c r="C171" s="15" t="n">
        <f aca="false">cleaned_data!$E$170</f>
        <v>35303.3</v>
      </c>
      <c r="D171" s="15" t="n">
        <f aca="false">cleaned_data!$I$170</f>
        <v>86.1</v>
      </c>
      <c r="E171" s="15" t="n">
        <f aca="false">cleaned_data!$H$170</f>
        <v>22</v>
      </c>
      <c r="F171" s="15" t="n">
        <f aca="false">dummy_variables!$D$170</f>
        <v>0</v>
      </c>
      <c r="G171" s="15" t="n">
        <f aca="false">dummy_variables!$E$170</f>
        <v>1</v>
      </c>
      <c r="H171" s="15" t="n">
        <f aca="false">dummy_variables!$F$170</f>
        <v>0</v>
      </c>
      <c r="I171" s="15" t="n">
        <f aca="false">dummy_variables!$G$170</f>
        <v>1</v>
      </c>
      <c r="J171" s="15" t="n">
        <f aca="false">dummy_variables!$H$170</f>
        <v>0</v>
      </c>
      <c r="K171" s="15" t="n">
        <f aca="false">dummy_variables!$I$170</f>
        <v>0</v>
      </c>
    </row>
    <row r="172" customFormat="false" ht="15" hidden="false" customHeight="true" outlineLevel="0" collapsed="false">
      <c r="A172" s="15" t="n">
        <f aca="false">cleaned_data!$M$171</f>
        <v>665534.7</v>
      </c>
      <c r="B172" s="15" t="n">
        <f aca="false">cleaned_data!$F$171</f>
        <v>6939</v>
      </c>
      <c r="C172" s="15" t="n">
        <f aca="false">cleaned_data!$E$171</f>
        <v>30301.86</v>
      </c>
      <c r="D172" s="15" t="n">
        <f aca="false">cleaned_data!$I$171</f>
        <v>90.3</v>
      </c>
      <c r="E172" s="15" t="n">
        <f aca="false">cleaned_data!$H$171</f>
        <v>16</v>
      </c>
      <c r="F172" s="15" t="n">
        <f aca="false">dummy_variables!$D$171</f>
        <v>0</v>
      </c>
      <c r="G172" s="15" t="n">
        <f aca="false">dummy_variables!$E$171</f>
        <v>1</v>
      </c>
      <c r="H172" s="15" t="n">
        <f aca="false">dummy_variables!$F$171</f>
        <v>0</v>
      </c>
      <c r="I172" s="15" t="n">
        <f aca="false">dummy_variables!$G$171</f>
        <v>1</v>
      </c>
      <c r="J172" s="15" t="n">
        <f aca="false">dummy_variables!$H$171</f>
        <v>0</v>
      </c>
      <c r="K172" s="15" t="n">
        <f aca="false">dummy_variables!$I$171</f>
        <v>0</v>
      </c>
    </row>
    <row r="173" customFormat="false" ht="15" hidden="false" customHeight="true" outlineLevel="0" collapsed="false">
      <c r="A173" s="15" t="n">
        <f aca="false">cleaned_data!$M$172</f>
        <v>820729.29</v>
      </c>
      <c r="B173" s="15" t="n">
        <f aca="false">cleaned_data!$F$172</f>
        <v>9440</v>
      </c>
      <c r="C173" s="15" t="n">
        <f aca="false">cleaned_data!$E$172</f>
        <v>78432.14</v>
      </c>
      <c r="D173" s="15" t="n">
        <f aca="false">cleaned_data!$I$172</f>
        <v>89.2</v>
      </c>
      <c r="E173" s="15" t="n">
        <f aca="false">cleaned_data!$H$172</f>
        <v>23</v>
      </c>
      <c r="F173" s="15" t="n">
        <f aca="false">dummy_variables!$D$172</f>
        <v>0</v>
      </c>
      <c r="G173" s="15" t="n">
        <f aca="false">dummy_variables!$E$172</f>
        <v>1</v>
      </c>
      <c r="H173" s="15" t="n">
        <f aca="false">dummy_variables!$F$172</f>
        <v>0</v>
      </c>
      <c r="I173" s="15" t="n">
        <f aca="false">dummy_variables!$G$172</f>
        <v>1</v>
      </c>
      <c r="J173" s="15" t="n">
        <f aca="false">dummy_variables!$H$172</f>
        <v>0</v>
      </c>
      <c r="K173" s="15" t="n">
        <f aca="false">dummy_variables!$I$172</f>
        <v>0</v>
      </c>
    </row>
    <row r="174" customFormat="false" ht="15" hidden="false" customHeight="true" outlineLevel="0" collapsed="false">
      <c r="A174" s="15" t="n">
        <f aca="false">cleaned_data!$M$173</f>
        <v>739831.73</v>
      </c>
      <c r="B174" s="15" t="n">
        <f aca="false">cleaned_data!$F$173</f>
        <v>9374</v>
      </c>
      <c r="C174" s="15" t="n">
        <f aca="false">cleaned_data!$E$173</f>
        <v>62059.18</v>
      </c>
      <c r="D174" s="15" t="n">
        <f aca="false">cleaned_data!$I$173</f>
        <v>87.1</v>
      </c>
      <c r="E174" s="15" t="n">
        <f aca="false">cleaned_data!$H$173</f>
        <v>25</v>
      </c>
      <c r="F174" s="15" t="n">
        <f aca="false">dummy_variables!$D$173</f>
        <v>0</v>
      </c>
      <c r="G174" s="15" t="n">
        <f aca="false">dummy_variables!$E$173</f>
        <v>0</v>
      </c>
      <c r="H174" s="15" t="n">
        <f aca="false">dummy_variables!$F$173</f>
        <v>1</v>
      </c>
      <c r="I174" s="15" t="n">
        <f aca="false">dummy_variables!$G$173</f>
        <v>0</v>
      </c>
      <c r="J174" s="15" t="n">
        <f aca="false">dummy_variables!$H$173</f>
        <v>0</v>
      </c>
      <c r="K174" s="15" t="n">
        <f aca="false">dummy_variables!$I$173</f>
        <v>0</v>
      </c>
    </row>
    <row r="175" customFormat="false" ht="15" hidden="false" customHeight="true" outlineLevel="0" collapsed="false">
      <c r="A175" s="15" t="n">
        <f aca="false">cleaned_data!$M$174</f>
        <v>593637.14</v>
      </c>
      <c r="B175" s="15" t="n">
        <f aca="false">cleaned_data!$F$174</f>
        <v>7576</v>
      </c>
      <c r="C175" s="15" t="n">
        <f aca="false">cleaned_data!$E$174</f>
        <v>32834.48</v>
      </c>
      <c r="D175" s="15" t="n">
        <f aca="false">cleaned_data!$I$174</f>
        <v>84.1</v>
      </c>
      <c r="E175" s="15" t="n">
        <f aca="false">cleaned_data!$H$174</f>
        <v>15</v>
      </c>
      <c r="F175" s="15" t="n">
        <f aca="false">dummy_variables!$D$174</f>
        <v>0</v>
      </c>
      <c r="G175" s="15" t="n">
        <f aca="false">dummy_variables!$E$174</f>
        <v>0</v>
      </c>
      <c r="H175" s="15" t="n">
        <f aca="false">dummy_variables!$F$174</f>
        <v>1</v>
      </c>
      <c r="I175" s="15" t="n">
        <f aca="false">dummy_variables!$G$174</f>
        <v>0</v>
      </c>
      <c r="J175" s="15" t="n">
        <f aca="false">dummy_variables!$H$174</f>
        <v>0</v>
      </c>
      <c r="K175" s="15" t="n">
        <f aca="false">dummy_variables!$I$174</f>
        <v>0</v>
      </c>
    </row>
    <row r="176" customFormat="false" ht="15" hidden="false" customHeight="true" outlineLevel="0" collapsed="false">
      <c r="A176" s="15" t="n">
        <f aca="false">cleaned_data!$M$175</f>
        <v>769702.76</v>
      </c>
      <c r="B176" s="15" t="n">
        <f aca="false">cleaned_data!$F$175</f>
        <v>8949</v>
      </c>
      <c r="C176" s="15" t="n">
        <f aca="false">cleaned_data!$E$175</f>
        <v>50825.08</v>
      </c>
      <c r="D176" s="15" t="n">
        <f aca="false">cleaned_data!$I$175</f>
        <v>84.7</v>
      </c>
      <c r="E176" s="15" t="n">
        <f aca="false">cleaned_data!$H$175</f>
        <v>21</v>
      </c>
      <c r="F176" s="15" t="n">
        <f aca="false">dummy_variables!$D$175</f>
        <v>0</v>
      </c>
      <c r="G176" s="15" t="n">
        <f aca="false">dummy_variables!$E$175</f>
        <v>0</v>
      </c>
      <c r="H176" s="15" t="n">
        <f aca="false">dummy_variables!$F$175</f>
        <v>1</v>
      </c>
      <c r="I176" s="15" t="n">
        <f aca="false">dummy_variables!$G$175</f>
        <v>0</v>
      </c>
      <c r="J176" s="15" t="n">
        <f aca="false">dummy_variables!$H$175</f>
        <v>0</v>
      </c>
      <c r="K176" s="15" t="n">
        <f aca="false">dummy_variables!$I$175</f>
        <v>0</v>
      </c>
    </row>
    <row r="177" customFormat="false" ht="15" hidden="false" customHeight="true" outlineLevel="0" collapsed="false">
      <c r="A177" s="15" t="n">
        <f aca="false">cleaned_data!$M$176</f>
        <v>679731.57</v>
      </c>
      <c r="B177" s="15" t="n">
        <f aca="false">cleaned_data!$F$176</f>
        <v>7671</v>
      </c>
      <c r="C177" s="15" t="n">
        <f aca="false">cleaned_data!$E$176</f>
        <v>36606.51</v>
      </c>
      <c r="D177" s="15" t="n">
        <f aca="false">cleaned_data!$I$176</f>
        <v>89.8</v>
      </c>
      <c r="E177" s="15" t="n">
        <f aca="false">cleaned_data!$H$176</f>
        <v>18</v>
      </c>
      <c r="F177" s="15" t="n">
        <f aca="false">dummy_variables!$D$176</f>
        <v>0</v>
      </c>
      <c r="G177" s="15" t="n">
        <f aca="false">dummy_variables!$E$176</f>
        <v>0</v>
      </c>
      <c r="H177" s="15" t="n">
        <f aca="false">dummy_variables!$F$176</f>
        <v>1</v>
      </c>
      <c r="I177" s="15" t="n">
        <f aca="false">dummy_variables!$G$176</f>
        <v>0</v>
      </c>
      <c r="J177" s="15" t="n">
        <f aca="false">dummy_variables!$H$176</f>
        <v>0</v>
      </c>
      <c r="K177" s="15" t="n">
        <f aca="false">dummy_variables!$I$176</f>
        <v>0</v>
      </c>
    </row>
    <row r="178" customFormat="false" ht="15" hidden="false" customHeight="true" outlineLevel="0" collapsed="false">
      <c r="A178" s="15" t="n">
        <f aca="false">cleaned_data!$M$177</f>
        <v>780344.18</v>
      </c>
      <c r="B178" s="15" t="n">
        <f aca="false">cleaned_data!$F$177</f>
        <v>8741</v>
      </c>
      <c r="C178" s="15" t="n">
        <f aca="false">cleaned_data!$E$177</f>
        <v>65237.79</v>
      </c>
      <c r="D178" s="15" t="n">
        <f aca="false">cleaned_data!$I$177</f>
        <v>94.4</v>
      </c>
      <c r="E178" s="15" t="n">
        <f aca="false">cleaned_data!$H$177</f>
        <v>20</v>
      </c>
      <c r="F178" s="15" t="n">
        <f aca="false">dummy_variables!$D$177</f>
        <v>0</v>
      </c>
      <c r="G178" s="15" t="n">
        <f aca="false">dummy_variables!$E$177</f>
        <v>0</v>
      </c>
      <c r="H178" s="15" t="n">
        <f aca="false">dummy_variables!$F$177</f>
        <v>1</v>
      </c>
      <c r="I178" s="15" t="n">
        <f aca="false">dummy_variables!$G$177</f>
        <v>0</v>
      </c>
      <c r="J178" s="15" t="n">
        <f aca="false">dummy_variables!$H$177</f>
        <v>0</v>
      </c>
      <c r="K178" s="15" t="n">
        <f aca="false">dummy_variables!$I$177</f>
        <v>0</v>
      </c>
    </row>
    <row r="179" customFormat="false" ht="15" hidden="false" customHeight="true" outlineLevel="0" collapsed="false">
      <c r="A179" s="15" t="n">
        <f aca="false">cleaned_data!$M$178</f>
        <v>721364.11</v>
      </c>
      <c r="B179" s="15" t="n">
        <f aca="false">cleaned_data!$F$178</f>
        <v>9480</v>
      </c>
      <c r="C179" s="15" t="n">
        <f aca="false">cleaned_data!$E$178</f>
        <v>43645.98</v>
      </c>
      <c r="D179" s="15" t="n">
        <f aca="false">cleaned_data!$I$178</f>
        <v>89</v>
      </c>
      <c r="E179" s="15" t="n">
        <f aca="false">cleaned_data!$H$178</f>
        <v>22</v>
      </c>
      <c r="F179" s="15" t="n">
        <f aca="false">dummy_variables!$D$178</f>
        <v>0</v>
      </c>
      <c r="G179" s="15" t="n">
        <f aca="false">dummy_variables!$E$178</f>
        <v>0</v>
      </c>
      <c r="H179" s="15" t="n">
        <f aca="false">dummy_variables!$F$178</f>
        <v>1</v>
      </c>
      <c r="I179" s="15" t="n">
        <f aca="false">dummy_variables!$G$178</f>
        <v>0</v>
      </c>
      <c r="J179" s="15" t="n">
        <f aca="false">dummy_variables!$H$178</f>
        <v>0</v>
      </c>
      <c r="K179" s="15" t="n">
        <f aca="false">dummy_variables!$I$178</f>
        <v>0</v>
      </c>
    </row>
    <row r="180" customFormat="false" ht="15" hidden="false" customHeight="true" outlineLevel="0" collapsed="false">
      <c r="A180" s="15" t="n">
        <f aca="false">cleaned_data!$M$179</f>
        <v>758138.29</v>
      </c>
      <c r="B180" s="15" t="n">
        <f aca="false">cleaned_data!$F$179</f>
        <v>9826</v>
      </c>
      <c r="C180" s="15" t="n">
        <f aca="false">cleaned_data!$E$179</f>
        <v>68040.15</v>
      </c>
      <c r="D180" s="15" t="n">
        <f aca="false">cleaned_data!$I$179</f>
        <v>83.9</v>
      </c>
      <c r="E180" s="15" t="n">
        <f aca="false">cleaned_data!$H$179</f>
        <v>20</v>
      </c>
      <c r="F180" s="15" t="n">
        <f aca="false">dummy_variables!$D$179</f>
        <v>0</v>
      </c>
      <c r="G180" s="15" t="n">
        <f aca="false">dummy_variables!$E$179</f>
        <v>0</v>
      </c>
      <c r="H180" s="15" t="n">
        <f aca="false">dummy_variables!$F$179</f>
        <v>1</v>
      </c>
      <c r="I180" s="15" t="n">
        <f aca="false">dummy_variables!$G$179</f>
        <v>0</v>
      </c>
      <c r="J180" s="15" t="n">
        <f aca="false">dummy_variables!$H$179</f>
        <v>0</v>
      </c>
      <c r="K180" s="15" t="n">
        <f aca="false">dummy_variables!$I$179</f>
        <v>0</v>
      </c>
    </row>
    <row r="181" customFormat="false" ht="15" hidden="false" customHeight="true" outlineLevel="0" collapsed="false">
      <c r="A181" s="15" t="n">
        <f aca="false">cleaned_data!$M$180</f>
        <v>804264</v>
      </c>
      <c r="B181" s="15" t="n">
        <f aca="false">cleaned_data!$F$180</f>
        <v>10402</v>
      </c>
      <c r="C181" s="15" t="n">
        <f aca="false">cleaned_data!$E$180</f>
        <v>63043.94</v>
      </c>
      <c r="D181" s="15" t="n">
        <f aca="false">cleaned_data!$I$180</f>
        <v>93.9</v>
      </c>
      <c r="E181" s="15" t="n">
        <f aca="false">cleaned_data!$H$180</f>
        <v>23</v>
      </c>
      <c r="F181" s="15" t="n">
        <f aca="false">dummy_variables!$D$180</f>
        <v>0</v>
      </c>
      <c r="G181" s="15" t="n">
        <f aca="false">dummy_variables!$E$180</f>
        <v>0</v>
      </c>
      <c r="H181" s="15" t="n">
        <f aca="false">dummy_variables!$F$180</f>
        <v>1</v>
      </c>
      <c r="I181" s="15" t="n">
        <f aca="false">dummy_variables!$G$180</f>
        <v>0</v>
      </c>
      <c r="J181" s="15" t="n">
        <f aca="false">dummy_variables!$H$180</f>
        <v>0</v>
      </c>
      <c r="K181" s="15" t="n">
        <f aca="false">dummy_variables!$I$180</f>
        <v>0</v>
      </c>
    </row>
    <row r="182" customFormat="false" ht="15" hidden="false" customHeight="true" outlineLevel="0" collapsed="false">
      <c r="A182" s="15" t="n">
        <f aca="false">cleaned_data!$M$181</f>
        <v>887537.75</v>
      </c>
      <c r="B182" s="15" t="n">
        <f aca="false">cleaned_data!$F$181</f>
        <v>12361</v>
      </c>
      <c r="C182" s="15" t="n">
        <f aca="false">cleaned_data!$E$181</f>
        <v>67494.09</v>
      </c>
      <c r="D182" s="15" t="n">
        <f aca="false">cleaned_data!$I$181</f>
        <v>76.6</v>
      </c>
      <c r="E182" s="15" t="n">
        <f aca="false">cleaned_data!$H$181</f>
        <v>24</v>
      </c>
      <c r="F182" s="15" t="n">
        <f aca="false">dummy_variables!$D$181</f>
        <v>1</v>
      </c>
      <c r="G182" s="15" t="n">
        <f aca="false">dummy_variables!$E$181</f>
        <v>0</v>
      </c>
      <c r="H182" s="15" t="n">
        <f aca="false">dummy_variables!$F$181</f>
        <v>0</v>
      </c>
      <c r="I182" s="15" t="n">
        <f aca="false">dummy_variables!$G$181</f>
        <v>0</v>
      </c>
      <c r="J182" s="15" t="n">
        <f aca="false">dummy_variables!$H$181</f>
        <v>0</v>
      </c>
      <c r="K182" s="15" t="n">
        <f aca="false">dummy_variables!$I$181</f>
        <v>1</v>
      </c>
    </row>
    <row r="183" customFormat="false" ht="15" hidden="false" customHeight="true" outlineLevel="0" collapsed="false">
      <c r="A183" s="15" t="n">
        <f aca="false">cleaned_data!$M$182</f>
        <v>783582</v>
      </c>
      <c r="B183" s="15" t="n">
        <f aca="false">cleaned_data!$F$182</f>
        <v>7925</v>
      </c>
      <c r="C183" s="15" t="n">
        <f aca="false">cleaned_data!$E$182</f>
        <v>29389.32</v>
      </c>
      <c r="D183" s="15" t="n">
        <f aca="false">cleaned_data!$I$182</f>
        <v>90.9</v>
      </c>
      <c r="E183" s="15" t="n">
        <f aca="false">cleaned_data!$H$182</f>
        <v>21</v>
      </c>
      <c r="F183" s="15" t="n">
        <f aca="false">dummy_variables!$D$182</f>
        <v>1</v>
      </c>
      <c r="G183" s="15" t="n">
        <f aca="false">dummy_variables!$E$182</f>
        <v>0</v>
      </c>
      <c r="H183" s="15" t="n">
        <f aca="false">dummy_variables!$F$182</f>
        <v>0</v>
      </c>
      <c r="I183" s="15" t="n">
        <f aca="false">dummy_variables!$G$182</f>
        <v>0</v>
      </c>
      <c r="J183" s="15" t="n">
        <f aca="false">dummy_variables!$H$182</f>
        <v>0</v>
      </c>
      <c r="K183" s="15" t="n">
        <f aca="false">dummy_variables!$I$182</f>
        <v>1</v>
      </c>
    </row>
    <row r="184" customFormat="false" ht="15" hidden="false" customHeight="true" outlineLevel="0" collapsed="false">
      <c r="A184" s="15" t="n">
        <f aca="false">cleaned_data!$M$183</f>
        <v>781955.52</v>
      </c>
      <c r="B184" s="15" t="n">
        <f aca="false">cleaned_data!$F$183</f>
        <v>8870</v>
      </c>
      <c r="C184" s="15" t="n">
        <f aca="false">cleaned_data!$E$183</f>
        <v>40535.09</v>
      </c>
      <c r="D184" s="15" t="n">
        <f aca="false">cleaned_data!$I$183</f>
        <v>86.6</v>
      </c>
      <c r="E184" s="15" t="n">
        <f aca="false">cleaned_data!$H$183</f>
        <v>21</v>
      </c>
      <c r="F184" s="15" t="n">
        <f aca="false">dummy_variables!$D$183</f>
        <v>1</v>
      </c>
      <c r="G184" s="15" t="n">
        <f aca="false">dummy_variables!$E$183</f>
        <v>0</v>
      </c>
      <c r="H184" s="15" t="n">
        <f aca="false">dummy_variables!$F$183</f>
        <v>0</v>
      </c>
      <c r="I184" s="15" t="n">
        <f aca="false">dummy_variables!$G$183</f>
        <v>0</v>
      </c>
      <c r="J184" s="15" t="n">
        <f aca="false">dummy_variables!$H$183</f>
        <v>0</v>
      </c>
      <c r="K184" s="15" t="n">
        <f aca="false">dummy_variables!$I$183</f>
        <v>1</v>
      </c>
    </row>
    <row r="185" customFormat="false" ht="15" hidden="false" customHeight="true" outlineLevel="0" collapsed="false">
      <c r="A185" s="15" t="n">
        <f aca="false">cleaned_data!$M$184</f>
        <v>898031.04</v>
      </c>
      <c r="B185" s="15" t="n">
        <f aca="false">cleaned_data!$F$184</f>
        <v>9999</v>
      </c>
      <c r="C185" s="15" t="n">
        <f aca="false">cleaned_data!$E$184</f>
        <v>74881.56</v>
      </c>
      <c r="D185" s="15" t="n">
        <f aca="false">cleaned_data!$I$184</f>
        <v>89.6</v>
      </c>
      <c r="E185" s="15" t="n">
        <f aca="false">cleaned_data!$H$184</f>
        <v>20</v>
      </c>
      <c r="F185" s="15" t="n">
        <f aca="false">dummy_variables!$D$184</f>
        <v>1</v>
      </c>
      <c r="G185" s="15" t="n">
        <f aca="false">dummy_variables!$E$184</f>
        <v>0</v>
      </c>
      <c r="H185" s="15" t="n">
        <f aca="false">dummy_variables!$F$184</f>
        <v>0</v>
      </c>
      <c r="I185" s="15" t="n">
        <f aca="false">dummy_variables!$G$184</f>
        <v>0</v>
      </c>
      <c r="J185" s="15" t="n">
        <f aca="false">dummy_variables!$H$184</f>
        <v>0</v>
      </c>
      <c r="K185" s="15" t="n">
        <f aca="false">dummy_variables!$I$184</f>
        <v>1</v>
      </c>
    </row>
    <row r="186" customFormat="false" ht="15" hidden="false" customHeight="true" outlineLevel="0" collapsed="false">
      <c r="A186" s="15" t="n">
        <f aca="false">cleaned_data!$M$185</f>
        <v>855341.28</v>
      </c>
      <c r="B186" s="15" t="n">
        <f aca="false">cleaned_data!$F$185</f>
        <v>11154</v>
      </c>
      <c r="C186" s="15" t="n">
        <f aca="false">cleaned_data!$E$185</f>
        <v>68491.11</v>
      </c>
      <c r="D186" s="15" t="n">
        <f aca="false">cleaned_data!$I$185</f>
        <v>89.4</v>
      </c>
      <c r="E186" s="15" t="n">
        <f aca="false">cleaned_data!$H$185</f>
        <v>24</v>
      </c>
      <c r="F186" s="15" t="n">
        <f aca="false">dummy_variables!$D$185</f>
        <v>0</v>
      </c>
      <c r="G186" s="15" t="n">
        <f aca="false">dummy_variables!$E$185</f>
        <v>0</v>
      </c>
      <c r="H186" s="15" t="n">
        <f aca="false">dummy_variables!$F$185</f>
        <v>1</v>
      </c>
      <c r="I186" s="15" t="n">
        <f aca="false">dummy_variables!$G$185</f>
        <v>0</v>
      </c>
      <c r="J186" s="15" t="n">
        <f aca="false">dummy_variables!$H$185</f>
        <v>0</v>
      </c>
      <c r="K186" s="15" t="n">
        <f aca="false">dummy_variables!$I$185</f>
        <v>1</v>
      </c>
    </row>
    <row r="187" customFormat="false" ht="15" hidden="false" customHeight="true" outlineLevel="0" collapsed="false">
      <c r="A187" s="15" t="n">
        <f aca="false">cleaned_data!$M$186</f>
        <v>751393.88</v>
      </c>
      <c r="B187" s="15" t="n">
        <f aca="false">cleaned_data!$F$186</f>
        <v>9287</v>
      </c>
      <c r="C187" s="15" t="n">
        <f aca="false">cleaned_data!$E$186</f>
        <v>45209.25</v>
      </c>
      <c r="D187" s="15" t="n">
        <f aca="false">cleaned_data!$I$186</f>
        <v>86.4</v>
      </c>
      <c r="E187" s="15" t="n">
        <f aca="false">cleaned_data!$H$186</f>
        <v>22</v>
      </c>
      <c r="F187" s="15" t="n">
        <f aca="false">dummy_variables!$D$186</f>
        <v>0</v>
      </c>
      <c r="G187" s="15" t="n">
        <f aca="false">dummy_variables!$E$186</f>
        <v>0</v>
      </c>
      <c r="H187" s="15" t="n">
        <f aca="false">dummy_variables!$F$186</f>
        <v>1</v>
      </c>
      <c r="I187" s="15" t="n">
        <f aca="false">dummy_variables!$G$186</f>
        <v>0</v>
      </c>
      <c r="J187" s="15" t="n">
        <f aca="false">dummy_variables!$H$186</f>
        <v>0</v>
      </c>
      <c r="K187" s="15" t="n">
        <f aca="false">dummy_variables!$I$186</f>
        <v>1</v>
      </c>
    </row>
    <row r="188" customFormat="false" ht="15" hidden="false" customHeight="true" outlineLevel="0" collapsed="false">
      <c r="A188" s="15" t="n">
        <f aca="false">cleaned_data!$M$187</f>
        <v>761077.08</v>
      </c>
      <c r="B188" s="15" t="n">
        <f aca="false">cleaned_data!$F$187</f>
        <v>9812</v>
      </c>
      <c r="C188" s="15" t="n">
        <f aca="false">cleaned_data!$E$187</f>
        <v>63010.23</v>
      </c>
      <c r="D188" s="15" t="n">
        <f aca="false">cleaned_data!$I$187</f>
        <v>76.8</v>
      </c>
      <c r="E188" s="15" t="n">
        <f aca="false">cleaned_data!$H$187</f>
        <v>24</v>
      </c>
      <c r="F188" s="15" t="n">
        <f aca="false">dummy_variables!$D$187</f>
        <v>0</v>
      </c>
      <c r="G188" s="15" t="n">
        <f aca="false">dummy_variables!$E$187</f>
        <v>0</v>
      </c>
      <c r="H188" s="15" t="n">
        <f aca="false">dummy_variables!$F$187</f>
        <v>1</v>
      </c>
      <c r="I188" s="15" t="n">
        <f aca="false">dummy_variables!$G$187</f>
        <v>0</v>
      </c>
      <c r="J188" s="15" t="n">
        <f aca="false">dummy_variables!$H$187</f>
        <v>0</v>
      </c>
      <c r="K188" s="15" t="n">
        <f aca="false">dummy_variables!$I$187</f>
        <v>1</v>
      </c>
    </row>
    <row r="189" customFormat="false" ht="15" hidden="false" customHeight="true" outlineLevel="0" collapsed="false">
      <c r="A189" s="15" t="n">
        <f aca="false">cleaned_data!$M$188</f>
        <v>819660.59</v>
      </c>
      <c r="B189" s="15" t="n">
        <f aca="false">cleaned_data!$F$188</f>
        <v>10741</v>
      </c>
      <c r="C189" s="15" t="n">
        <f aca="false">cleaned_data!$E$188</f>
        <v>57948.88</v>
      </c>
      <c r="D189" s="15" t="n">
        <f aca="false">cleaned_data!$I$188</f>
        <v>90.1</v>
      </c>
      <c r="E189" s="15" t="n">
        <f aca="false">cleaned_data!$H$188</f>
        <v>25</v>
      </c>
      <c r="F189" s="15" t="n">
        <f aca="false">dummy_variables!$D$188</f>
        <v>0</v>
      </c>
      <c r="G189" s="15" t="n">
        <f aca="false">dummy_variables!$E$188</f>
        <v>0</v>
      </c>
      <c r="H189" s="15" t="n">
        <f aca="false">dummy_variables!$F$188</f>
        <v>1</v>
      </c>
      <c r="I189" s="15" t="n">
        <f aca="false">dummy_variables!$G$188</f>
        <v>0</v>
      </c>
      <c r="J189" s="15" t="n">
        <f aca="false">dummy_variables!$H$188</f>
        <v>0</v>
      </c>
      <c r="K189" s="15" t="n">
        <f aca="false">dummy_variables!$I$188</f>
        <v>1</v>
      </c>
    </row>
    <row r="190" customFormat="false" ht="15" hidden="false" customHeight="true" outlineLevel="0" collapsed="false">
      <c r="A190" s="15" t="n">
        <f aca="false">cleaned_data!$M$189</f>
        <v>681855.56</v>
      </c>
      <c r="B190" s="15" t="n">
        <f aca="false">cleaned_data!$F$189</f>
        <v>6084</v>
      </c>
      <c r="C190" s="15" t="n">
        <f aca="false">cleaned_data!$E$189</f>
        <v>71941.62</v>
      </c>
      <c r="D190" s="15" t="n">
        <f aca="false">cleaned_data!$I$189</f>
        <v>93.7</v>
      </c>
      <c r="E190" s="15" t="n">
        <f aca="false">cleaned_data!$H$189</f>
        <v>13</v>
      </c>
      <c r="F190" s="15" t="n">
        <f aca="false">dummy_variables!$D$189</f>
        <v>0</v>
      </c>
      <c r="G190" s="15" t="n">
        <f aca="false">dummy_variables!$E$189</f>
        <v>0</v>
      </c>
      <c r="H190" s="15" t="n">
        <f aca="false">dummy_variables!$F$189</f>
        <v>0</v>
      </c>
      <c r="I190" s="15" t="n">
        <f aca="false">dummy_variables!$G$189</f>
        <v>1</v>
      </c>
      <c r="J190" s="15" t="n">
        <f aca="false">dummy_variables!$H$189</f>
        <v>0</v>
      </c>
      <c r="K190" s="15" t="n">
        <f aca="false">dummy_variables!$I$189</f>
        <v>0</v>
      </c>
    </row>
    <row r="191" customFormat="false" ht="15" hidden="false" customHeight="true" outlineLevel="0" collapsed="false">
      <c r="A191" s="15" t="n">
        <f aca="false">cleaned_data!$M$190</f>
        <v>678311.17</v>
      </c>
      <c r="B191" s="15" t="n">
        <f aca="false">cleaned_data!$F$190</f>
        <v>5252</v>
      </c>
      <c r="C191" s="15" t="n">
        <f aca="false">cleaned_data!$E$190</f>
        <v>57147.88</v>
      </c>
      <c r="D191" s="15" t="n">
        <f aca="false">cleaned_data!$I$190</f>
        <v>95.5</v>
      </c>
      <c r="E191" s="15" t="n">
        <f aca="false">cleaned_data!$H$190</f>
        <v>15</v>
      </c>
      <c r="F191" s="15" t="n">
        <f aca="false">dummy_variables!$D$190</f>
        <v>0</v>
      </c>
      <c r="G191" s="15" t="n">
        <f aca="false">dummy_variables!$E$190</f>
        <v>0</v>
      </c>
      <c r="H191" s="15" t="n">
        <f aca="false">dummy_variables!$F$190</f>
        <v>0</v>
      </c>
      <c r="I191" s="15" t="n">
        <f aca="false">dummy_variables!$G$190</f>
        <v>1</v>
      </c>
      <c r="J191" s="15" t="n">
        <f aca="false">dummy_variables!$H$190</f>
        <v>0</v>
      </c>
      <c r="K191" s="15" t="n">
        <f aca="false">dummy_variables!$I$190</f>
        <v>0</v>
      </c>
    </row>
    <row r="192" customFormat="false" ht="15" hidden="false" customHeight="true" outlineLevel="0" collapsed="false">
      <c r="A192" s="15" t="n">
        <f aca="false">cleaned_data!$M$191</f>
        <v>765906.95</v>
      </c>
      <c r="B192" s="15" t="n">
        <f aca="false">cleaned_data!$F$191</f>
        <v>6516</v>
      </c>
      <c r="C192" s="15" t="n">
        <f aca="false">cleaned_data!$E$191</f>
        <v>48031.74</v>
      </c>
      <c r="D192" s="15" t="n">
        <f aca="false">cleaned_data!$I$191</f>
        <v>99</v>
      </c>
      <c r="E192" s="15" t="n">
        <f aca="false">cleaned_data!$H$191</f>
        <v>14</v>
      </c>
      <c r="F192" s="15" t="n">
        <f aca="false">dummy_variables!$D$191</f>
        <v>0</v>
      </c>
      <c r="G192" s="15" t="n">
        <f aca="false">dummy_variables!$E$191</f>
        <v>0</v>
      </c>
      <c r="H192" s="15" t="n">
        <f aca="false">dummy_variables!$F$191</f>
        <v>0</v>
      </c>
      <c r="I192" s="15" t="n">
        <f aca="false">dummy_variables!$G$191</f>
        <v>1</v>
      </c>
      <c r="J192" s="15" t="n">
        <f aca="false">dummy_variables!$H$191</f>
        <v>0</v>
      </c>
      <c r="K192" s="15" t="n">
        <f aca="false">dummy_variables!$I$191</f>
        <v>0</v>
      </c>
    </row>
    <row r="193" customFormat="false" ht="15" hidden="false" customHeight="true" outlineLevel="0" collapsed="false">
      <c r="A193" s="15" t="n">
        <f aca="false">cleaned_data!$M$192</f>
        <v>712546.38</v>
      </c>
      <c r="B193" s="15" t="n">
        <f aca="false">cleaned_data!$F$192</f>
        <v>7932</v>
      </c>
      <c r="C193" s="15" t="n">
        <f aca="false">cleaned_data!$E$192</f>
        <v>72784.8</v>
      </c>
      <c r="D193" s="15" t="n">
        <f aca="false">cleaned_data!$I$192</f>
        <v>74.9</v>
      </c>
      <c r="E193" s="15" t="n">
        <f aca="false">cleaned_data!$H$192</f>
        <v>20</v>
      </c>
      <c r="F193" s="15" t="n">
        <f aca="false">dummy_variables!$D$192</f>
        <v>0</v>
      </c>
      <c r="G193" s="15" t="n">
        <f aca="false">dummy_variables!$E$192</f>
        <v>0</v>
      </c>
      <c r="H193" s="15" t="n">
        <f aca="false">dummy_variables!$F$192</f>
        <v>0</v>
      </c>
      <c r="I193" s="15" t="n">
        <f aca="false">dummy_variables!$G$192</f>
        <v>1</v>
      </c>
      <c r="J193" s="15" t="n">
        <f aca="false">dummy_variables!$H$192</f>
        <v>0</v>
      </c>
      <c r="K193" s="15" t="n">
        <f aca="false">dummy_variables!$I$192</f>
        <v>0</v>
      </c>
    </row>
    <row r="194" customFormat="false" ht="15" hidden="false" customHeight="true" outlineLevel="0" collapsed="false">
      <c r="A194" s="15" t="n">
        <f aca="false">cleaned_data!$M$193</f>
        <v>625993.83</v>
      </c>
      <c r="B194" s="15" t="n">
        <f aca="false">cleaned_data!$F$193</f>
        <v>3506</v>
      </c>
      <c r="C194" s="15" t="n">
        <f aca="false">cleaned_data!$E$193</f>
        <v>71641.9</v>
      </c>
      <c r="D194" s="15" t="n">
        <f aca="false">cleaned_data!$I$193</f>
        <v>86.4</v>
      </c>
      <c r="E194" s="15" t="n">
        <f aca="false">cleaned_data!$H$193</f>
        <v>11</v>
      </c>
      <c r="F194" s="15" t="n">
        <f aca="false">dummy_variables!$D$193</f>
        <v>0</v>
      </c>
      <c r="G194" s="15" t="n">
        <f aca="false">dummy_variables!$E$193</f>
        <v>0</v>
      </c>
      <c r="H194" s="15" t="n">
        <f aca="false">dummy_variables!$F$193</f>
        <v>0</v>
      </c>
      <c r="I194" s="15" t="n">
        <f aca="false">dummy_variables!$G$193</f>
        <v>0</v>
      </c>
      <c r="J194" s="15" t="n">
        <f aca="false">dummy_variables!$H$193</f>
        <v>0</v>
      </c>
      <c r="K194" s="15" t="n">
        <f aca="false">dummy_variables!$I$193</f>
        <v>0</v>
      </c>
    </row>
    <row r="195" customFormat="false" ht="15" hidden="false" customHeight="true" outlineLevel="0" collapsed="false">
      <c r="A195" s="15" t="n">
        <f aca="false">cleaned_data!$M$194</f>
        <v>550962.93</v>
      </c>
      <c r="B195" s="15" t="n">
        <f aca="false">cleaned_data!$F$194</f>
        <v>2312</v>
      </c>
      <c r="C195" s="15" t="n">
        <f aca="false">cleaned_data!$E$194</f>
        <v>55788.61</v>
      </c>
      <c r="D195" s="15" t="n">
        <f aca="false">cleaned_data!$I$194</f>
        <v>91.3</v>
      </c>
      <c r="E195" s="15" t="n">
        <f aca="false">cleaned_data!$H$194</f>
        <v>10</v>
      </c>
      <c r="F195" s="15" t="n">
        <f aca="false">dummy_variables!$D$194</f>
        <v>0</v>
      </c>
      <c r="G195" s="15" t="n">
        <f aca="false">dummy_variables!$E$194</f>
        <v>0</v>
      </c>
      <c r="H195" s="15" t="n">
        <f aca="false">dummy_variables!$F$194</f>
        <v>0</v>
      </c>
      <c r="I195" s="15" t="n">
        <f aca="false">dummy_variables!$G$194</f>
        <v>0</v>
      </c>
      <c r="J195" s="15" t="n">
        <f aca="false">dummy_variables!$H$194</f>
        <v>0</v>
      </c>
      <c r="K195" s="15" t="n">
        <f aca="false">dummy_variables!$I$194</f>
        <v>0</v>
      </c>
    </row>
    <row r="196" customFormat="false" ht="15" hidden="false" customHeight="true" outlineLevel="0" collapsed="false">
      <c r="A196" s="15" t="n">
        <f aca="false">cleaned_data!$M$195</f>
        <v>443275.59</v>
      </c>
      <c r="B196" s="15" t="n">
        <f aca="false">cleaned_data!$F$195</f>
        <v>1268</v>
      </c>
      <c r="C196" s="15" t="n">
        <f aca="false">cleaned_data!$E$195</f>
        <v>37705.88</v>
      </c>
      <c r="D196" s="15" t="n">
        <f aca="false">cleaned_data!$I$195</f>
        <v>84.1</v>
      </c>
      <c r="E196" s="15" t="n">
        <f aca="false">cleaned_data!$H$195</f>
        <v>9</v>
      </c>
      <c r="F196" s="15" t="n">
        <f aca="false">dummy_variables!$D$195</f>
        <v>0</v>
      </c>
      <c r="G196" s="15" t="n">
        <f aca="false">dummy_variables!$E$195</f>
        <v>0</v>
      </c>
      <c r="H196" s="15" t="n">
        <f aca="false">dummy_variables!$F$195</f>
        <v>0</v>
      </c>
      <c r="I196" s="15" t="n">
        <f aca="false">dummy_variables!$G$195</f>
        <v>0</v>
      </c>
      <c r="J196" s="15" t="n">
        <f aca="false">dummy_variables!$H$195</f>
        <v>0</v>
      </c>
      <c r="K196" s="15" t="n">
        <f aca="false">dummy_variables!$I$195</f>
        <v>0</v>
      </c>
    </row>
    <row r="197" customFormat="false" ht="15" hidden="false" customHeight="true" outlineLevel="0" collapsed="false">
      <c r="A197" s="15" t="n">
        <f aca="false">cleaned_data!$M$196</f>
        <v>554012.07</v>
      </c>
      <c r="B197" s="15" t="n">
        <f aca="false">cleaned_data!$F$196</f>
        <v>4423</v>
      </c>
      <c r="C197" s="15" t="n">
        <f aca="false">cleaned_data!$E$196</f>
        <v>54966.18</v>
      </c>
      <c r="D197" s="15" t="n">
        <f aca="false">cleaned_data!$I$196</f>
        <v>88.7</v>
      </c>
      <c r="E197" s="15" t="n">
        <f aca="false">cleaned_data!$H$196</f>
        <v>13</v>
      </c>
      <c r="F197" s="15" t="n">
        <f aca="false">dummy_variables!$D$196</f>
        <v>0</v>
      </c>
      <c r="G197" s="15" t="n">
        <f aca="false">dummy_variables!$E$196</f>
        <v>0</v>
      </c>
      <c r="H197" s="15" t="n">
        <f aca="false">dummy_variables!$F$196</f>
        <v>0</v>
      </c>
      <c r="I197" s="15" t="n">
        <f aca="false">dummy_variables!$G$196</f>
        <v>0</v>
      </c>
      <c r="J197" s="15" t="n">
        <f aca="false">dummy_variables!$H$196</f>
        <v>0</v>
      </c>
      <c r="K197" s="15" t="n">
        <f aca="false">dummy_variables!$I$196</f>
        <v>0</v>
      </c>
    </row>
    <row r="198" customFormat="false" ht="15" hidden="false" customHeight="true" outlineLevel="0" collapsed="false">
      <c r="A198" s="15" t="n">
        <f aca="false">cleaned_data!$M$197</f>
        <v>643428.85</v>
      </c>
      <c r="B198" s="15" t="n">
        <f aca="false">cleaned_data!$F$197</f>
        <v>6177</v>
      </c>
      <c r="C198" s="15" t="n">
        <f aca="false">cleaned_data!$E$197</f>
        <v>81796.74</v>
      </c>
      <c r="D198" s="15" t="n">
        <f aca="false">cleaned_data!$I$197</f>
        <v>87.9</v>
      </c>
      <c r="E198" s="15" t="n">
        <f aca="false">cleaned_data!$H$197</f>
        <v>14</v>
      </c>
      <c r="F198" s="15" t="n">
        <f aca="false">dummy_variables!$D$197</f>
        <v>0</v>
      </c>
      <c r="G198" s="15" t="n">
        <f aca="false">dummy_variables!$E$197</f>
        <v>0</v>
      </c>
      <c r="H198" s="15" t="n">
        <f aca="false">dummy_variables!$F$197</f>
        <v>1</v>
      </c>
      <c r="I198" s="15" t="n">
        <f aca="false">dummy_variables!$G$197</f>
        <v>0</v>
      </c>
      <c r="J198" s="15" t="n">
        <f aca="false">dummy_variables!$H$197</f>
        <v>0</v>
      </c>
      <c r="K198" s="15" t="n">
        <f aca="false">dummy_variables!$I$197</f>
        <v>1</v>
      </c>
    </row>
    <row r="199" customFormat="false" ht="15" hidden="false" customHeight="true" outlineLevel="0" collapsed="false">
      <c r="A199" s="15" t="n">
        <f aca="false">cleaned_data!$M$198</f>
        <v>611924.27</v>
      </c>
      <c r="B199" s="15" t="n">
        <f aca="false">cleaned_data!$F$198</f>
        <v>5150</v>
      </c>
      <c r="C199" s="15" t="n">
        <f aca="false">cleaned_data!$E$198</f>
        <v>51133.43</v>
      </c>
      <c r="D199" s="15" t="n">
        <f aca="false">cleaned_data!$I$198</f>
        <v>88.5</v>
      </c>
      <c r="E199" s="15" t="n">
        <f aca="false">cleaned_data!$H$198</f>
        <v>12</v>
      </c>
      <c r="F199" s="15" t="n">
        <f aca="false">dummy_variables!$D$198</f>
        <v>0</v>
      </c>
      <c r="G199" s="15" t="n">
        <f aca="false">dummy_variables!$E$198</f>
        <v>0</v>
      </c>
      <c r="H199" s="15" t="n">
        <f aca="false">dummy_variables!$F$198</f>
        <v>1</v>
      </c>
      <c r="I199" s="15" t="n">
        <f aca="false">dummy_variables!$G$198</f>
        <v>0</v>
      </c>
      <c r="J199" s="15" t="n">
        <f aca="false">dummy_variables!$H$198</f>
        <v>0</v>
      </c>
      <c r="K199" s="15" t="n">
        <f aca="false">dummy_variables!$I$198</f>
        <v>1</v>
      </c>
    </row>
    <row r="200" customFormat="false" ht="15" hidden="false" customHeight="true" outlineLevel="0" collapsed="false">
      <c r="A200" s="15" t="n">
        <f aca="false">cleaned_data!$M$199</f>
        <v>559422.02</v>
      </c>
      <c r="B200" s="15" t="n">
        <f aca="false">cleaned_data!$F$199</f>
        <v>3783</v>
      </c>
      <c r="C200" s="15" t="n">
        <f aca="false">cleaned_data!$E$199</f>
        <v>40220.18</v>
      </c>
      <c r="D200" s="15" t="n">
        <f aca="false">cleaned_data!$I$199</f>
        <v>86.6</v>
      </c>
      <c r="E200" s="15" t="n">
        <f aca="false">cleaned_data!$H$199</f>
        <v>14</v>
      </c>
      <c r="F200" s="15" t="n">
        <f aca="false">dummy_variables!$D$199</f>
        <v>0</v>
      </c>
      <c r="G200" s="15" t="n">
        <f aca="false">dummy_variables!$E$199</f>
        <v>0</v>
      </c>
      <c r="H200" s="15" t="n">
        <f aca="false">dummy_variables!$F$199</f>
        <v>1</v>
      </c>
      <c r="I200" s="15" t="n">
        <f aca="false">dummy_variables!$G$199</f>
        <v>0</v>
      </c>
      <c r="J200" s="15" t="n">
        <f aca="false">dummy_variables!$H$199</f>
        <v>0</v>
      </c>
      <c r="K200" s="15" t="n">
        <f aca="false">dummy_variables!$I$199</f>
        <v>1</v>
      </c>
    </row>
    <row r="201" customFormat="false" ht="15" hidden="false" customHeight="true" outlineLevel="0" collapsed="false">
      <c r="A201" s="15" t="n">
        <f aca="false">cleaned_data!$M$200</f>
        <v>449465.06</v>
      </c>
      <c r="B201" s="15" t="n">
        <f aca="false">cleaned_data!$F$200</f>
        <v>3135</v>
      </c>
      <c r="C201" s="15" t="n">
        <f aca="false">cleaned_data!$E$200</f>
        <v>41657.64</v>
      </c>
      <c r="D201" s="15" t="n">
        <f aca="false">cleaned_data!$I$200</f>
        <v>85.4</v>
      </c>
      <c r="E201" s="15" t="n">
        <f aca="false">cleaned_data!$H$200</f>
        <v>7</v>
      </c>
      <c r="F201" s="15" t="n">
        <f aca="false">dummy_variables!$D$200</f>
        <v>0</v>
      </c>
      <c r="G201" s="15" t="n">
        <f aca="false">dummy_variables!$E$200</f>
        <v>0</v>
      </c>
      <c r="H201" s="15" t="n">
        <f aca="false">dummy_variables!$F$200</f>
        <v>1</v>
      </c>
      <c r="I201" s="15" t="n">
        <f aca="false">dummy_variables!$G$200</f>
        <v>0</v>
      </c>
      <c r="J201" s="15" t="n">
        <f aca="false">dummy_variables!$H$200</f>
        <v>0</v>
      </c>
      <c r="K201" s="15" t="n">
        <f aca="false">dummy_variables!$I$200</f>
        <v>1</v>
      </c>
    </row>
    <row r="202" customFormat="false" ht="15" hidden="false" customHeight="true" outlineLevel="0" collapsed="false">
      <c r="A202" s="15" t="n">
        <f aca="false">cleaned_data!$M$201</f>
        <v>691447.43</v>
      </c>
      <c r="B202" s="15" t="n">
        <f aca="false">cleaned_data!$F$201</f>
        <v>4970</v>
      </c>
      <c r="C202" s="15" t="n">
        <f aca="false">cleaned_data!$E$201</f>
        <v>71851.45</v>
      </c>
      <c r="D202" s="15" t="n">
        <f aca="false">cleaned_data!$I$201</f>
        <v>89.6</v>
      </c>
      <c r="E202" s="15" t="n">
        <f aca="false">cleaned_data!$H$201</f>
        <v>11</v>
      </c>
      <c r="F202" s="15" t="n">
        <f aca="false">dummy_variables!$D$201</f>
        <v>0</v>
      </c>
      <c r="G202" s="15" t="n">
        <f aca="false">dummy_variables!$E$201</f>
        <v>0</v>
      </c>
      <c r="H202" s="15" t="n">
        <f aca="false">dummy_variables!$F$201</f>
        <v>1</v>
      </c>
      <c r="I202" s="15" t="n">
        <f aca="false">dummy_variables!$G$201</f>
        <v>1</v>
      </c>
      <c r="J202" s="15" t="n">
        <f aca="false">dummy_variables!$H$201</f>
        <v>0</v>
      </c>
      <c r="K202" s="15" t="n">
        <f aca="false">dummy_variables!$I$201</f>
        <v>0</v>
      </c>
    </row>
    <row r="203" customFormat="false" ht="15" hidden="false" customHeight="true" outlineLevel="0" collapsed="false">
      <c r="A203" s="15" t="n">
        <f aca="false">cleaned_data!$M$202</f>
        <v>574066.61</v>
      </c>
      <c r="B203" s="15" t="n">
        <f aca="false">cleaned_data!$F$202</f>
        <v>4366</v>
      </c>
      <c r="C203" s="15" t="n">
        <f aca="false">cleaned_data!$E$202</f>
        <v>54002.83</v>
      </c>
      <c r="D203" s="15" t="n">
        <f aca="false">cleaned_data!$I$202</f>
        <v>90.6</v>
      </c>
      <c r="E203" s="15" t="n">
        <f aca="false">cleaned_data!$H$202</f>
        <v>15</v>
      </c>
      <c r="F203" s="15" t="n">
        <f aca="false">dummy_variables!$D$202</f>
        <v>0</v>
      </c>
      <c r="G203" s="15" t="n">
        <f aca="false">dummy_variables!$E$202</f>
        <v>0</v>
      </c>
      <c r="H203" s="15" t="n">
        <f aca="false">dummy_variables!$F$202</f>
        <v>1</v>
      </c>
      <c r="I203" s="15" t="n">
        <f aca="false">dummy_variables!$G$202</f>
        <v>1</v>
      </c>
      <c r="J203" s="15" t="n">
        <f aca="false">dummy_variables!$H$202</f>
        <v>0</v>
      </c>
      <c r="K203" s="15" t="n">
        <f aca="false">dummy_variables!$I$202</f>
        <v>0</v>
      </c>
    </row>
    <row r="204" customFormat="false" ht="15" hidden="false" customHeight="true" outlineLevel="0" collapsed="false">
      <c r="A204" s="15" t="n">
        <f aca="false">cleaned_data!$M$203</f>
        <v>578949.84</v>
      </c>
      <c r="B204" s="15" t="n">
        <f aca="false">cleaned_data!$F$203</f>
        <v>5012</v>
      </c>
      <c r="C204" s="15" t="n">
        <f aca="false">cleaned_data!$E$203</f>
        <v>54479.33</v>
      </c>
      <c r="D204" s="15" t="n">
        <f aca="false">cleaned_data!$I$203</f>
        <v>86</v>
      </c>
      <c r="E204" s="15" t="n">
        <f aca="false">cleaned_data!$H$203</f>
        <v>13</v>
      </c>
      <c r="F204" s="15" t="n">
        <f aca="false">dummy_variables!$D$203</f>
        <v>0</v>
      </c>
      <c r="G204" s="15" t="n">
        <f aca="false">dummy_variables!$E$203</f>
        <v>0</v>
      </c>
      <c r="H204" s="15" t="n">
        <f aca="false">dummy_variables!$F$203</f>
        <v>1</v>
      </c>
      <c r="I204" s="15" t="n">
        <f aca="false">dummy_variables!$G$203</f>
        <v>1</v>
      </c>
      <c r="J204" s="15" t="n">
        <f aca="false">dummy_variables!$H$203</f>
        <v>0</v>
      </c>
      <c r="K204" s="15" t="n">
        <f aca="false">dummy_variables!$I$203</f>
        <v>0</v>
      </c>
    </row>
    <row r="205" customFormat="false" ht="15" hidden="false" customHeight="true" outlineLevel="0" collapsed="false">
      <c r="A205" s="15" t="n">
        <f aca="false">cleaned_data!$M$204</f>
        <v>735786.64</v>
      </c>
      <c r="B205" s="15" t="n">
        <f aca="false">cleaned_data!$F$204</f>
        <v>5575</v>
      </c>
      <c r="C205" s="15" t="n">
        <f aca="false">cleaned_data!$E$204</f>
        <v>61391.8</v>
      </c>
      <c r="D205" s="15" t="n">
        <f aca="false">cleaned_data!$I$204</f>
        <v>90</v>
      </c>
      <c r="E205" s="15" t="n">
        <f aca="false">cleaned_data!$H$204</f>
        <v>18</v>
      </c>
      <c r="F205" s="15" t="n">
        <f aca="false">dummy_variables!$D$204</f>
        <v>0</v>
      </c>
      <c r="G205" s="15" t="n">
        <f aca="false">dummy_variables!$E$204</f>
        <v>0</v>
      </c>
      <c r="H205" s="15" t="n">
        <f aca="false">dummy_variables!$F$204</f>
        <v>1</v>
      </c>
      <c r="I205" s="15" t="n">
        <f aca="false">dummy_variables!$G$204</f>
        <v>1</v>
      </c>
      <c r="J205" s="15" t="n">
        <f aca="false">dummy_variables!$H$204</f>
        <v>0</v>
      </c>
      <c r="K205" s="15" t="n">
        <f aca="false">dummy_variables!$I$204</f>
        <v>0</v>
      </c>
    </row>
    <row r="206" customFormat="false" ht="15" hidden="false" customHeight="true" outlineLevel="0" collapsed="false">
      <c r="A206" s="15" t="n">
        <f aca="false">cleaned_data!$M$205</f>
        <v>598904.9</v>
      </c>
      <c r="B206" s="15" t="n">
        <f aca="false">cleaned_data!$F$205</f>
        <v>5955</v>
      </c>
      <c r="C206" s="15" t="n">
        <f aca="false">cleaned_data!$E$205</f>
        <v>22312.93</v>
      </c>
      <c r="D206" s="15" t="n">
        <f aca="false">cleaned_data!$I$205</f>
        <v>84.2</v>
      </c>
      <c r="E206" s="15" t="n">
        <f aca="false">cleaned_data!$H$205</f>
        <v>13</v>
      </c>
      <c r="F206" s="15" t="n">
        <f aca="false">dummy_variables!$D$205</f>
        <v>1</v>
      </c>
      <c r="G206" s="15" t="n">
        <f aca="false">dummy_variables!$E$205</f>
        <v>0</v>
      </c>
      <c r="H206" s="15" t="n">
        <f aca="false">dummy_variables!$F$205</f>
        <v>0</v>
      </c>
      <c r="I206" s="15" t="n">
        <f aca="false">dummy_variables!$G$205</f>
        <v>0</v>
      </c>
      <c r="J206" s="15" t="n">
        <f aca="false">dummy_variables!$H$205</f>
        <v>0</v>
      </c>
      <c r="K206" s="15" t="n">
        <f aca="false">dummy_variables!$I$205</f>
        <v>0</v>
      </c>
    </row>
    <row r="207" customFormat="false" ht="15" hidden="false" customHeight="true" outlineLevel="0" collapsed="false">
      <c r="A207" s="15" t="n">
        <f aca="false">cleaned_data!$M$206</f>
        <v>787715.51</v>
      </c>
      <c r="B207" s="15" t="n">
        <f aca="false">cleaned_data!$F$206</f>
        <v>6389</v>
      </c>
      <c r="C207" s="15" t="n">
        <f aca="false">cleaned_data!$E$206</f>
        <v>78111.97</v>
      </c>
      <c r="D207" s="15" t="n">
        <f aca="false">cleaned_data!$I$206</f>
        <v>83.9</v>
      </c>
      <c r="E207" s="15" t="n">
        <f aca="false">cleaned_data!$H$206</f>
        <v>13</v>
      </c>
      <c r="F207" s="15" t="n">
        <f aca="false">dummy_variables!$D$206</f>
        <v>1</v>
      </c>
      <c r="G207" s="15" t="n">
        <f aca="false">dummy_variables!$E$206</f>
        <v>0</v>
      </c>
      <c r="H207" s="15" t="n">
        <f aca="false">dummy_variables!$F$206</f>
        <v>0</v>
      </c>
      <c r="I207" s="15" t="n">
        <f aca="false">dummy_variables!$G$206</f>
        <v>0</v>
      </c>
      <c r="J207" s="15" t="n">
        <f aca="false">dummy_variables!$H$206</f>
        <v>0</v>
      </c>
      <c r="K207" s="15" t="n">
        <f aca="false">dummy_variables!$I$206</f>
        <v>0</v>
      </c>
    </row>
    <row r="208" customFormat="false" ht="15" hidden="false" customHeight="true" outlineLevel="0" collapsed="false">
      <c r="A208" s="15" t="n">
        <f aca="false">cleaned_data!$M$207</f>
        <v>607084.92</v>
      </c>
      <c r="B208" s="15" t="n">
        <f aca="false">cleaned_data!$F$207</f>
        <v>6896</v>
      </c>
      <c r="C208" s="15" t="n">
        <f aca="false">cleaned_data!$E$207</f>
        <v>35203.23</v>
      </c>
      <c r="D208" s="15" t="n">
        <f aca="false">cleaned_data!$I$207</f>
        <v>80.8</v>
      </c>
      <c r="E208" s="15" t="n">
        <f aca="false">cleaned_data!$H$207</f>
        <v>14</v>
      </c>
      <c r="F208" s="15" t="n">
        <f aca="false">dummy_variables!$D$207</f>
        <v>1</v>
      </c>
      <c r="G208" s="15" t="n">
        <f aca="false">dummy_variables!$E$207</f>
        <v>0</v>
      </c>
      <c r="H208" s="15" t="n">
        <f aca="false">dummy_variables!$F$207</f>
        <v>0</v>
      </c>
      <c r="I208" s="15" t="n">
        <f aca="false">dummy_variables!$G$207</f>
        <v>0</v>
      </c>
      <c r="J208" s="15" t="n">
        <f aca="false">dummy_variables!$H$207</f>
        <v>0</v>
      </c>
      <c r="K208" s="15" t="n">
        <f aca="false">dummy_variables!$I$207</f>
        <v>0</v>
      </c>
    </row>
    <row r="209" customFormat="false" ht="15" hidden="false" customHeight="true" outlineLevel="0" collapsed="false">
      <c r="A209" s="15" t="n">
        <f aca="false">cleaned_data!$M$208</f>
        <v>650795.49</v>
      </c>
      <c r="B209" s="15" t="n">
        <f aca="false">cleaned_data!$F$208</f>
        <v>6015</v>
      </c>
      <c r="C209" s="15" t="n">
        <f aca="false">cleaned_data!$E$208</f>
        <v>64104.28</v>
      </c>
      <c r="D209" s="15" t="n">
        <f aca="false">cleaned_data!$I$208</f>
        <v>88.7</v>
      </c>
      <c r="E209" s="15" t="n">
        <f aca="false">cleaned_data!$H$208</f>
        <v>15</v>
      </c>
      <c r="F209" s="15" t="n">
        <f aca="false">dummy_variables!$D$208</f>
        <v>1</v>
      </c>
      <c r="G209" s="15" t="n">
        <f aca="false">dummy_variables!$E$208</f>
        <v>0</v>
      </c>
      <c r="H209" s="15" t="n">
        <f aca="false">dummy_variables!$F$208</f>
        <v>0</v>
      </c>
      <c r="I209" s="15" t="n">
        <f aca="false">dummy_variables!$G$208</f>
        <v>0</v>
      </c>
      <c r="J209" s="15" t="n">
        <f aca="false">dummy_variables!$H$208</f>
        <v>0</v>
      </c>
      <c r="K209" s="15" t="n">
        <f aca="false">dummy_variables!$I$208</f>
        <v>0</v>
      </c>
    </row>
    <row r="210" customFormat="false" ht="15" hidden="false" customHeight="true" outlineLevel="0" collapsed="false">
      <c r="A210" s="15" t="n">
        <f aca="false">cleaned_data!$M$209</f>
        <v>825060.52</v>
      </c>
      <c r="B210" s="15" t="n">
        <f aca="false">cleaned_data!$F$209</f>
        <v>9476</v>
      </c>
      <c r="C210" s="15" t="n">
        <f aca="false">cleaned_data!$E$209</f>
        <v>92090.14</v>
      </c>
      <c r="D210" s="15" t="n">
        <f aca="false">cleaned_data!$I$209</f>
        <v>94.3</v>
      </c>
      <c r="E210" s="15" t="n">
        <f aca="false">cleaned_data!$H$209</f>
        <v>24</v>
      </c>
      <c r="F210" s="15" t="n">
        <f aca="false">dummy_variables!$D$209</f>
        <v>0</v>
      </c>
      <c r="G210" s="15" t="n">
        <f aca="false">dummy_variables!$E$209</f>
        <v>1</v>
      </c>
      <c r="H210" s="15" t="n">
        <f aca="false">dummy_variables!$F$209</f>
        <v>0</v>
      </c>
      <c r="I210" s="15" t="n">
        <f aca="false">dummy_variables!$G$209</f>
        <v>0</v>
      </c>
      <c r="J210" s="15" t="n">
        <f aca="false">dummy_variables!$H$209</f>
        <v>0</v>
      </c>
      <c r="K210" s="15" t="n">
        <f aca="false">dummy_variables!$I$209</f>
        <v>0</v>
      </c>
    </row>
    <row r="211" customFormat="false" ht="15" hidden="false" customHeight="true" outlineLevel="0" collapsed="false">
      <c r="A211" s="15" t="n">
        <f aca="false">cleaned_data!$M$210</f>
        <v>795464.47</v>
      </c>
      <c r="B211" s="15" t="n">
        <f aca="false">cleaned_data!$F$210</f>
        <v>7875</v>
      </c>
      <c r="C211" s="15" t="n">
        <f aca="false">cleaned_data!$E$210</f>
        <v>54300.87</v>
      </c>
      <c r="D211" s="15" t="n">
        <f aca="false">cleaned_data!$I$210</f>
        <v>94.1</v>
      </c>
      <c r="E211" s="15" t="n">
        <f aca="false">cleaned_data!$H$210</f>
        <v>19</v>
      </c>
      <c r="F211" s="15" t="n">
        <f aca="false">dummy_variables!$D$210</f>
        <v>0</v>
      </c>
      <c r="G211" s="15" t="n">
        <f aca="false">dummy_variables!$E$210</f>
        <v>1</v>
      </c>
      <c r="H211" s="15" t="n">
        <f aca="false">dummy_variables!$F$210</f>
        <v>0</v>
      </c>
      <c r="I211" s="15" t="n">
        <f aca="false">dummy_variables!$G$210</f>
        <v>0</v>
      </c>
      <c r="J211" s="15" t="n">
        <f aca="false">dummy_variables!$H$210</f>
        <v>0</v>
      </c>
      <c r="K211" s="15" t="n">
        <f aca="false">dummy_variables!$I$210</f>
        <v>0</v>
      </c>
    </row>
    <row r="212" customFormat="false" ht="15" hidden="false" customHeight="true" outlineLevel="0" collapsed="false">
      <c r="A212" s="15" t="n">
        <f aca="false">cleaned_data!$M$211</f>
        <v>671868.59</v>
      </c>
      <c r="B212" s="15" t="n">
        <f aca="false">cleaned_data!$F$211</f>
        <v>9283</v>
      </c>
      <c r="C212" s="15" t="n">
        <f aca="false">cleaned_data!$E$211</f>
        <v>37983.35</v>
      </c>
      <c r="D212" s="15" t="n">
        <f aca="false">cleaned_data!$I$211</f>
        <v>83.2</v>
      </c>
      <c r="E212" s="15" t="n">
        <f aca="false">cleaned_data!$H$211</f>
        <v>19</v>
      </c>
      <c r="F212" s="15" t="n">
        <f aca="false">dummy_variables!$D$211</f>
        <v>0</v>
      </c>
      <c r="G212" s="15" t="n">
        <f aca="false">dummy_variables!$E$211</f>
        <v>1</v>
      </c>
      <c r="H212" s="15" t="n">
        <f aca="false">dummy_variables!$F$211</f>
        <v>0</v>
      </c>
      <c r="I212" s="15" t="n">
        <f aca="false">dummy_variables!$G$211</f>
        <v>0</v>
      </c>
      <c r="J212" s="15" t="n">
        <f aca="false">dummy_variables!$H$211</f>
        <v>0</v>
      </c>
      <c r="K212" s="15" t="n">
        <f aca="false">dummy_variables!$I$211</f>
        <v>0</v>
      </c>
    </row>
    <row r="213" customFormat="false" ht="15" hidden="false" customHeight="true" outlineLevel="0" collapsed="false">
      <c r="A213" s="15" t="n">
        <f aca="false">cleaned_data!$M$212</f>
        <v>675917.63</v>
      </c>
      <c r="B213" s="15" t="n">
        <f aca="false">cleaned_data!$F$212</f>
        <v>8303</v>
      </c>
      <c r="C213" s="15" t="n">
        <f aca="false">cleaned_data!$E$212</f>
        <v>56413.83</v>
      </c>
      <c r="D213" s="15" t="n">
        <f aca="false">cleaned_data!$I$212</f>
        <v>93.6</v>
      </c>
      <c r="E213" s="15" t="n">
        <f aca="false">cleaned_data!$H$212</f>
        <v>18</v>
      </c>
      <c r="F213" s="15" t="n">
        <f aca="false">dummy_variables!$D$212</f>
        <v>0</v>
      </c>
      <c r="G213" s="15" t="n">
        <f aca="false">dummy_variables!$E$212</f>
        <v>1</v>
      </c>
      <c r="H213" s="15" t="n">
        <f aca="false">dummy_variables!$F$212</f>
        <v>0</v>
      </c>
      <c r="I213" s="15" t="n">
        <f aca="false">dummy_variables!$G$212</f>
        <v>0</v>
      </c>
      <c r="J213" s="15" t="n">
        <f aca="false">dummy_variables!$H$212</f>
        <v>0</v>
      </c>
      <c r="K213" s="15" t="n">
        <f aca="false">dummy_variables!$I$212</f>
        <v>0</v>
      </c>
    </row>
    <row r="214" customFormat="false" ht="15" hidden="false" customHeight="true" outlineLevel="0" collapsed="false">
      <c r="A214" s="15" t="n">
        <f aca="false">cleaned_data!$M$213</f>
        <v>810446.53</v>
      </c>
      <c r="B214" s="15" t="n">
        <f aca="false">cleaned_data!$F$213</f>
        <v>10125</v>
      </c>
      <c r="C214" s="15" t="n">
        <f aca="false">cleaned_data!$E$213</f>
        <v>63457.19</v>
      </c>
      <c r="D214" s="15" t="n">
        <f aca="false">cleaned_data!$I$213</f>
        <v>87</v>
      </c>
      <c r="E214" s="15" t="n">
        <f aca="false">cleaned_data!$H$213</f>
        <v>24</v>
      </c>
      <c r="F214" s="15" t="n">
        <f aca="false">dummy_variables!$D$213</f>
        <v>0</v>
      </c>
      <c r="G214" s="15" t="n">
        <f aca="false">dummy_variables!$E$213</f>
        <v>0</v>
      </c>
      <c r="H214" s="15" t="n">
        <f aca="false">dummy_variables!$F$213</f>
        <v>0</v>
      </c>
      <c r="I214" s="15" t="n">
        <f aca="false">dummy_variables!$G$213</f>
        <v>0</v>
      </c>
      <c r="J214" s="15" t="n">
        <f aca="false">dummy_variables!$H$213</f>
        <v>0</v>
      </c>
      <c r="K214" s="15" t="n">
        <f aca="false">dummy_variables!$I$213</f>
        <v>0</v>
      </c>
    </row>
    <row r="215" customFormat="false" ht="15" hidden="false" customHeight="true" outlineLevel="0" collapsed="false">
      <c r="A215" s="15" t="n">
        <f aca="false">cleaned_data!$M$214</f>
        <v>691288.19</v>
      </c>
      <c r="B215" s="15" t="n">
        <f aca="false">cleaned_data!$F$214</f>
        <v>9458</v>
      </c>
      <c r="C215" s="15" t="n">
        <f aca="false">cleaned_data!$E$214</f>
        <v>62949.7</v>
      </c>
      <c r="D215" s="15" t="n">
        <f aca="false">cleaned_data!$I$214</f>
        <v>84.9</v>
      </c>
      <c r="E215" s="15" t="n">
        <f aca="false">cleaned_data!$H$214</f>
        <v>19</v>
      </c>
      <c r="F215" s="15" t="n">
        <f aca="false">dummy_variables!$D$214</f>
        <v>0</v>
      </c>
      <c r="G215" s="15" t="n">
        <f aca="false">dummy_variables!$E$214</f>
        <v>0</v>
      </c>
      <c r="H215" s="15" t="n">
        <f aca="false">dummy_variables!$F$214</f>
        <v>0</v>
      </c>
      <c r="I215" s="15" t="n">
        <f aca="false">dummy_variables!$G$214</f>
        <v>0</v>
      </c>
      <c r="J215" s="15" t="n">
        <f aca="false">dummy_variables!$H$214</f>
        <v>0</v>
      </c>
      <c r="K215" s="15" t="n">
        <f aca="false">dummy_variables!$I$214</f>
        <v>0</v>
      </c>
    </row>
    <row r="216" customFormat="false" ht="15" hidden="false" customHeight="true" outlineLevel="0" collapsed="false">
      <c r="A216" s="15" t="n">
        <f aca="false">cleaned_data!$M$215</f>
        <v>946833.54</v>
      </c>
      <c r="B216" s="15" t="n">
        <f aca="false">cleaned_data!$F$215</f>
        <v>12870</v>
      </c>
      <c r="C216" s="15" t="n">
        <f aca="false">cleaned_data!$E$215</f>
        <v>107970.19</v>
      </c>
      <c r="D216" s="15" t="n">
        <f aca="false">cleaned_data!$I$215</f>
        <v>91.7</v>
      </c>
      <c r="E216" s="15" t="n">
        <f aca="false">cleaned_data!$H$215</f>
        <v>31</v>
      </c>
      <c r="F216" s="15" t="n">
        <f aca="false">dummy_variables!$D$215</f>
        <v>0</v>
      </c>
      <c r="G216" s="15" t="n">
        <f aca="false">dummy_variables!$E$215</f>
        <v>0</v>
      </c>
      <c r="H216" s="15" t="n">
        <f aca="false">dummy_variables!$F$215</f>
        <v>0</v>
      </c>
      <c r="I216" s="15" t="n">
        <f aca="false">dummy_variables!$G$215</f>
        <v>0</v>
      </c>
      <c r="J216" s="15" t="n">
        <f aca="false">dummy_variables!$H$215</f>
        <v>0</v>
      </c>
      <c r="K216" s="15" t="n">
        <f aca="false">dummy_variables!$I$215</f>
        <v>0</v>
      </c>
    </row>
    <row r="217" customFormat="false" ht="15" hidden="false" customHeight="true" outlineLevel="0" collapsed="false">
      <c r="A217" s="15" t="n">
        <f aca="false">cleaned_data!$M$216</f>
        <v>761963.23</v>
      </c>
      <c r="B217" s="15" t="n">
        <f aca="false">cleaned_data!$F$216</f>
        <v>9752</v>
      </c>
      <c r="C217" s="15" t="n">
        <f aca="false">cleaned_data!$E$216</f>
        <v>49405.75</v>
      </c>
      <c r="D217" s="15" t="n">
        <f aca="false">cleaned_data!$I$216</f>
        <v>87</v>
      </c>
      <c r="E217" s="15" t="n">
        <f aca="false">cleaned_data!$H$216</f>
        <v>21</v>
      </c>
      <c r="F217" s="15" t="n">
        <f aca="false">dummy_variables!$D$216</f>
        <v>0</v>
      </c>
      <c r="G217" s="15" t="n">
        <f aca="false">dummy_variables!$E$216</f>
        <v>0</v>
      </c>
      <c r="H217" s="15" t="n">
        <f aca="false">dummy_variables!$F$216</f>
        <v>0</v>
      </c>
      <c r="I217" s="15" t="n">
        <f aca="false">dummy_variables!$G$216</f>
        <v>0</v>
      </c>
      <c r="J217" s="15" t="n">
        <f aca="false">dummy_variables!$H$216</f>
        <v>0</v>
      </c>
      <c r="K217" s="15" t="n">
        <f aca="false">dummy_variables!$I$216</f>
        <v>0</v>
      </c>
    </row>
    <row r="218" customFormat="false" ht="15" hidden="false" customHeight="true" outlineLevel="0" collapsed="false">
      <c r="A218" s="15" t="n">
        <f aca="false">cleaned_data!$M$217</f>
        <v>812152.6</v>
      </c>
      <c r="B218" s="15" t="n">
        <f aca="false">cleaned_data!$F$217</f>
        <v>9505</v>
      </c>
      <c r="C218" s="15" t="n">
        <f aca="false">cleaned_data!$E$217</f>
        <v>50887.46</v>
      </c>
      <c r="D218" s="15" t="n">
        <f aca="false">cleaned_data!$I$217</f>
        <v>89.7</v>
      </c>
      <c r="E218" s="15" t="n">
        <f aca="false">cleaned_data!$H$217</f>
        <v>25</v>
      </c>
      <c r="F218" s="15" t="n">
        <f aca="false">dummy_variables!$D$217</f>
        <v>0</v>
      </c>
      <c r="G218" s="15" t="n">
        <f aca="false">dummy_variables!$E$217</f>
        <v>0</v>
      </c>
      <c r="H218" s="15" t="n">
        <f aca="false">dummy_variables!$F$217</f>
        <v>1</v>
      </c>
      <c r="I218" s="15" t="n">
        <f aca="false">dummy_variables!$G$217</f>
        <v>0</v>
      </c>
      <c r="J218" s="15" t="n">
        <f aca="false">dummy_variables!$H$217</f>
        <v>0</v>
      </c>
      <c r="K218" s="15" t="n">
        <f aca="false">dummy_variables!$I$217</f>
        <v>1</v>
      </c>
    </row>
    <row r="219" customFormat="false" ht="15" hidden="false" customHeight="true" outlineLevel="0" collapsed="false">
      <c r="A219" s="15" t="n">
        <f aca="false">cleaned_data!$M$218</f>
        <v>804975.5</v>
      </c>
      <c r="B219" s="15" t="n">
        <f aca="false">cleaned_data!$F$218</f>
        <v>9412</v>
      </c>
      <c r="C219" s="15" t="n">
        <f aca="false">cleaned_data!$E$218</f>
        <v>41819.45</v>
      </c>
      <c r="D219" s="15" t="n">
        <f aca="false">cleaned_data!$I$218</f>
        <v>91</v>
      </c>
      <c r="E219" s="15" t="n">
        <f aca="false">cleaned_data!$H$218</f>
        <v>22</v>
      </c>
      <c r="F219" s="15" t="n">
        <f aca="false">dummy_variables!$D$218</f>
        <v>0</v>
      </c>
      <c r="G219" s="15" t="n">
        <f aca="false">dummy_variables!$E$218</f>
        <v>0</v>
      </c>
      <c r="H219" s="15" t="n">
        <f aca="false">dummy_variables!$F$218</f>
        <v>1</v>
      </c>
      <c r="I219" s="15" t="n">
        <f aca="false">dummy_variables!$G$218</f>
        <v>0</v>
      </c>
      <c r="J219" s="15" t="n">
        <f aca="false">dummy_variables!$H$218</f>
        <v>0</v>
      </c>
      <c r="K219" s="15" t="n">
        <f aca="false">dummy_variables!$I$218</f>
        <v>1</v>
      </c>
    </row>
    <row r="220" customFormat="false" ht="15" hidden="false" customHeight="true" outlineLevel="0" collapsed="false">
      <c r="A220" s="15" t="n">
        <f aca="false">cleaned_data!$M$219</f>
        <v>752321.72</v>
      </c>
      <c r="B220" s="15" t="n">
        <f aca="false">cleaned_data!$F$219</f>
        <v>9644</v>
      </c>
      <c r="C220" s="15" t="n">
        <f aca="false">cleaned_data!$E$219</f>
        <v>35296.54</v>
      </c>
      <c r="D220" s="15" t="n">
        <f aca="false">cleaned_data!$I$219</f>
        <v>88</v>
      </c>
      <c r="E220" s="15" t="n">
        <f aca="false">cleaned_data!$H$219</f>
        <v>22</v>
      </c>
      <c r="F220" s="15" t="n">
        <f aca="false">dummy_variables!$D$219</f>
        <v>0</v>
      </c>
      <c r="G220" s="15" t="n">
        <f aca="false">dummy_variables!$E$219</f>
        <v>0</v>
      </c>
      <c r="H220" s="15" t="n">
        <f aca="false">dummy_variables!$F$219</f>
        <v>1</v>
      </c>
      <c r="I220" s="15" t="n">
        <f aca="false">dummy_variables!$G$219</f>
        <v>0</v>
      </c>
      <c r="J220" s="15" t="n">
        <f aca="false">dummy_variables!$H$219</f>
        <v>0</v>
      </c>
      <c r="K220" s="15" t="n">
        <f aca="false">dummy_variables!$I$219</f>
        <v>1</v>
      </c>
    </row>
    <row r="221" customFormat="false" ht="15" hidden="false" customHeight="true" outlineLevel="0" collapsed="false">
      <c r="A221" s="15" t="n">
        <f aca="false">cleaned_data!$M$220</f>
        <v>836908.24</v>
      </c>
      <c r="B221" s="15" t="n">
        <f aca="false">cleaned_data!$F$220</f>
        <v>11224</v>
      </c>
      <c r="C221" s="15" t="n">
        <f aca="false">cleaned_data!$E$220</f>
        <v>47391.09</v>
      </c>
      <c r="D221" s="15" t="n">
        <f aca="false">cleaned_data!$I$220</f>
        <v>88.4</v>
      </c>
      <c r="E221" s="15" t="n">
        <f aca="false">cleaned_data!$H$220</f>
        <v>25</v>
      </c>
      <c r="F221" s="15" t="n">
        <f aca="false">dummy_variables!$D$220</f>
        <v>0</v>
      </c>
      <c r="G221" s="15" t="n">
        <f aca="false">dummy_variables!$E$220</f>
        <v>0</v>
      </c>
      <c r="H221" s="15" t="n">
        <f aca="false">dummy_variables!$F$220</f>
        <v>1</v>
      </c>
      <c r="I221" s="15" t="n">
        <f aca="false">dummy_variables!$G$220</f>
        <v>0</v>
      </c>
      <c r="J221" s="15" t="n">
        <f aca="false">dummy_variables!$H$220</f>
        <v>0</v>
      </c>
      <c r="K221" s="15" t="n">
        <f aca="false">dummy_variables!$I$220</f>
        <v>1</v>
      </c>
    </row>
    <row r="222" customFormat="false" ht="15" hidden="false" customHeight="true" outlineLevel="0" collapsed="false">
      <c r="A222" s="15" t="n">
        <f aca="false">cleaned_data!$M$221</f>
        <v>674289.1</v>
      </c>
      <c r="B222" s="15" t="n">
        <f aca="false">cleaned_data!$F$221</f>
        <v>5394</v>
      </c>
      <c r="C222" s="15" t="n">
        <f aca="false">cleaned_data!$E$221</f>
        <v>69180.54</v>
      </c>
      <c r="D222" s="15" t="n">
        <f aca="false">cleaned_data!$I$221</f>
        <v>82.9</v>
      </c>
      <c r="E222" s="15" t="n">
        <f aca="false">cleaned_data!$H$221</f>
        <v>12</v>
      </c>
      <c r="F222" s="15" t="n">
        <f aca="false">dummy_variables!$D$221</f>
        <v>1</v>
      </c>
      <c r="G222" s="15" t="n">
        <f aca="false">dummy_variables!$E$221</f>
        <v>0</v>
      </c>
      <c r="H222" s="15" t="n">
        <f aca="false">dummy_variables!$F$221</f>
        <v>0</v>
      </c>
      <c r="I222" s="15" t="n">
        <f aca="false">dummy_variables!$G$221</f>
        <v>1</v>
      </c>
      <c r="J222" s="15" t="n">
        <f aca="false">dummy_variables!$H$221</f>
        <v>0</v>
      </c>
      <c r="K222" s="15" t="n">
        <f aca="false">dummy_variables!$I$221</f>
        <v>0</v>
      </c>
    </row>
    <row r="223" customFormat="false" ht="15" hidden="false" customHeight="true" outlineLevel="0" collapsed="false">
      <c r="A223" s="15" t="n">
        <f aca="false">cleaned_data!$M$222</f>
        <v>622892.42</v>
      </c>
      <c r="B223" s="15" t="n">
        <f aca="false">cleaned_data!$F$222</f>
        <v>5014</v>
      </c>
      <c r="C223" s="15" t="n">
        <f aca="false">cleaned_data!$E$222</f>
        <v>33987.33</v>
      </c>
      <c r="D223" s="15" t="n">
        <f aca="false">cleaned_data!$I$222</f>
        <v>94.3</v>
      </c>
      <c r="E223" s="15" t="n">
        <f aca="false">cleaned_data!$H$222</f>
        <v>17</v>
      </c>
      <c r="F223" s="15" t="n">
        <f aca="false">dummy_variables!$D$222</f>
        <v>1</v>
      </c>
      <c r="G223" s="15" t="n">
        <f aca="false">dummy_variables!$E$222</f>
        <v>0</v>
      </c>
      <c r="H223" s="15" t="n">
        <f aca="false">dummy_variables!$F$222</f>
        <v>0</v>
      </c>
      <c r="I223" s="15" t="n">
        <f aca="false">dummy_variables!$G$222</f>
        <v>1</v>
      </c>
      <c r="J223" s="15" t="n">
        <f aca="false">dummy_variables!$H$222</f>
        <v>0</v>
      </c>
      <c r="K223" s="15" t="n">
        <f aca="false">dummy_variables!$I$222</f>
        <v>0</v>
      </c>
    </row>
    <row r="224" customFormat="false" ht="15" hidden="false" customHeight="true" outlineLevel="0" collapsed="false">
      <c r="A224" s="15" t="n">
        <f aca="false">cleaned_data!$M$223</f>
        <v>673348.56</v>
      </c>
      <c r="B224" s="15" t="n">
        <f aca="false">cleaned_data!$F$223</f>
        <v>4467</v>
      </c>
      <c r="C224" s="15" t="n">
        <f aca="false">cleaned_data!$E$223</f>
        <v>58785.33</v>
      </c>
      <c r="D224" s="15" t="n">
        <f aca="false">cleaned_data!$I$223</f>
        <v>90.7</v>
      </c>
      <c r="E224" s="15" t="n">
        <f aca="false">cleaned_data!$H$223</f>
        <v>14</v>
      </c>
      <c r="F224" s="15" t="n">
        <f aca="false">dummy_variables!$D$223</f>
        <v>1</v>
      </c>
      <c r="G224" s="15" t="n">
        <f aca="false">dummy_variables!$E$223</f>
        <v>0</v>
      </c>
      <c r="H224" s="15" t="n">
        <f aca="false">dummy_variables!$F$223</f>
        <v>0</v>
      </c>
      <c r="I224" s="15" t="n">
        <f aca="false">dummy_variables!$G$223</f>
        <v>1</v>
      </c>
      <c r="J224" s="15" t="n">
        <f aca="false">dummy_variables!$H$223</f>
        <v>0</v>
      </c>
      <c r="K224" s="15" t="n">
        <f aca="false">dummy_variables!$I$223</f>
        <v>0</v>
      </c>
    </row>
    <row r="225" customFormat="false" ht="15" hidden="false" customHeight="true" outlineLevel="0" collapsed="false">
      <c r="A225" s="15" t="n">
        <f aca="false">cleaned_data!$M$224</f>
        <v>606278.3</v>
      </c>
      <c r="B225" s="15" t="n">
        <f aca="false">cleaned_data!$F$224</f>
        <v>4678</v>
      </c>
      <c r="C225" s="15" t="n">
        <f aca="false">cleaned_data!$E$224</f>
        <v>16451.85</v>
      </c>
      <c r="D225" s="15" t="n">
        <f aca="false">cleaned_data!$I$224</f>
        <v>95.9</v>
      </c>
      <c r="E225" s="15" t="n">
        <f aca="false">cleaned_data!$H$224</f>
        <v>11</v>
      </c>
      <c r="F225" s="15" t="n">
        <f aca="false">dummy_variables!$D$224</f>
        <v>1</v>
      </c>
      <c r="G225" s="15" t="n">
        <f aca="false">dummy_variables!$E$224</f>
        <v>0</v>
      </c>
      <c r="H225" s="15" t="n">
        <f aca="false">dummy_variables!$F$224</f>
        <v>0</v>
      </c>
      <c r="I225" s="15" t="n">
        <f aca="false">dummy_variables!$G$224</f>
        <v>1</v>
      </c>
      <c r="J225" s="15" t="n">
        <f aca="false">dummy_variables!$H$224</f>
        <v>0</v>
      </c>
      <c r="K225" s="15" t="n">
        <f aca="false">dummy_variables!$I$224</f>
        <v>0</v>
      </c>
    </row>
    <row r="226" customFormat="false" ht="15" hidden="false" customHeight="true" outlineLevel="0" collapsed="false">
      <c r="A226" s="15" t="n">
        <f aca="false">cleaned_data!$M$225</f>
        <v>712219.81</v>
      </c>
      <c r="B226" s="15" t="n">
        <f aca="false">cleaned_data!$F$225</f>
        <v>7291</v>
      </c>
      <c r="C226" s="15" t="n">
        <f aca="false">cleaned_data!$E$225</f>
        <v>53367.73</v>
      </c>
      <c r="D226" s="15" t="n">
        <f aca="false">cleaned_data!$I$225</f>
        <v>90.6</v>
      </c>
      <c r="E226" s="15" t="n">
        <f aca="false">cleaned_data!$H$225</f>
        <v>18</v>
      </c>
      <c r="F226" s="15" t="n">
        <f aca="false">dummy_variables!$D$225</f>
        <v>0</v>
      </c>
      <c r="G226" s="15" t="n">
        <f aca="false">dummy_variables!$E$225</f>
        <v>0</v>
      </c>
      <c r="H226" s="15" t="n">
        <f aca="false">dummy_variables!$F$225</f>
        <v>0</v>
      </c>
      <c r="I226" s="15" t="n">
        <f aca="false">dummy_variables!$G$225</f>
        <v>0</v>
      </c>
      <c r="J226" s="15" t="n">
        <f aca="false">dummy_variables!$H$225</f>
        <v>0</v>
      </c>
      <c r="K226" s="15" t="n">
        <f aca="false">dummy_variables!$I$225</f>
        <v>0</v>
      </c>
    </row>
    <row r="227" customFormat="false" ht="15" hidden="false" customHeight="true" outlineLevel="0" collapsed="false">
      <c r="A227" s="15" t="n">
        <f aca="false">cleaned_data!$M$226</f>
        <v>672670.54</v>
      </c>
      <c r="B227" s="15" t="n">
        <f aca="false">cleaned_data!$F$226</f>
        <v>7404</v>
      </c>
      <c r="C227" s="15" t="n">
        <f aca="false">cleaned_data!$E$226</f>
        <v>27194.64</v>
      </c>
      <c r="D227" s="15" t="n">
        <f aca="false">cleaned_data!$I$226</f>
        <v>90.2</v>
      </c>
      <c r="E227" s="15" t="n">
        <f aca="false">cleaned_data!$H$226</f>
        <v>18</v>
      </c>
      <c r="F227" s="15" t="n">
        <f aca="false">dummy_variables!$D$226</f>
        <v>0</v>
      </c>
      <c r="G227" s="15" t="n">
        <f aca="false">dummy_variables!$E$226</f>
        <v>0</v>
      </c>
      <c r="H227" s="15" t="n">
        <f aca="false">dummy_variables!$F$226</f>
        <v>0</v>
      </c>
      <c r="I227" s="15" t="n">
        <f aca="false">dummy_variables!$G$226</f>
        <v>0</v>
      </c>
      <c r="J227" s="15" t="n">
        <f aca="false">dummy_variables!$H$226</f>
        <v>0</v>
      </c>
      <c r="K227" s="15" t="n">
        <f aca="false">dummy_variables!$I$226</f>
        <v>0</v>
      </c>
    </row>
    <row r="228" customFormat="false" ht="15" hidden="false" customHeight="true" outlineLevel="0" collapsed="false">
      <c r="A228" s="15" t="n">
        <f aca="false">cleaned_data!$M$227</f>
        <v>732667.92</v>
      </c>
      <c r="B228" s="15" t="n">
        <f aca="false">cleaned_data!$F$227</f>
        <v>7880</v>
      </c>
      <c r="C228" s="15" t="n">
        <f aca="false">cleaned_data!$E$227</f>
        <v>66962.74</v>
      </c>
      <c r="D228" s="15" t="n">
        <f aca="false">cleaned_data!$I$227</f>
        <v>90.4</v>
      </c>
      <c r="E228" s="15" t="n">
        <f aca="false">cleaned_data!$H$227</f>
        <v>19</v>
      </c>
      <c r="F228" s="15" t="n">
        <f aca="false">dummy_variables!$D$227</f>
        <v>0</v>
      </c>
      <c r="G228" s="15" t="n">
        <f aca="false">dummy_variables!$E$227</f>
        <v>0</v>
      </c>
      <c r="H228" s="15" t="n">
        <f aca="false">dummy_variables!$F$227</f>
        <v>0</v>
      </c>
      <c r="I228" s="15" t="n">
        <f aca="false">dummy_variables!$G$227</f>
        <v>0</v>
      </c>
      <c r="J228" s="15" t="n">
        <f aca="false">dummy_variables!$H$227</f>
        <v>0</v>
      </c>
      <c r="K228" s="15" t="n">
        <f aca="false">dummy_variables!$I$227</f>
        <v>0</v>
      </c>
    </row>
    <row r="229" customFormat="false" ht="15" hidden="false" customHeight="true" outlineLevel="0" collapsed="false">
      <c r="A229" s="15" t="n">
        <f aca="false">cleaned_data!$M$228</f>
        <v>723531.4</v>
      </c>
      <c r="B229" s="15" t="n">
        <f aca="false">cleaned_data!$F$228</f>
        <v>8773</v>
      </c>
      <c r="C229" s="15" t="n">
        <f aca="false">cleaned_data!$E$228</f>
        <v>73540.99</v>
      </c>
      <c r="D229" s="15" t="n">
        <f aca="false">cleaned_data!$I$228</f>
        <v>84.4</v>
      </c>
      <c r="E229" s="15" t="n">
        <f aca="false">cleaned_data!$H$228</f>
        <v>21</v>
      </c>
      <c r="F229" s="15" t="n">
        <f aca="false">dummy_variables!$D$228</f>
        <v>0</v>
      </c>
      <c r="G229" s="15" t="n">
        <f aca="false">dummy_variables!$E$228</f>
        <v>0</v>
      </c>
      <c r="H229" s="15" t="n">
        <f aca="false">dummy_variables!$F$228</f>
        <v>0</v>
      </c>
      <c r="I229" s="15" t="n">
        <f aca="false">dummy_variables!$G$228</f>
        <v>0</v>
      </c>
      <c r="J229" s="15" t="n">
        <f aca="false">dummy_variables!$H$228</f>
        <v>0</v>
      </c>
      <c r="K229" s="15" t="n">
        <f aca="false">dummy_variables!$I$228</f>
        <v>0</v>
      </c>
    </row>
    <row r="230" customFormat="false" ht="15" hidden="false" customHeight="true" outlineLevel="0" collapsed="false">
      <c r="A230" s="15" t="n">
        <f aca="false">cleaned_data!$M$229</f>
        <v>641564.6</v>
      </c>
      <c r="B230" s="15" t="n">
        <f aca="false">cleaned_data!$F$229</f>
        <v>4713</v>
      </c>
      <c r="C230" s="15" t="n">
        <f aca="false">cleaned_data!$E$229</f>
        <v>68212.29</v>
      </c>
      <c r="D230" s="15" t="n">
        <f aca="false">cleaned_data!$I$229</f>
        <v>82.6</v>
      </c>
      <c r="E230" s="15" t="n">
        <f aca="false">cleaned_data!$H$229</f>
        <v>15</v>
      </c>
      <c r="F230" s="15" t="n">
        <f aca="false">dummy_variables!$D$229</f>
        <v>0</v>
      </c>
      <c r="G230" s="15" t="n">
        <f aca="false">dummy_variables!$E$229</f>
        <v>1</v>
      </c>
      <c r="H230" s="15" t="n">
        <f aca="false">dummy_variables!$F$229</f>
        <v>0</v>
      </c>
      <c r="I230" s="15" t="n">
        <f aca="false">dummy_variables!$G$229</f>
        <v>0</v>
      </c>
      <c r="J230" s="15" t="n">
        <f aca="false">dummy_variables!$H$229</f>
        <v>0</v>
      </c>
      <c r="K230" s="15" t="n">
        <f aca="false">dummy_variables!$I$229</f>
        <v>0</v>
      </c>
    </row>
    <row r="231" customFormat="false" ht="15" hidden="false" customHeight="true" outlineLevel="0" collapsed="false">
      <c r="A231" s="15" t="n">
        <f aca="false">cleaned_data!$M$230</f>
        <v>536545.49</v>
      </c>
      <c r="B231" s="15" t="n">
        <f aca="false">cleaned_data!$F$230</f>
        <v>2842</v>
      </c>
      <c r="C231" s="15" t="n">
        <f aca="false">cleaned_data!$E$230</f>
        <v>57225.98</v>
      </c>
      <c r="D231" s="15" t="n">
        <f aca="false">cleaned_data!$I$230</f>
        <v>79.5</v>
      </c>
      <c r="E231" s="15" t="n">
        <f aca="false">cleaned_data!$H$230</f>
        <v>10</v>
      </c>
      <c r="F231" s="15" t="n">
        <f aca="false">dummy_variables!$D$230</f>
        <v>0</v>
      </c>
      <c r="G231" s="15" t="n">
        <f aca="false">dummy_variables!$E$230</f>
        <v>1</v>
      </c>
      <c r="H231" s="15" t="n">
        <f aca="false">dummy_variables!$F$230</f>
        <v>0</v>
      </c>
      <c r="I231" s="15" t="n">
        <f aca="false">dummy_variables!$G$230</f>
        <v>0</v>
      </c>
      <c r="J231" s="15" t="n">
        <f aca="false">dummy_variables!$H$230</f>
        <v>0</v>
      </c>
      <c r="K231" s="15" t="n">
        <f aca="false">dummy_variables!$I$230</f>
        <v>0</v>
      </c>
    </row>
    <row r="232" customFormat="false" ht="15" hidden="false" customHeight="true" outlineLevel="0" collapsed="false">
      <c r="A232" s="15" t="n">
        <f aca="false">cleaned_data!$M$231</f>
        <v>527681.56</v>
      </c>
      <c r="B232" s="15" t="n">
        <f aca="false">cleaned_data!$F$231</f>
        <v>3872</v>
      </c>
      <c r="C232" s="15" t="n">
        <f aca="false">cleaned_data!$E$231</f>
        <v>42932.02</v>
      </c>
      <c r="D232" s="15" t="n">
        <f aca="false">cleaned_data!$I$231</f>
        <v>83.2</v>
      </c>
      <c r="E232" s="15" t="n">
        <f aca="false">cleaned_data!$H$231</f>
        <v>12</v>
      </c>
      <c r="F232" s="15" t="n">
        <f aca="false">dummy_variables!$D$231</f>
        <v>0</v>
      </c>
      <c r="G232" s="15" t="n">
        <f aca="false">dummy_variables!$E$231</f>
        <v>1</v>
      </c>
      <c r="H232" s="15" t="n">
        <f aca="false">dummy_variables!$F$231</f>
        <v>0</v>
      </c>
      <c r="I232" s="15" t="n">
        <f aca="false">dummy_variables!$G$231</f>
        <v>0</v>
      </c>
      <c r="J232" s="15" t="n">
        <f aca="false">dummy_variables!$H$231</f>
        <v>0</v>
      </c>
      <c r="K232" s="15" t="n">
        <f aca="false">dummy_variables!$I$231</f>
        <v>0</v>
      </c>
    </row>
    <row r="233" customFormat="false" ht="15" hidden="false" customHeight="true" outlineLevel="0" collapsed="false">
      <c r="A233" s="15" t="n">
        <f aca="false">cleaned_data!$M$232</f>
        <v>529598.94</v>
      </c>
      <c r="B233" s="15" t="n">
        <f aca="false">cleaned_data!$F$232</f>
        <v>1375</v>
      </c>
      <c r="C233" s="15" t="n">
        <f aca="false">cleaned_data!$E$232</f>
        <v>39341.45</v>
      </c>
      <c r="D233" s="15" t="n">
        <f aca="false">cleaned_data!$I$232</f>
        <v>95</v>
      </c>
      <c r="E233" s="15" t="n">
        <f aca="false">cleaned_data!$H$232</f>
        <v>5</v>
      </c>
      <c r="F233" s="15" t="n">
        <f aca="false">dummy_variables!$D$232</f>
        <v>0</v>
      </c>
      <c r="G233" s="15" t="n">
        <f aca="false">dummy_variables!$E$232</f>
        <v>1</v>
      </c>
      <c r="H233" s="15" t="n">
        <f aca="false">dummy_variables!$F$232</f>
        <v>0</v>
      </c>
      <c r="I233" s="15" t="n">
        <f aca="false">dummy_variables!$G$232</f>
        <v>0</v>
      </c>
      <c r="J233" s="15" t="n">
        <f aca="false">dummy_variables!$H$232</f>
        <v>0</v>
      </c>
      <c r="K233" s="15" t="n">
        <f aca="false">dummy_variables!$I$232</f>
        <v>0</v>
      </c>
    </row>
    <row r="234" customFormat="false" ht="15" hidden="false" customHeight="true" outlineLevel="0" collapsed="false">
      <c r="A234" s="15" t="n">
        <f aca="false">cleaned_data!$M$233</f>
        <v>570963.31</v>
      </c>
      <c r="B234" s="15" t="n">
        <f aca="false">cleaned_data!$F$233</f>
        <v>5957</v>
      </c>
      <c r="C234" s="15" t="n">
        <f aca="false">cleaned_data!$E$233</f>
        <v>37324.23</v>
      </c>
      <c r="D234" s="15" t="n">
        <f aca="false">cleaned_data!$I$233</f>
        <v>85.9</v>
      </c>
      <c r="E234" s="15" t="n">
        <f aca="false">cleaned_data!$H$233</f>
        <v>12</v>
      </c>
      <c r="F234" s="15" t="n">
        <f aca="false">dummy_variables!$D$233</f>
        <v>0</v>
      </c>
      <c r="G234" s="15" t="n">
        <f aca="false">dummy_variables!$E$233</f>
        <v>0</v>
      </c>
      <c r="H234" s="15" t="n">
        <f aca="false">dummy_variables!$F$233</f>
        <v>0</v>
      </c>
      <c r="I234" s="15" t="n">
        <f aca="false">dummy_variables!$G$233</f>
        <v>0</v>
      </c>
      <c r="J234" s="15" t="n">
        <f aca="false">dummy_variables!$H$233</f>
        <v>0</v>
      </c>
      <c r="K234" s="15" t="n">
        <f aca="false">dummy_variables!$I$233</f>
        <v>0</v>
      </c>
    </row>
    <row r="235" customFormat="false" ht="15" hidden="false" customHeight="true" outlineLevel="0" collapsed="false">
      <c r="A235" s="15" t="n">
        <f aca="false">cleaned_data!$M$234</f>
        <v>870937.4</v>
      </c>
      <c r="B235" s="15" t="n">
        <f aca="false">cleaned_data!$F$234</f>
        <v>8961</v>
      </c>
      <c r="C235" s="15" t="n">
        <f aca="false">cleaned_data!$E$234</f>
        <v>113736</v>
      </c>
      <c r="D235" s="15" t="n">
        <f aca="false">cleaned_data!$I$234</f>
        <v>86.2</v>
      </c>
      <c r="E235" s="15" t="n">
        <f aca="false">cleaned_data!$H$234</f>
        <v>24</v>
      </c>
      <c r="F235" s="15" t="n">
        <f aca="false">dummy_variables!$D$234</f>
        <v>0</v>
      </c>
      <c r="G235" s="15" t="n">
        <f aca="false">dummy_variables!$E$234</f>
        <v>0</v>
      </c>
      <c r="H235" s="15" t="n">
        <f aca="false">dummy_variables!$F$234</f>
        <v>0</v>
      </c>
      <c r="I235" s="15" t="n">
        <f aca="false">dummy_variables!$G$234</f>
        <v>0</v>
      </c>
      <c r="J235" s="15" t="n">
        <f aca="false">dummy_variables!$H$234</f>
        <v>0</v>
      </c>
      <c r="K235" s="15" t="n">
        <f aca="false">dummy_variables!$I$234</f>
        <v>0</v>
      </c>
    </row>
    <row r="236" customFormat="false" ht="15" hidden="false" customHeight="true" outlineLevel="0" collapsed="false">
      <c r="A236" s="15" t="n">
        <f aca="false">cleaned_data!$M$235</f>
        <v>596969.27</v>
      </c>
      <c r="B236" s="15" t="n">
        <f aca="false">cleaned_data!$F$235</f>
        <v>6545</v>
      </c>
      <c r="C236" s="15" t="n">
        <f aca="false">cleaned_data!$E$235</f>
        <v>33173.95</v>
      </c>
      <c r="D236" s="15" t="n">
        <f aca="false">cleaned_data!$I$235</f>
        <v>84.4</v>
      </c>
      <c r="E236" s="15" t="n">
        <f aca="false">cleaned_data!$H$235</f>
        <v>15</v>
      </c>
      <c r="F236" s="15" t="n">
        <f aca="false">dummy_variables!$D$235</f>
        <v>0</v>
      </c>
      <c r="G236" s="15" t="n">
        <f aca="false">dummy_variables!$E$235</f>
        <v>0</v>
      </c>
      <c r="H236" s="15" t="n">
        <f aca="false">dummy_variables!$F$235</f>
        <v>0</v>
      </c>
      <c r="I236" s="15" t="n">
        <f aca="false">dummy_variables!$G$235</f>
        <v>0</v>
      </c>
      <c r="J236" s="15" t="n">
        <f aca="false">dummy_variables!$H$235</f>
        <v>0</v>
      </c>
      <c r="K236" s="15" t="n">
        <f aca="false">dummy_variables!$I$235</f>
        <v>0</v>
      </c>
    </row>
    <row r="237" customFormat="false" ht="15" hidden="false" customHeight="true" outlineLevel="0" collapsed="false">
      <c r="A237" s="15" t="n">
        <f aca="false">cleaned_data!$M$236</f>
        <v>647512.85</v>
      </c>
      <c r="B237" s="15" t="n">
        <f aca="false">cleaned_data!$F$236</f>
        <v>5457</v>
      </c>
      <c r="C237" s="15" t="n">
        <f aca="false">cleaned_data!$E$236</f>
        <v>25818.08</v>
      </c>
      <c r="D237" s="15" t="n">
        <f aca="false">cleaned_data!$I$236</f>
        <v>95.4</v>
      </c>
      <c r="E237" s="15" t="n">
        <f aca="false">cleaned_data!$H$236</f>
        <v>11</v>
      </c>
      <c r="F237" s="15" t="n">
        <f aca="false">dummy_variables!$D$236</f>
        <v>0</v>
      </c>
      <c r="G237" s="15" t="n">
        <f aca="false">dummy_variables!$E$236</f>
        <v>0</v>
      </c>
      <c r="H237" s="15" t="n">
        <f aca="false">dummy_variables!$F$236</f>
        <v>0</v>
      </c>
      <c r="I237" s="15" t="n">
        <f aca="false">dummy_variables!$G$236</f>
        <v>0</v>
      </c>
      <c r="J237" s="15" t="n">
        <f aca="false">dummy_variables!$H$236</f>
        <v>0</v>
      </c>
      <c r="K237" s="15" t="n">
        <f aca="false">dummy_variables!$I$236</f>
        <v>0</v>
      </c>
    </row>
    <row r="238" customFormat="false" ht="15" hidden="false" customHeight="true" outlineLevel="0" collapsed="false">
      <c r="A238" s="15" t="n">
        <f aca="false">cleaned_data!$M$237</f>
        <v>658072.14</v>
      </c>
      <c r="B238" s="15" t="n">
        <f aca="false">cleaned_data!$F$237</f>
        <v>4264</v>
      </c>
      <c r="C238" s="15" t="n">
        <f aca="false">cleaned_data!$E$237</f>
        <v>47241.92</v>
      </c>
      <c r="D238" s="15" t="n">
        <f aca="false">cleaned_data!$I$237</f>
        <v>95.3</v>
      </c>
      <c r="E238" s="15" t="n">
        <f aca="false">cleaned_data!$H$237</f>
        <v>13</v>
      </c>
      <c r="F238" s="15" t="n">
        <f aca="false">dummy_variables!$D$237</f>
        <v>0</v>
      </c>
      <c r="G238" s="15" t="n">
        <f aca="false">dummy_variables!$E$237</f>
        <v>0</v>
      </c>
      <c r="H238" s="15" t="n">
        <f aca="false">dummy_variables!$F$237</f>
        <v>1</v>
      </c>
      <c r="I238" s="15" t="n">
        <f aca="false">dummy_variables!$G$237</f>
        <v>0</v>
      </c>
      <c r="J238" s="15" t="n">
        <f aca="false">dummy_variables!$H$237</f>
        <v>0</v>
      </c>
      <c r="K238" s="15" t="n">
        <f aca="false">dummy_variables!$I$237</f>
        <v>1</v>
      </c>
    </row>
    <row r="239" customFormat="false" ht="15" hidden="false" customHeight="true" outlineLevel="0" collapsed="false">
      <c r="A239" s="15" t="n">
        <f aca="false">cleaned_data!$M$238</f>
        <v>723305.11</v>
      </c>
      <c r="B239" s="15" t="n">
        <f aca="false">cleaned_data!$F$238</f>
        <v>5321</v>
      </c>
      <c r="C239" s="15" t="n">
        <f aca="false">cleaned_data!$E$238</f>
        <v>61650.79</v>
      </c>
      <c r="D239" s="15" t="n">
        <f aca="false">cleaned_data!$I$238</f>
        <v>89.2</v>
      </c>
      <c r="E239" s="15" t="n">
        <f aca="false">cleaned_data!$H$238</f>
        <v>17</v>
      </c>
      <c r="F239" s="15" t="n">
        <f aca="false">dummy_variables!$D$238</f>
        <v>0</v>
      </c>
      <c r="G239" s="15" t="n">
        <f aca="false">dummy_variables!$E$238</f>
        <v>0</v>
      </c>
      <c r="H239" s="15" t="n">
        <f aca="false">dummy_variables!$F$238</f>
        <v>1</v>
      </c>
      <c r="I239" s="15" t="n">
        <f aca="false">dummy_variables!$G$238</f>
        <v>0</v>
      </c>
      <c r="J239" s="15" t="n">
        <f aca="false">dummy_variables!$H$238</f>
        <v>0</v>
      </c>
      <c r="K239" s="15" t="n">
        <f aca="false">dummy_variables!$I$238</f>
        <v>1</v>
      </c>
    </row>
    <row r="240" customFormat="false" ht="15" hidden="false" customHeight="true" outlineLevel="0" collapsed="false">
      <c r="A240" s="15" t="n">
        <f aca="false">cleaned_data!$M$239</f>
        <v>640666.53</v>
      </c>
      <c r="B240" s="15" t="n">
        <f aca="false">cleaned_data!$F$239</f>
        <v>5479</v>
      </c>
      <c r="C240" s="15" t="n">
        <f aca="false">cleaned_data!$E$239</f>
        <v>62582.71</v>
      </c>
      <c r="D240" s="15" t="n">
        <f aca="false">cleaned_data!$I$239</f>
        <v>81.2</v>
      </c>
      <c r="E240" s="15" t="n">
        <f aca="false">cleaned_data!$H$239</f>
        <v>16</v>
      </c>
      <c r="F240" s="15" t="n">
        <f aca="false">dummy_variables!$D$239</f>
        <v>0</v>
      </c>
      <c r="G240" s="15" t="n">
        <f aca="false">dummy_variables!$E$239</f>
        <v>0</v>
      </c>
      <c r="H240" s="15" t="n">
        <f aca="false">dummy_variables!$F$239</f>
        <v>1</v>
      </c>
      <c r="I240" s="15" t="n">
        <f aca="false">dummy_variables!$G$239</f>
        <v>0</v>
      </c>
      <c r="J240" s="15" t="n">
        <f aca="false">dummy_variables!$H$239</f>
        <v>0</v>
      </c>
      <c r="K240" s="15" t="n">
        <f aca="false">dummy_variables!$I$239</f>
        <v>1</v>
      </c>
    </row>
    <row r="241" customFormat="false" ht="15" hidden="false" customHeight="true" outlineLevel="0" collapsed="false">
      <c r="A241" s="15" t="n">
        <f aca="false">cleaned_data!$M$240</f>
        <v>670629.48</v>
      </c>
      <c r="B241" s="15" t="n">
        <f aca="false">cleaned_data!$F$240</f>
        <v>6169</v>
      </c>
      <c r="C241" s="15" t="n">
        <f aca="false">cleaned_data!$E$240</f>
        <v>47944.14</v>
      </c>
      <c r="D241" s="15" t="n">
        <f aca="false">cleaned_data!$I$240</f>
        <v>92.2</v>
      </c>
      <c r="E241" s="15" t="n">
        <f aca="false">cleaned_data!$H$240</f>
        <v>17</v>
      </c>
      <c r="F241" s="15" t="n">
        <f aca="false">dummy_variables!$D$240</f>
        <v>0</v>
      </c>
      <c r="G241" s="15" t="n">
        <f aca="false">dummy_variables!$E$240</f>
        <v>0</v>
      </c>
      <c r="H241" s="15" t="n">
        <f aca="false">dummy_variables!$F$240</f>
        <v>1</v>
      </c>
      <c r="I241" s="15" t="n">
        <f aca="false">dummy_variables!$G$240</f>
        <v>0</v>
      </c>
      <c r="J241" s="15" t="n">
        <f aca="false">dummy_variables!$H$240</f>
        <v>0</v>
      </c>
      <c r="K241" s="15" t="n">
        <f aca="false">dummy_variables!$I$240</f>
        <v>1</v>
      </c>
    </row>
    <row r="242" customFormat="false" ht="15" hidden="false" customHeight="true" outlineLevel="0" collapsed="false">
      <c r="A242" s="15" t="n">
        <f aca="false">cleaned_data!$M$241</f>
        <v>721079.35</v>
      </c>
      <c r="B242" s="15" t="n">
        <f aca="false">cleaned_data!$F$241</f>
        <v>9908</v>
      </c>
      <c r="C242" s="15" t="n">
        <f aca="false">cleaned_data!$E$241</f>
        <v>46495.4</v>
      </c>
      <c r="D242" s="15" t="n">
        <f aca="false">cleaned_data!$I$241</f>
        <v>89.4</v>
      </c>
      <c r="E242" s="15" t="n">
        <f aca="false">cleaned_data!$H$241</f>
        <v>22</v>
      </c>
      <c r="F242" s="15" t="n">
        <f aca="false">dummy_variables!$D$241</f>
        <v>0</v>
      </c>
      <c r="G242" s="15" t="n">
        <f aca="false">dummy_variables!$E$241</f>
        <v>1</v>
      </c>
      <c r="H242" s="15" t="n">
        <f aca="false">dummy_variables!$F$241</f>
        <v>0</v>
      </c>
      <c r="I242" s="15" t="n">
        <f aca="false">dummy_variables!$G$241</f>
        <v>0</v>
      </c>
      <c r="J242" s="15" t="n">
        <f aca="false">dummy_variables!$H$241</f>
        <v>0</v>
      </c>
      <c r="K242" s="15" t="n">
        <f aca="false">dummy_variables!$I$241</f>
        <v>1</v>
      </c>
    </row>
    <row r="243" customFormat="false" ht="15" hidden="false" customHeight="true" outlineLevel="0" collapsed="false">
      <c r="A243" s="15" t="n">
        <f aca="false">cleaned_data!$M$242</f>
        <v>810355.02</v>
      </c>
      <c r="B243" s="15" t="n">
        <f aca="false">cleaned_data!$F$242</f>
        <v>9996</v>
      </c>
      <c r="C243" s="15" t="n">
        <f aca="false">cleaned_data!$E$242</f>
        <v>72961.95</v>
      </c>
      <c r="D243" s="15" t="n">
        <f aca="false">cleaned_data!$I$242</f>
        <v>89.1</v>
      </c>
      <c r="E243" s="15" t="n">
        <f aca="false">cleaned_data!$H$242</f>
        <v>22</v>
      </c>
      <c r="F243" s="15" t="n">
        <f aca="false">dummy_variables!$D$242</f>
        <v>0</v>
      </c>
      <c r="G243" s="15" t="n">
        <f aca="false">dummy_variables!$E$242</f>
        <v>1</v>
      </c>
      <c r="H243" s="15" t="n">
        <f aca="false">dummy_variables!$F$242</f>
        <v>0</v>
      </c>
      <c r="I243" s="15" t="n">
        <f aca="false">dummy_variables!$G$242</f>
        <v>0</v>
      </c>
      <c r="J243" s="15" t="n">
        <f aca="false">dummy_variables!$H$242</f>
        <v>0</v>
      </c>
      <c r="K243" s="15" t="n">
        <f aca="false">dummy_variables!$I$242</f>
        <v>1</v>
      </c>
    </row>
    <row r="244" customFormat="false" ht="15" hidden="false" customHeight="true" outlineLevel="0" collapsed="false">
      <c r="A244" s="15" t="n">
        <f aca="false">cleaned_data!$M$243</f>
        <v>761919.25</v>
      </c>
      <c r="B244" s="15" t="n">
        <f aca="false">cleaned_data!$F$243</f>
        <v>9702</v>
      </c>
      <c r="C244" s="15" t="n">
        <f aca="false">cleaned_data!$E$243</f>
        <v>59060.05</v>
      </c>
      <c r="D244" s="15" t="n">
        <f aca="false">cleaned_data!$I$243</f>
        <v>80.9</v>
      </c>
      <c r="E244" s="15" t="n">
        <f aca="false">cleaned_data!$H$243</f>
        <v>23</v>
      </c>
      <c r="F244" s="15" t="n">
        <f aca="false">dummy_variables!$D$243</f>
        <v>0</v>
      </c>
      <c r="G244" s="15" t="n">
        <f aca="false">dummy_variables!$E$243</f>
        <v>1</v>
      </c>
      <c r="H244" s="15" t="n">
        <f aca="false">dummy_variables!$F$243</f>
        <v>0</v>
      </c>
      <c r="I244" s="15" t="n">
        <f aca="false">dummy_variables!$G$243</f>
        <v>0</v>
      </c>
      <c r="J244" s="15" t="n">
        <f aca="false">dummy_variables!$H$243</f>
        <v>0</v>
      </c>
      <c r="K244" s="15" t="n">
        <f aca="false">dummy_variables!$I$243</f>
        <v>1</v>
      </c>
    </row>
    <row r="245" customFormat="false" ht="15" hidden="false" customHeight="true" outlineLevel="0" collapsed="false">
      <c r="A245" s="15" t="n">
        <f aca="false">cleaned_data!$M$244</f>
        <v>737070.18</v>
      </c>
      <c r="B245" s="15" t="n">
        <f aca="false">cleaned_data!$F$244</f>
        <v>9314</v>
      </c>
      <c r="C245" s="15" t="n">
        <f aca="false">cleaned_data!$E$244</f>
        <v>26248.1</v>
      </c>
      <c r="D245" s="15" t="n">
        <f aca="false">cleaned_data!$I$244</f>
        <v>83.7</v>
      </c>
      <c r="E245" s="15" t="n">
        <f aca="false">cleaned_data!$H$244</f>
        <v>21</v>
      </c>
      <c r="F245" s="15" t="n">
        <f aca="false">dummy_variables!$D$244</f>
        <v>0</v>
      </c>
      <c r="G245" s="15" t="n">
        <f aca="false">dummy_variables!$E$244</f>
        <v>1</v>
      </c>
      <c r="H245" s="15" t="n">
        <f aca="false">dummy_variables!$F$244</f>
        <v>0</v>
      </c>
      <c r="I245" s="15" t="n">
        <f aca="false">dummy_variables!$G$244</f>
        <v>0</v>
      </c>
      <c r="J245" s="15" t="n">
        <f aca="false">dummy_variables!$H$244</f>
        <v>0</v>
      </c>
      <c r="K245" s="15" t="n">
        <f aca="false">dummy_variables!$I$244</f>
        <v>1</v>
      </c>
    </row>
    <row r="246" customFormat="false" ht="15" hidden="false" customHeight="true" outlineLevel="0" collapsed="false">
      <c r="A246" s="15" t="n">
        <f aca="false">cleaned_data!$M$245</f>
        <v>776992.93</v>
      </c>
      <c r="B246" s="15" t="n">
        <f aca="false">cleaned_data!$F$245</f>
        <v>8055</v>
      </c>
      <c r="C246" s="15" t="n">
        <f aca="false">cleaned_data!$E$245</f>
        <v>69900.12</v>
      </c>
      <c r="D246" s="15" t="n">
        <f aca="false">cleaned_data!$I$245</f>
        <v>85.6</v>
      </c>
      <c r="E246" s="15" t="n">
        <f aca="false">cleaned_data!$H$245</f>
        <v>22</v>
      </c>
      <c r="F246" s="15" t="n">
        <f aca="false">dummy_variables!$D$245</f>
        <v>1</v>
      </c>
      <c r="G246" s="15" t="n">
        <f aca="false">dummy_variables!$E$245</f>
        <v>0</v>
      </c>
      <c r="H246" s="15" t="n">
        <f aca="false">dummy_variables!$F$245</f>
        <v>0</v>
      </c>
      <c r="I246" s="15" t="n">
        <f aca="false">dummy_variables!$G$245</f>
        <v>0</v>
      </c>
      <c r="J246" s="15" t="n">
        <f aca="false">dummy_variables!$H$245</f>
        <v>1</v>
      </c>
      <c r="K246" s="15" t="n">
        <f aca="false">dummy_variables!$I$245</f>
        <v>0</v>
      </c>
    </row>
    <row r="247" customFormat="false" ht="15" hidden="false" customHeight="true" outlineLevel="0" collapsed="false">
      <c r="A247" s="15" t="n">
        <f aca="false">cleaned_data!$M$246</f>
        <v>676337.41</v>
      </c>
      <c r="B247" s="15" t="n">
        <f aca="false">cleaned_data!$F$246</f>
        <v>5648</v>
      </c>
      <c r="C247" s="15" t="n">
        <f aca="false">cleaned_data!$E$246</f>
        <v>51781.6</v>
      </c>
      <c r="D247" s="15" t="n">
        <f aca="false">cleaned_data!$I$246</f>
        <v>85.5</v>
      </c>
      <c r="E247" s="15" t="n">
        <f aca="false">cleaned_data!$H$246</f>
        <v>13</v>
      </c>
      <c r="F247" s="15" t="n">
        <f aca="false">dummy_variables!$D$246</f>
        <v>1</v>
      </c>
      <c r="G247" s="15" t="n">
        <f aca="false">dummy_variables!$E$246</f>
        <v>0</v>
      </c>
      <c r="H247" s="15" t="n">
        <f aca="false">dummy_variables!$F$246</f>
        <v>0</v>
      </c>
      <c r="I247" s="15" t="n">
        <f aca="false">dummy_variables!$G$246</f>
        <v>0</v>
      </c>
      <c r="J247" s="15" t="n">
        <f aca="false">dummy_variables!$H$246</f>
        <v>1</v>
      </c>
      <c r="K247" s="15" t="n">
        <f aca="false">dummy_variables!$I$246</f>
        <v>0</v>
      </c>
    </row>
    <row r="248" customFormat="false" ht="15" hidden="false" customHeight="true" outlineLevel="0" collapsed="false">
      <c r="A248" s="15" t="n">
        <f aca="false">cleaned_data!$M$247</f>
        <v>828219.67</v>
      </c>
      <c r="B248" s="15" t="n">
        <f aca="false">cleaned_data!$F$247</f>
        <v>10076</v>
      </c>
      <c r="C248" s="15" t="n">
        <f aca="false">cleaned_data!$E$247</f>
        <v>70799.64</v>
      </c>
      <c r="D248" s="15" t="n">
        <f aca="false">cleaned_data!$I$247</f>
        <v>84.8</v>
      </c>
      <c r="E248" s="15" t="n">
        <f aca="false">cleaned_data!$H$247</f>
        <v>24</v>
      </c>
      <c r="F248" s="15" t="n">
        <f aca="false">dummy_variables!$D$247</f>
        <v>1</v>
      </c>
      <c r="G248" s="15" t="n">
        <f aca="false">dummy_variables!$E$247</f>
        <v>0</v>
      </c>
      <c r="H248" s="15" t="n">
        <f aca="false">dummy_variables!$F$247</f>
        <v>0</v>
      </c>
      <c r="I248" s="15" t="n">
        <f aca="false">dummy_variables!$G$247</f>
        <v>0</v>
      </c>
      <c r="J248" s="15" t="n">
        <f aca="false">dummy_variables!$H$247</f>
        <v>1</v>
      </c>
      <c r="K248" s="15" t="n">
        <f aca="false">dummy_variables!$I$247</f>
        <v>0</v>
      </c>
    </row>
    <row r="249" customFormat="false" ht="15" hidden="false" customHeight="true" outlineLevel="0" collapsed="false">
      <c r="A249" s="15" t="n">
        <f aca="false">cleaned_data!$M$248</f>
        <v>763159.92</v>
      </c>
      <c r="B249" s="15" t="n">
        <f aca="false">cleaned_data!$F$248</f>
        <v>8004</v>
      </c>
      <c r="C249" s="15" t="n">
        <f aca="false">cleaned_data!$E$248</f>
        <v>53546.34</v>
      </c>
      <c r="D249" s="15" t="n">
        <f aca="false">cleaned_data!$I$248</f>
        <v>95.2</v>
      </c>
      <c r="E249" s="15" t="n">
        <f aca="false">cleaned_data!$H$248</f>
        <v>21</v>
      </c>
      <c r="F249" s="15" t="n">
        <f aca="false">dummy_variables!$D$248</f>
        <v>1</v>
      </c>
      <c r="G249" s="15" t="n">
        <f aca="false">dummy_variables!$E$248</f>
        <v>0</v>
      </c>
      <c r="H249" s="15" t="n">
        <f aca="false">dummy_variables!$F$248</f>
        <v>0</v>
      </c>
      <c r="I249" s="15" t="n">
        <f aca="false">dummy_variables!$G$248</f>
        <v>0</v>
      </c>
      <c r="J249" s="15" t="n">
        <f aca="false">dummy_variables!$H$248</f>
        <v>1</v>
      </c>
      <c r="K249" s="15" t="n">
        <f aca="false">dummy_variables!$I$248</f>
        <v>0</v>
      </c>
    </row>
    <row r="250" customFormat="false" ht="15" hidden="false" customHeight="true" outlineLevel="0" collapsed="false">
      <c r="A250" s="15" t="n">
        <f aca="false">cleaned_data!$M$249</f>
        <v>802001.68</v>
      </c>
      <c r="B250" s="15" t="n">
        <f aca="false">cleaned_data!$F$249</f>
        <v>8934</v>
      </c>
      <c r="C250" s="15" t="n">
        <f aca="false">cleaned_data!$E$249</f>
        <v>76942.2</v>
      </c>
      <c r="D250" s="15" t="n">
        <f aca="false">cleaned_data!$I$249</f>
        <v>91</v>
      </c>
      <c r="E250" s="15" t="n">
        <f aca="false">cleaned_data!$H$249</f>
        <v>20</v>
      </c>
      <c r="F250" s="15" t="n">
        <f aca="false">dummy_variables!$D$249</f>
        <v>0</v>
      </c>
      <c r="G250" s="15" t="n">
        <f aca="false">dummy_variables!$E$249</f>
        <v>0</v>
      </c>
      <c r="H250" s="15" t="n">
        <f aca="false">dummy_variables!$F$249</f>
        <v>0</v>
      </c>
      <c r="I250" s="15" t="n">
        <f aca="false">dummy_variables!$G$249</f>
        <v>0</v>
      </c>
      <c r="J250" s="15" t="n">
        <f aca="false">dummy_variables!$H$249</f>
        <v>0</v>
      </c>
      <c r="K250" s="15" t="n">
        <f aca="false">dummy_variables!$I$249</f>
        <v>0</v>
      </c>
    </row>
    <row r="251" customFormat="false" ht="15" hidden="false" customHeight="true" outlineLevel="0" collapsed="false">
      <c r="A251" s="15" t="n">
        <f aca="false">cleaned_data!$M$250</f>
        <v>750471.34</v>
      </c>
      <c r="B251" s="15" t="n">
        <f aca="false">cleaned_data!$F$250</f>
        <v>8733</v>
      </c>
      <c r="C251" s="15" t="n">
        <f aca="false">cleaned_data!$E$250</f>
        <v>48060.78</v>
      </c>
      <c r="D251" s="15" t="n">
        <f aca="false">cleaned_data!$I$250</f>
        <v>89.9</v>
      </c>
      <c r="E251" s="15" t="n">
        <f aca="false">cleaned_data!$H$250</f>
        <v>20</v>
      </c>
      <c r="F251" s="15" t="n">
        <f aca="false">dummy_variables!$D$250</f>
        <v>0</v>
      </c>
      <c r="G251" s="15" t="n">
        <f aca="false">dummy_variables!$E$250</f>
        <v>0</v>
      </c>
      <c r="H251" s="15" t="n">
        <f aca="false">dummy_variables!$F$250</f>
        <v>0</v>
      </c>
      <c r="I251" s="15" t="n">
        <f aca="false">dummy_variables!$G$250</f>
        <v>0</v>
      </c>
      <c r="J251" s="15" t="n">
        <f aca="false">dummy_variables!$H$250</f>
        <v>0</v>
      </c>
      <c r="K251" s="15" t="n">
        <f aca="false">dummy_variables!$I$250</f>
        <v>0</v>
      </c>
    </row>
    <row r="252" customFormat="false" ht="15" hidden="false" customHeight="true" outlineLevel="0" collapsed="false">
      <c r="A252" s="15" t="n">
        <f aca="false">cleaned_data!$M$251</f>
        <v>679230.86</v>
      </c>
      <c r="B252" s="15" t="n">
        <f aca="false">cleaned_data!$F$251</f>
        <v>7374</v>
      </c>
      <c r="C252" s="15" t="n">
        <f aca="false">cleaned_data!$E$251</f>
        <v>57390.04</v>
      </c>
      <c r="D252" s="15" t="n">
        <f aca="false">cleaned_data!$I$251</f>
        <v>91.8</v>
      </c>
      <c r="E252" s="15" t="n">
        <f aca="false">cleaned_data!$H$251</f>
        <v>21</v>
      </c>
      <c r="F252" s="15" t="n">
        <f aca="false">dummy_variables!$D$251</f>
        <v>0</v>
      </c>
      <c r="G252" s="15" t="n">
        <f aca="false">dummy_variables!$E$251</f>
        <v>0</v>
      </c>
      <c r="H252" s="15" t="n">
        <f aca="false">dummy_variables!$F$251</f>
        <v>0</v>
      </c>
      <c r="I252" s="15" t="n">
        <f aca="false">dummy_variables!$G$251</f>
        <v>0</v>
      </c>
      <c r="J252" s="15" t="n">
        <f aca="false">dummy_variables!$H$251</f>
        <v>0</v>
      </c>
      <c r="K252" s="15" t="n">
        <f aca="false">dummy_variables!$I$251</f>
        <v>0</v>
      </c>
    </row>
    <row r="253" customFormat="false" ht="15" hidden="false" customHeight="true" outlineLevel="0" collapsed="false">
      <c r="A253" s="15" t="n">
        <f aca="false">cleaned_data!$M$252</f>
        <v>679888.74</v>
      </c>
      <c r="B253" s="15" t="n">
        <f aca="false">cleaned_data!$F$252</f>
        <v>8119</v>
      </c>
      <c r="C253" s="15" t="n">
        <f aca="false">cleaned_data!$E$252</f>
        <v>21536.18</v>
      </c>
      <c r="D253" s="15" t="n">
        <f aca="false">cleaned_data!$I$252</f>
        <v>90.4</v>
      </c>
      <c r="E253" s="15" t="n">
        <f aca="false">cleaned_data!$H$252</f>
        <v>20</v>
      </c>
      <c r="F253" s="15" t="n">
        <f aca="false">dummy_variables!$D$252</f>
        <v>0</v>
      </c>
      <c r="G253" s="15" t="n">
        <f aca="false">dummy_variables!$E$252</f>
        <v>0</v>
      </c>
      <c r="H253" s="15" t="n">
        <f aca="false">dummy_variables!$F$252</f>
        <v>0</v>
      </c>
      <c r="I253" s="15" t="n">
        <f aca="false">dummy_variables!$G$252</f>
        <v>0</v>
      </c>
      <c r="J253" s="15" t="n">
        <f aca="false">dummy_variables!$H$252</f>
        <v>0</v>
      </c>
      <c r="K253" s="15" t="n">
        <f aca="false">dummy_variables!$I$252</f>
        <v>0</v>
      </c>
    </row>
    <row r="254" customFormat="false" ht="15" hidden="false" customHeight="true" outlineLevel="0" collapsed="false">
      <c r="A254" s="15" t="n">
        <f aca="false">cleaned_data!$M$253</f>
        <v>606783.67</v>
      </c>
      <c r="B254" s="15" t="n">
        <f aca="false">cleaned_data!$F$253</f>
        <v>3875</v>
      </c>
      <c r="C254" s="15" t="n">
        <f aca="false">cleaned_data!$E$253</f>
        <v>40923.67</v>
      </c>
      <c r="D254" s="15" t="n">
        <f aca="false">cleaned_data!$I$253</f>
        <v>96.1</v>
      </c>
      <c r="E254" s="15" t="n">
        <f aca="false">cleaned_data!$H$253</f>
        <v>10</v>
      </c>
      <c r="F254" s="15" t="n">
        <f aca="false">dummy_variables!$D$253</f>
        <v>0</v>
      </c>
      <c r="G254" s="15" t="n">
        <f aca="false">dummy_variables!$E$253</f>
        <v>0</v>
      </c>
      <c r="H254" s="15" t="n">
        <f aca="false">dummy_variables!$F$253</f>
        <v>0</v>
      </c>
      <c r="I254" s="15" t="n">
        <f aca="false">dummy_variables!$G$253</f>
        <v>1</v>
      </c>
      <c r="J254" s="15" t="n">
        <f aca="false">dummy_variables!$H$253</f>
        <v>0</v>
      </c>
      <c r="K254" s="15" t="n">
        <f aca="false">dummy_variables!$I$253</f>
        <v>0</v>
      </c>
    </row>
    <row r="255" customFormat="false" ht="15" hidden="false" customHeight="true" outlineLevel="0" collapsed="false">
      <c r="A255" s="15" t="n">
        <f aca="false">cleaned_data!$M$254</f>
        <v>642751.42</v>
      </c>
      <c r="B255" s="15" t="n">
        <f aca="false">cleaned_data!$F$254</f>
        <v>5765</v>
      </c>
      <c r="C255" s="15" t="n">
        <f aca="false">cleaned_data!$E$254</f>
        <v>72932.55</v>
      </c>
      <c r="D255" s="15" t="n">
        <f aca="false">cleaned_data!$I$254</f>
        <v>81.8</v>
      </c>
      <c r="E255" s="15" t="n">
        <f aca="false">cleaned_data!$H$254</f>
        <v>17</v>
      </c>
      <c r="F255" s="15" t="n">
        <f aca="false">dummy_variables!$D$254</f>
        <v>0</v>
      </c>
      <c r="G255" s="15" t="n">
        <f aca="false">dummy_variables!$E$254</f>
        <v>0</v>
      </c>
      <c r="H255" s="15" t="n">
        <f aca="false">dummy_variables!$F$254</f>
        <v>0</v>
      </c>
      <c r="I255" s="15" t="n">
        <f aca="false">dummy_variables!$G$254</f>
        <v>1</v>
      </c>
      <c r="J255" s="15" t="n">
        <f aca="false">dummy_variables!$H$254</f>
        <v>0</v>
      </c>
      <c r="K255" s="15" t="n">
        <f aca="false">dummy_variables!$I$254</f>
        <v>0</v>
      </c>
    </row>
    <row r="256" customFormat="false" ht="15" hidden="false" customHeight="true" outlineLevel="0" collapsed="false">
      <c r="A256" s="15" t="n">
        <f aca="false">cleaned_data!$M$255</f>
        <v>647953.78</v>
      </c>
      <c r="B256" s="15" t="n">
        <f aca="false">cleaned_data!$F$255</f>
        <v>6322</v>
      </c>
      <c r="C256" s="15" t="n">
        <f aca="false">cleaned_data!$E$255</f>
        <v>38361.93</v>
      </c>
      <c r="D256" s="15" t="n">
        <f aca="false">cleaned_data!$I$255</f>
        <v>88.4</v>
      </c>
      <c r="E256" s="15" t="n">
        <f aca="false">cleaned_data!$H$255</f>
        <v>15</v>
      </c>
      <c r="F256" s="15" t="n">
        <f aca="false">dummy_variables!$D$255</f>
        <v>0</v>
      </c>
      <c r="G256" s="15" t="n">
        <f aca="false">dummy_variables!$E$255</f>
        <v>0</v>
      </c>
      <c r="H256" s="15" t="n">
        <f aca="false">dummy_variables!$F$255</f>
        <v>0</v>
      </c>
      <c r="I256" s="15" t="n">
        <f aca="false">dummy_variables!$G$255</f>
        <v>1</v>
      </c>
      <c r="J256" s="15" t="n">
        <f aca="false">dummy_variables!$H$255</f>
        <v>0</v>
      </c>
      <c r="K256" s="15" t="n">
        <f aca="false">dummy_variables!$I$255</f>
        <v>0</v>
      </c>
    </row>
    <row r="257" customFormat="false" ht="15" hidden="false" customHeight="true" outlineLevel="0" collapsed="false">
      <c r="A257" s="15" t="n">
        <f aca="false">cleaned_data!$M$256</f>
        <v>729440.45</v>
      </c>
      <c r="B257" s="15" t="n">
        <f aca="false">cleaned_data!$F$256</f>
        <v>6840</v>
      </c>
      <c r="C257" s="15" t="n">
        <f aca="false">cleaned_data!$E$256</f>
        <v>97480.94</v>
      </c>
      <c r="D257" s="15" t="n">
        <f aca="false">cleaned_data!$I$256</f>
        <v>79.2</v>
      </c>
      <c r="E257" s="15" t="n">
        <f aca="false">cleaned_data!$H$256</f>
        <v>14</v>
      </c>
      <c r="F257" s="15" t="n">
        <f aca="false">dummy_variables!$D$256</f>
        <v>0</v>
      </c>
      <c r="G257" s="15" t="n">
        <f aca="false">dummy_variables!$E$256</f>
        <v>0</v>
      </c>
      <c r="H257" s="15" t="n">
        <f aca="false">dummy_variables!$F$256</f>
        <v>0</v>
      </c>
      <c r="I257" s="15" t="n">
        <f aca="false">dummy_variables!$G$256</f>
        <v>1</v>
      </c>
      <c r="J257" s="15" t="n">
        <f aca="false">dummy_variables!$H$256</f>
        <v>0</v>
      </c>
      <c r="K257" s="15" t="n">
        <f aca="false">dummy_variables!$I$256</f>
        <v>0</v>
      </c>
    </row>
    <row r="258" customFormat="false" ht="15" hidden="false" customHeight="true" outlineLevel="0" collapsed="false">
      <c r="A258" s="15" t="n">
        <f aca="false">cleaned_data!$M$257</f>
        <v>764949</v>
      </c>
      <c r="B258" s="15" t="n">
        <f aca="false">cleaned_data!$F$257</f>
        <v>6782</v>
      </c>
      <c r="C258" s="15" t="n">
        <f aca="false">cleaned_data!$E$257</f>
        <v>81801.8</v>
      </c>
      <c r="D258" s="15" t="n">
        <f aca="false">cleaned_data!$I$257</f>
        <v>99</v>
      </c>
      <c r="E258" s="15" t="n">
        <f aca="false">cleaned_data!$H$257</f>
        <v>16</v>
      </c>
      <c r="F258" s="15" t="n">
        <f aca="false">dummy_variables!$D$257</f>
        <v>1</v>
      </c>
      <c r="G258" s="15" t="n">
        <f aca="false">dummy_variables!$E$257</f>
        <v>0</v>
      </c>
      <c r="H258" s="15" t="n">
        <f aca="false">dummy_variables!$F$257</f>
        <v>0</v>
      </c>
      <c r="I258" s="15" t="n">
        <f aca="false">dummy_variables!$G$257</f>
        <v>0</v>
      </c>
      <c r="J258" s="15" t="n">
        <f aca="false">dummy_variables!$H$257</f>
        <v>1</v>
      </c>
      <c r="K258" s="15" t="n">
        <f aca="false">dummy_variables!$I$257</f>
        <v>0</v>
      </c>
    </row>
    <row r="259" customFormat="false" ht="15" hidden="false" customHeight="true" outlineLevel="0" collapsed="false">
      <c r="A259" s="15" t="n">
        <f aca="false">cleaned_data!$M$258</f>
        <v>799046.94</v>
      </c>
      <c r="B259" s="15" t="n">
        <f aca="false">cleaned_data!$F$258</f>
        <v>6856</v>
      </c>
      <c r="C259" s="15" t="n">
        <f aca="false">cleaned_data!$E$258</f>
        <v>63582.11</v>
      </c>
      <c r="D259" s="15" t="n">
        <f aca="false">cleaned_data!$I$258</f>
        <v>89.5</v>
      </c>
      <c r="E259" s="15" t="n">
        <f aca="false">cleaned_data!$H$258</f>
        <v>17</v>
      </c>
      <c r="F259" s="15" t="n">
        <f aca="false">dummy_variables!$D$258</f>
        <v>1</v>
      </c>
      <c r="G259" s="15" t="n">
        <f aca="false">dummy_variables!$E$258</f>
        <v>0</v>
      </c>
      <c r="H259" s="15" t="n">
        <f aca="false">dummy_variables!$F$258</f>
        <v>0</v>
      </c>
      <c r="I259" s="15" t="n">
        <f aca="false">dummy_variables!$G$258</f>
        <v>0</v>
      </c>
      <c r="J259" s="15" t="n">
        <f aca="false">dummy_variables!$H$258</f>
        <v>1</v>
      </c>
      <c r="K259" s="15" t="n">
        <f aca="false">dummy_variables!$I$258</f>
        <v>0</v>
      </c>
    </row>
    <row r="260" customFormat="false" ht="15" hidden="false" customHeight="true" outlineLevel="0" collapsed="false">
      <c r="A260" s="15" t="n">
        <f aca="false">cleaned_data!$M$259</f>
        <v>720079.54</v>
      </c>
      <c r="B260" s="15" t="n">
        <f aca="false">cleaned_data!$F$259</f>
        <v>5641</v>
      </c>
      <c r="C260" s="15" t="n">
        <f aca="false">cleaned_data!$E$259</f>
        <v>75412.74</v>
      </c>
      <c r="D260" s="15" t="n">
        <f aca="false">cleaned_data!$I$259</f>
        <v>87.9</v>
      </c>
      <c r="E260" s="15" t="n">
        <f aca="false">cleaned_data!$H$259</f>
        <v>13</v>
      </c>
      <c r="F260" s="15" t="n">
        <f aca="false">dummy_variables!$D$259</f>
        <v>1</v>
      </c>
      <c r="G260" s="15" t="n">
        <f aca="false">dummy_variables!$E$259</f>
        <v>0</v>
      </c>
      <c r="H260" s="15" t="n">
        <f aca="false">dummy_variables!$F$259</f>
        <v>0</v>
      </c>
      <c r="I260" s="15" t="n">
        <f aca="false">dummy_variables!$G$259</f>
        <v>0</v>
      </c>
      <c r="J260" s="15" t="n">
        <f aca="false">dummy_variables!$H$259</f>
        <v>1</v>
      </c>
      <c r="K260" s="15" t="n">
        <f aca="false">dummy_variables!$I$259</f>
        <v>0</v>
      </c>
    </row>
    <row r="261" customFormat="false" ht="15" hidden="false" customHeight="true" outlineLevel="0" collapsed="false">
      <c r="A261" s="15" t="n">
        <f aca="false">cleaned_data!$M$260</f>
        <v>612390.14</v>
      </c>
      <c r="B261" s="15" t="n">
        <f aca="false">cleaned_data!$F$260</f>
        <v>5787</v>
      </c>
      <c r="C261" s="15" t="n">
        <f aca="false">cleaned_data!$E$260</f>
        <v>36290.08</v>
      </c>
      <c r="D261" s="15" t="n">
        <f aca="false">cleaned_data!$I$260</f>
        <v>88.3</v>
      </c>
      <c r="E261" s="15" t="n">
        <f aca="false">cleaned_data!$H$260</f>
        <v>17</v>
      </c>
      <c r="F261" s="15" t="n">
        <f aca="false">dummy_variables!$D$260</f>
        <v>1</v>
      </c>
      <c r="G261" s="15" t="n">
        <f aca="false">dummy_variables!$E$260</f>
        <v>0</v>
      </c>
      <c r="H261" s="15" t="n">
        <f aca="false">dummy_variables!$F$260</f>
        <v>0</v>
      </c>
      <c r="I261" s="15" t="n">
        <f aca="false">dummy_variables!$G$260</f>
        <v>0</v>
      </c>
      <c r="J261" s="15" t="n">
        <f aca="false">dummy_variables!$H$260</f>
        <v>1</v>
      </c>
      <c r="K261" s="15" t="n">
        <f aca="false">dummy_variables!$I$260</f>
        <v>0</v>
      </c>
    </row>
    <row r="262" customFormat="false" ht="15" hidden="false" customHeight="true" outlineLevel="0" collapsed="false">
      <c r="A262" s="15" t="n">
        <f aca="false">cleaned_data!$M$261</f>
        <v>840108.12</v>
      </c>
      <c r="B262" s="15" t="n">
        <f aca="false">cleaned_data!$F$261</f>
        <v>8165</v>
      </c>
      <c r="C262" s="15" t="n">
        <f aca="false">cleaned_data!$E$261</f>
        <v>65272.58</v>
      </c>
      <c r="D262" s="15" t="n">
        <f aca="false">cleaned_data!$I$261</f>
        <v>87.8</v>
      </c>
      <c r="E262" s="15" t="n">
        <f aca="false">cleaned_data!$H$261</f>
        <v>19</v>
      </c>
      <c r="F262" s="15" t="n">
        <f aca="false">dummy_variables!$D$261</f>
        <v>0</v>
      </c>
      <c r="G262" s="15" t="n">
        <f aca="false">dummy_variables!$E$261</f>
        <v>1</v>
      </c>
      <c r="H262" s="15" t="n">
        <f aca="false">dummy_variables!$F$261</f>
        <v>0</v>
      </c>
      <c r="I262" s="15" t="n">
        <f aca="false">dummy_variables!$G$261</f>
        <v>0</v>
      </c>
      <c r="J262" s="15" t="n">
        <f aca="false">dummy_variables!$H$261</f>
        <v>1</v>
      </c>
      <c r="K262" s="15" t="n">
        <f aca="false">dummy_variables!$I$261</f>
        <v>0</v>
      </c>
    </row>
    <row r="263" customFormat="false" ht="15" hidden="false" customHeight="true" outlineLevel="0" collapsed="false">
      <c r="A263" s="15" t="n">
        <f aca="false">cleaned_data!$M$262</f>
        <v>697888.09</v>
      </c>
      <c r="B263" s="15" t="n">
        <f aca="false">cleaned_data!$F$262</f>
        <v>7574</v>
      </c>
      <c r="C263" s="15" t="n">
        <f aca="false">cleaned_data!$E$262</f>
        <v>28670.43</v>
      </c>
      <c r="D263" s="15" t="n">
        <f aca="false">cleaned_data!$I$262</f>
        <v>82.7</v>
      </c>
      <c r="E263" s="15" t="n">
        <f aca="false">cleaned_data!$H$262</f>
        <v>19</v>
      </c>
      <c r="F263" s="15" t="n">
        <f aca="false">dummy_variables!$D$262</f>
        <v>0</v>
      </c>
      <c r="G263" s="15" t="n">
        <f aca="false">dummy_variables!$E$262</f>
        <v>1</v>
      </c>
      <c r="H263" s="15" t="n">
        <f aca="false">dummy_variables!$F$262</f>
        <v>0</v>
      </c>
      <c r="I263" s="15" t="n">
        <f aca="false">dummy_variables!$G$262</f>
        <v>0</v>
      </c>
      <c r="J263" s="15" t="n">
        <f aca="false">dummy_variables!$H$262</f>
        <v>1</v>
      </c>
      <c r="K263" s="15" t="n">
        <f aca="false">dummy_variables!$I$262</f>
        <v>0</v>
      </c>
    </row>
    <row r="264" customFormat="false" ht="15" hidden="false" customHeight="true" outlineLevel="0" collapsed="false">
      <c r="A264" s="15" t="n">
        <f aca="false">cleaned_data!$M$263</f>
        <v>746115.59</v>
      </c>
      <c r="B264" s="15" t="n">
        <f aca="false">cleaned_data!$F$263</f>
        <v>8634</v>
      </c>
      <c r="C264" s="15" t="n">
        <f aca="false">cleaned_data!$E$263</f>
        <v>44189.34</v>
      </c>
      <c r="D264" s="15" t="n">
        <f aca="false">cleaned_data!$I$263</f>
        <v>87.5</v>
      </c>
      <c r="E264" s="15" t="n">
        <f aca="false">cleaned_data!$H$263</f>
        <v>19</v>
      </c>
      <c r="F264" s="15" t="n">
        <f aca="false">dummy_variables!$D$263</f>
        <v>0</v>
      </c>
      <c r="G264" s="15" t="n">
        <f aca="false">dummy_variables!$E$263</f>
        <v>1</v>
      </c>
      <c r="H264" s="15" t="n">
        <f aca="false">dummy_variables!$F$263</f>
        <v>0</v>
      </c>
      <c r="I264" s="15" t="n">
        <f aca="false">dummy_variables!$G$263</f>
        <v>0</v>
      </c>
      <c r="J264" s="15" t="n">
        <f aca="false">dummy_variables!$H$263</f>
        <v>1</v>
      </c>
      <c r="K264" s="15" t="n">
        <f aca="false">dummy_variables!$I$263</f>
        <v>0</v>
      </c>
    </row>
    <row r="265" customFormat="false" ht="15" hidden="false" customHeight="true" outlineLevel="0" collapsed="false">
      <c r="A265" s="15" t="n">
        <f aca="false">cleaned_data!$M$264</f>
        <v>776110.32</v>
      </c>
      <c r="B265" s="15" t="n">
        <f aca="false">cleaned_data!$F$264</f>
        <v>7836</v>
      </c>
      <c r="C265" s="15" t="n">
        <f aca="false">cleaned_data!$E$264</f>
        <v>38397.82</v>
      </c>
      <c r="D265" s="15" t="n">
        <f aca="false">cleaned_data!$I$264</f>
        <v>92.2</v>
      </c>
      <c r="E265" s="15" t="n">
        <f aca="false">cleaned_data!$H$264</f>
        <v>21</v>
      </c>
      <c r="F265" s="15" t="n">
        <f aca="false">dummy_variables!$D$264</f>
        <v>0</v>
      </c>
      <c r="G265" s="15" t="n">
        <f aca="false">dummy_variables!$E$264</f>
        <v>1</v>
      </c>
      <c r="H265" s="15" t="n">
        <f aca="false">dummy_variables!$F$264</f>
        <v>0</v>
      </c>
      <c r="I265" s="15" t="n">
        <f aca="false">dummy_variables!$G$264</f>
        <v>0</v>
      </c>
      <c r="J265" s="15" t="n">
        <f aca="false">dummy_variables!$H$264</f>
        <v>1</v>
      </c>
      <c r="K265" s="15" t="n">
        <f aca="false">dummy_variables!$I$264</f>
        <v>0</v>
      </c>
    </row>
    <row r="266" customFormat="false" ht="15" hidden="false" customHeight="true" outlineLevel="0" collapsed="false">
      <c r="A266" s="15" t="n">
        <f aca="false">cleaned_data!$M$265</f>
        <v>528852.62</v>
      </c>
      <c r="B266" s="15" t="n">
        <f aca="false">cleaned_data!$F$265</f>
        <v>3047</v>
      </c>
      <c r="C266" s="15" t="n">
        <f aca="false">cleaned_data!$E$265</f>
        <v>14519.37</v>
      </c>
      <c r="D266" s="15" t="n">
        <f aca="false">cleaned_data!$I$265</f>
        <v>90.3</v>
      </c>
      <c r="E266" s="15" t="n">
        <f aca="false">cleaned_data!$H$265</f>
        <v>10</v>
      </c>
      <c r="F266" s="15" t="n">
        <f aca="false">dummy_variables!$D$265</f>
        <v>0</v>
      </c>
      <c r="G266" s="15" t="n">
        <f aca="false">dummy_variables!$E$265</f>
        <v>0</v>
      </c>
      <c r="H266" s="15" t="n">
        <f aca="false">dummy_variables!$F$265</f>
        <v>0</v>
      </c>
      <c r="I266" s="15" t="n">
        <f aca="false">dummy_variables!$G$265</f>
        <v>0</v>
      </c>
      <c r="J266" s="15" t="n">
        <f aca="false">dummy_variables!$H$265</f>
        <v>0</v>
      </c>
      <c r="K266" s="15" t="n">
        <f aca="false">dummy_variables!$I$265</f>
        <v>1</v>
      </c>
    </row>
    <row r="267" customFormat="false" ht="15" hidden="false" customHeight="true" outlineLevel="0" collapsed="false">
      <c r="A267" s="15" t="n">
        <f aca="false">cleaned_data!$M$266</f>
        <v>605751.33</v>
      </c>
      <c r="B267" s="15" t="n">
        <f aca="false">cleaned_data!$F$266</f>
        <v>4783</v>
      </c>
      <c r="C267" s="15" t="n">
        <f aca="false">cleaned_data!$E$266</f>
        <v>43288.2</v>
      </c>
      <c r="D267" s="15" t="n">
        <f aca="false">cleaned_data!$I$266</f>
        <v>87.3</v>
      </c>
      <c r="E267" s="15" t="n">
        <f aca="false">cleaned_data!$H$266</f>
        <v>13</v>
      </c>
      <c r="F267" s="15" t="n">
        <f aca="false">dummy_variables!$D$266</f>
        <v>0</v>
      </c>
      <c r="G267" s="15" t="n">
        <f aca="false">dummy_variables!$E$266</f>
        <v>0</v>
      </c>
      <c r="H267" s="15" t="n">
        <f aca="false">dummy_variables!$F$266</f>
        <v>0</v>
      </c>
      <c r="I267" s="15" t="n">
        <f aca="false">dummy_variables!$G$266</f>
        <v>0</v>
      </c>
      <c r="J267" s="15" t="n">
        <f aca="false">dummy_variables!$H$266</f>
        <v>0</v>
      </c>
      <c r="K267" s="15" t="n">
        <f aca="false">dummy_variables!$I$266</f>
        <v>1</v>
      </c>
    </row>
    <row r="268" customFormat="false" ht="15" hidden="false" customHeight="true" outlineLevel="0" collapsed="false">
      <c r="A268" s="15" t="n">
        <f aca="false">cleaned_data!$M$267</f>
        <v>677640.65</v>
      </c>
      <c r="B268" s="15" t="n">
        <f aca="false">cleaned_data!$F$267</f>
        <v>4902</v>
      </c>
      <c r="C268" s="15" t="n">
        <f aca="false">cleaned_data!$E$267</f>
        <v>51450.55</v>
      </c>
      <c r="D268" s="15" t="n">
        <f aca="false">cleaned_data!$I$267</f>
        <v>83.7</v>
      </c>
      <c r="E268" s="15" t="n">
        <f aca="false">cleaned_data!$H$267</f>
        <v>11</v>
      </c>
      <c r="F268" s="15" t="n">
        <f aca="false">dummy_variables!$D$267</f>
        <v>0</v>
      </c>
      <c r="G268" s="15" t="n">
        <f aca="false">dummy_variables!$E$267</f>
        <v>0</v>
      </c>
      <c r="H268" s="15" t="n">
        <f aca="false">dummy_variables!$F$267</f>
        <v>0</v>
      </c>
      <c r="I268" s="15" t="n">
        <f aca="false">dummy_variables!$G$267</f>
        <v>0</v>
      </c>
      <c r="J268" s="15" t="n">
        <f aca="false">dummy_variables!$H$267</f>
        <v>0</v>
      </c>
      <c r="K268" s="15" t="n">
        <f aca="false">dummy_variables!$I$267</f>
        <v>1</v>
      </c>
    </row>
    <row r="269" customFormat="false" ht="15" hidden="false" customHeight="true" outlineLevel="0" collapsed="false">
      <c r="A269" s="15" t="n">
        <f aca="false">cleaned_data!$M$268</f>
        <v>636613.23</v>
      </c>
      <c r="B269" s="15" t="n">
        <f aca="false">cleaned_data!$F$268</f>
        <v>4022</v>
      </c>
      <c r="C269" s="15" t="n">
        <f aca="false">cleaned_data!$E$268</f>
        <v>58688.26</v>
      </c>
      <c r="D269" s="15" t="n">
        <f aca="false">cleaned_data!$I$268</f>
        <v>93.8</v>
      </c>
      <c r="E269" s="15" t="n">
        <f aca="false">cleaned_data!$H$268</f>
        <v>12</v>
      </c>
      <c r="F269" s="15" t="n">
        <f aca="false">dummy_variables!$D$268</f>
        <v>0</v>
      </c>
      <c r="G269" s="15" t="n">
        <f aca="false">dummy_variables!$E$268</f>
        <v>0</v>
      </c>
      <c r="H269" s="15" t="n">
        <f aca="false">dummy_variables!$F$268</f>
        <v>0</v>
      </c>
      <c r="I269" s="15" t="n">
        <f aca="false">dummy_variables!$G$268</f>
        <v>0</v>
      </c>
      <c r="J269" s="15" t="n">
        <f aca="false">dummy_variables!$H$268</f>
        <v>0</v>
      </c>
      <c r="K269" s="15" t="n">
        <f aca="false">dummy_variables!$I$268</f>
        <v>1</v>
      </c>
    </row>
    <row r="270" customFormat="false" ht="15" hidden="false" customHeight="true" outlineLevel="0" collapsed="false">
      <c r="A270" s="15" t="n">
        <f aca="false">cleaned_data!$M$269</f>
        <v>708985.19</v>
      </c>
      <c r="B270" s="15" t="n">
        <f aca="false">cleaned_data!$F$269</f>
        <v>7324</v>
      </c>
      <c r="C270" s="15" t="n">
        <f aca="false">cleaned_data!$E$269</f>
        <v>58981.91</v>
      </c>
      <c r="D270" s="15" t="n">
        <f aca="false">cleaned_data!$I$269</f>
        <v>95.8</v>
      </c>
      <c r="E270" s="15" t="n">
        <f aca="false">cleaned_data!$H$269</f>
        <v>15</v>
      </c>
      <c r="F270" s="15" t="n">
        <f aca="false">dummy_variables!$D$269</f>
        <v>0</v>
      </c>
      <c r="G270" s="15" t="n">
        <f aca="false">dummy_variables!$E$269</f>
        <v>0</v>
      </c>
      <c r="H270" s="15" t="n">
        <f aca="false">dummy_variables!$F$269</f>
        <v>0</v>
      </c>
      <c r="I270" s="15" t="n">
        <f aca="false">dummy_variables!$G$269</f>
        <v>0</v>
      </c>
      <c r="J270" s="15" t="n">
        <f aca="false">dummy_variables!$H$269</f>
        <v>0</v>
      </c>
      <c r="K270" s="15" t="n">
        <f aca="false">dummy_variables!$I$269</f>
        <v>0</v>
      </c>
    </row>
    <row r="271" customFormat="false" ht="15" hidden="false" customHeight="true" outlineLevel="0" collapsed="false">
      <c r="A271" s="15" t="n">
        <f aca="false">cleaned_data!$M$270</f>
        <v>767792.94</v>
      </c>
      <c r="B271" s="15" t="n">
        <f aca="false">cleaned_data!$F$270</f>
        <v>8129</v>
      </c>
      <c r="C271" s="15" t="n">
        <f aca="false">cleaned_data!$E$270</f>
        <v>73454.54</v>
      </c>
      <c r="D271" s="15" t="n">
        <f aca="false">cleaned_data!$I$270</f>
        <v>85.2</v>
      </c>
      <c r="E271" s="15" t="n">
        <f aca="false">cleaned_data!$H$270</f>
        <v>20</v>
      </c>
      <c r="F271" s="15" t="n">
        <f aca="false">dummy_variables!$D$270</f>
        <v>0</v>
      </c>
      <c r="G271" s="15" t="n">
        <f aca="false">dummy_variables!$E$270</f>
        <v>0</v>
      </c>
      <c r="H271" s="15" t="n">
        <f aca="false">dummy_variables!$F$270</f>
        <v>0</v>
      </c>
      <c r="I271" s="15" t="n">
        <f aca="false">dummy_variables!$G$270</f>
        <v>0</v>
      </c>
      <c r="J271" s="15" t="n">
        <f aca="false">dummy_variables!$H$270</f>
        <v>0</v>
      </c>
      <c r="K271" s="15" t="n">
        <f aca="false">dummy_variables!$I$270</f>
        <v>0</v>
      </c>
    </row>
    <row r="272" customFormat="false" ht="15" hidden="false" customHeight="true" outlineLevel="0" collapsed="false">
      <c r="A272" s="15" t="n">
        <f aca="false">cleaned_data!$M$271</f>
        <v>745580.51</v>
      </c>
      <c r="B272" s="15" t="n">
        <f aca="false">cleaned_data!$F$271</f>
        <v>7969</v>
      </c>
      <c r="C272" s="15" t="n">
        <f aca="false">cleaned_data!$E$271</f>
        <v>56602.39</v>
      </c>
      <c r="D272" s="15" t="n">
        <f aca="false">cleaned_data!$I$271</f>
        <v>88.3</v>
      </c>
      <c r="E272" s="15" t="n">
        <f aca="false">cleaned_data!$H$271</f>
        <v>21</v>
      </c>
      <c r="F272" s="15" t="n">
        <f aca="false">dummy_variables!$D$271</f>
        <v>0</v>
      </c>
      <c r="G272" s="15" t="n">
        <f aca="false">dummy_variables!$E$271</f>
        <v>0</v>
      </c>
      <c r="H272" s="15" t="n">
        <f aca="false">dummy_variables!$F$271</f>
        <v>0</v>
      </c>
      <c r="I272" s="15" t="n">
        <f aca="false">dummy_variables!$G$271</f>
        <v>0</v>
      </c>
      <c r="J272" s="15" t="n">
        <f aca="false">dummy_variables!$H$271</f>
        <v>0</v>
      </c>
      <c r="K272" s="15" t="n">
        <f aca="false">dummy_variables!$I$271</f>
        <v>0</v>
      </c>
    </row>
    <row r="273" customFormat="false" ht="15" hidden="false" customHeight="true" outlineLevel="0" collapsed="false">
      <c r="A273" s="15" t="n">
        <f aca="false">cleaned_data!$M$272</f>
        <v>762328.31</v>
      </c>
      <c r="B273" s="15" t="n">
        <f aca="false">cleaned_data!$F$272</f>
        <v>7240</v>
      </c>
      <c r="C273" s="15" t="n">
        <f aca="false">cleaned_data!$E$272</f>
        <v>67722.29</v>
      </c>
      <c r="D273" s="15" t="n">
        <f aca="false">cleaned_data!$I$272</f>
        <v>92.9</v>
      </c>
      <c r="E273" s="15" t="n">
        <f aca="false">cleaned_data!$H$272</f>
        <v>15</v>
      </c>
      <c r="F273" s="15" t="n">
        <f aca="false">dummy_variables!$D$272</f>
        <v>0</v>
      </c>
      <c r="G273" s="15" t="n">
        <f aca="false">dummy_variables!$E$272</f>
        <v>0</v>
      </c>
      <c r="H273" s="15" t="n">
        <f aca="false">dummy_variables!$F$272</f>
        <v>0</v>
      </c>
      <c r="I273" s="15" t="n">
        <f aca="false">dummy_variables!$G$272</f>
        <v>0</v>
      </c>
      <c r="J273" s="15" t="n">
        <f aca="false">dummy_variables!$H$272</f>
        <v>0</v>
      </c>
      <c r="K273" s="15" t="n">
        <f aca="false">dummy_variables!$I$272</f>
        <v>0</v>
      </c>
    </row>
    <row r="274" customFormat="false" ht="15" hidden="false" customHeight="true" outlineLevel="0" collapsed="false">
      <c r="A274" s="15" t="n">
        <f aca="false">cleaned_data!$M$273</f>
        <v>660633.99</v>
      </c>
      <c r="B274" s="15" t="n">
        <f aca="false">cleaned_data!$F$273</f>
        <v>8052</v>
      </c>
      <c r="C274" s="15" t="n">
        <f aca="false">cleaned_data!$E$273</f>
        <v>48752.92</v>
      </c>
      <c r="D274" s="15" t="n">
        <f aca="false">cleaned_data!$I$273</f>
        <v>94.9</v>
      </c>
      <c r="E274" s="15" t="n">
        <f aca="false">cleaned_data!$H$273</f>
        <v>16</v>
      </c>
      <c r="F274" s="15" t="n">
        <f aca="false">dummy_variables!$D$273</f>
        <v>0</v>
      </c>
      <c r="G274" s="15" t="n">
        <f aca="false">dummy_variables!$E$273</f>
        <v>1</v>
      </c>
      <c r="H274" s="15" t="n">
        <f aca="false">dummy_variables!$F$273</f>
        <v>0</v>
      </c>
      <c r="I274" s="15" t="n">
        <f aca="false">dummy_variables!$G$273</f>
        <v>0</v>
      </c>
      <c r="J274" s="15" t="n">
        <f aca="false">dummy_variables!$H$273</f>
        <v>0</v>
      </c>
      <c r="K274" s="15" t="n">
        <f aca="false">dummy_variables!$I$273</f>
        <v>0</v>
      </c>
    </row>
    <row r="275" customFormat="false" ht="15" hidden="false" customHeight="true" outlineLevel="0" collapsed="false">
      <c r="A275" s="15" t="n">
        <f aca="false">cleaned_data!$M$274</f>
        <v>739374.56</v>
      </c>
      <c r="B275" s="15" t="n">
        <f aca="false">cleaned_data!$F$274</f>
        <v>8018</v>
      </c>
      <c r="C275" s="15" t="n">
        <f aca="false">cleaned_data!$E$274</f>
        <v>23914.97</v>
      </c>
      <c r="D275" s="15" t="n">
        <f aca="false">cleaned_data!$I$274</f>
        <v>89</v>
      </c>
      <c r="E275" s="15" t="n">
        <f aca="false">cleaned_data!$H$274</f>
        <v>20</v>
      </c>
      <c r="F275" s="15" t="n">
        <f aca="false">dummy_variables!$D$274</f>
        <v>0</v>
      </c>
      <c r="G275" s="15" t="n">
        <f aca="false">dummy_variables!$E$274</f>
        <v>1</v>
      </c>
      <c r="H275" s="15" t="n">
        <f aca="false">dummy_variables!$F$274</f>
        <v>0</v>
      </c>
      <c r="I275" s="15" t="n">
        <f aca="false">dummy_variables!$G$274</f>
        <v>0</v>
      </c>
      <c r="J275" s="15" t="n">
        <f aca="false">dummy_variables!$H$274</f>
        <v>0</v>
      </c>
      <c r="K275" s="15" t="n">
        <f aca="false">dummy_variables!$I$274</f>
        <v>0</v>
      </c>
    </row>
    <row r="276" customFormat="false" ht="15" hidden="false" customHeight="true" outlineLevel="0" collapsed="false">
      <c r="A276" s="15" t="n">
        <f aca="false">cleaned_data!$M$275</f>
        <v>799756.46</v>
      </c>
      <c r="B276" s="15" t="n">
        <f aca="false">cleaned_data!$F$275</f>
        <v>10192</v>
      </c>
      <c r="C276" s="15" t="n">
        <f aca="false">cleaned_data!$E$275</f>
        <v>61995.3</v>
      </c>
      <c r="D276" s="15" t="n">
        <f aca="false">cleaned_data!$I$275</f>
        <v>87.6</v>
      </c>
      <c r="E276" s="15" t="n">
        <f aca="false">cleaned_data!$H$275</f>
        <v>21</v>
      </c>
      <c r="F276" s="15" t="n">
        <f aca="false">dummy_variables!$D$275</f>
        <v>0</v>
      </c>
      <c r="G276" s="15" t="n">
        <f aca="false">dummy_variables!$E$275</f>
        <v>1</v>
      </c>
      <c r="H276" s="15" t="n">
        <f aca="false">dummy_variables!$F$275</f>
        <v>0</v>
      </c>
      <c r="I276" s="15" t="n">
        <f aca="false">dummy_variables!$G$275</f>
        <v>0</v>
      </c>
      <c r="J276" s="15" t="n">
        <f aca="false">dummy_variables!$H$275</f>
        <v>0</v>
      </c>
      <c r="K276" s="15" t="n">
        <f aca="false">dummy_variables!$I$275</f>
        <v>0</v>
      </c>
    </row>
    <row r="277" customFormat="false" ht="15" hidden="false" customHeight="true" outlineLevel="0" collapsed="false">
      <c r="A277" s="15" t="n">
        <f aca="false">cleaned_data!$M$276</f>
        <v>593343</v>
      </c>
      <c r="B277" s="15" t="n">
        <f aca="false">cleaned_data!$F$276</f>
        <v>7446</v>
      </c>
      <c r="C277" s="15" t="n">
        <f aca="false">cleaned_data!$E$276</f>
        <v>29344.93</v>
      </c>
      <c r="D277" s="15" t="n">
        <f aca="false">cleaned_data!$I$276</f>
        <v>86.2</v>
      </c>
      <c r="E277" s="15" t="n">
        <f aca="false">cleaned_data!$H$276</f>
        <v>15</v>
      </c>
      <c r="F277" s="15" t="n">
        <f aca="false">dummy_variables!$D$276</f>
        <v>0</v>
      </c>
      <c r="G277" s="15" t="n">
        <f aca="false">dummy_variables!$E$276</f>
        <v>1</v>
      </c>
      <c r="H277" s="15" t="n">
        <f aca="false">dummy_variables!$F$276</f>
        <v>0</v>
      </c>
      <c r="I277" s="15" t="n">
        <f aca="false">dummy_variables!$G$276</f>
        <v>0</v>
      </c>
      <c r="J277" s="15" t="n">
        <f aca="false">dummy_variables!$H$276</f>
        <v>0</v>
      </c>
      <c r="K277" s="15" t="n">
        <f aca="false">dummy_variables!$I$276</f>
        <v>0</v>
      </c>
    </row>
    <row r="278" customFormat="false" ht="15" hidden="false" customHeight="true" outlineLevel="0" collapsed="false">
      <c r="A278" s="15" t="n">
        <f aca="false">cleaned_data!$M$277</f>
        <v>645039.97</v>
      </c>
      <c r="B278" s="15" t="n">
        <f aca="false">cleaned_data!$F$277</f>
        <v>5689</v>
      </c>
      <c r="C278" s="15" t="n">
        <f aca="false">cleaned_data!$E$277</f>
        <v>50532.17</v>
      </c>
      <c r="D278" s="15" t="n">
        <f aca="false">cleaned_data!$I$277</f>
        <v>85.6</v>
      </c>
      <c r="E278" s="15" t="n">
        <f aca="false">cleaned_data!$H$277</f>
        <v>17</v>
      </c>
      <c r="F278" s="15" t="n">
        <f aca="false">dummy_variables!$D$277</f>
        <v>0</v>
      </c>
      <c r="G278" s="15" t="n">
        <f aca="false">dummy_variables!$E$277</f>
        <v>0</v>
      </c>
      <c r="H278" s="15" t="n">
        <f aca="false">dummy_variables!$F$277</f>
        <v>0</v>
      </c>
      <c r="I278" s="15" t="n">
        <f aca="false">dummy_variables!$G$277</f>
        <v>0</v>
      </c>
      <c r="J278" s="15" t="n">
        <f aca="false">dummy_variables!$H$277</f>
        <v>0</v>
      </c>
      <c r="K278" s="15" t="n">
        <f aca="false">dummy_variables!$I$277</f>
        <v>1</v>
      </c>
    </row>
    <row r="279" customFormat="false" ht="15" hidden="false" customHeight="true" outlineLevel="0" collapsed="false">
      <c r="A279" s="15" t="n">
        <f aca="false">cleaned_data!$M$278</f>
        <v>561597.33</v>
      </c>
      <c r="B279" s="15" t="n">
        <f aca="false">cleaned_data!$F$278</f>
        <v>3326</v>
      </c>
      <c r="C279" s="15" t="n">
        <f aca="false">cleaned_data!$E$278</f>
        <v>17562.57</v>
      </c>
      <c r="D279" s="15" t="n">
        <f aca="false">cleaned_data!$I$278</f>
        <v>88.1</v>
      </c>
      <c r="E279" s="15" t="n">
        <f aca="false">cleaned_data!$H$278</f>
        <v>14</v>
      </c>
      <c r="F279" s="15" t="n">
        <f aca="false">dummy_variables!$D$278</f>
        <v>0</v>
      </c>
      <c r="G279" s="15" t="n">
        <f aca="false">dummy_variables!$E$278</f>
        <v>0</v>
      </c>
      <c r="H279" s="15" t="n">
        <f aca="false">dummy_variables!$F$278</f>
        <v>0</v>
      </c>
      <c r="I279" s="15" t="n">
        <f aca="false">dummy_variables!$G$278</f>
        <v>0</v>
      </c>
      <c r="J279" s="15" t="n">
        <f aca="false">dummy_variables!$H$278</f>
        <v>0</v>
      </c>
      <c r="K279" s="15" t="n">
        <f aca="false">dummy_variables!$I$278</f>
        <v>1</v>
      </c>
    </row>
    <row r="280" customFormat="false" ht="15" hidden="false" customHeight="true" outlineLevel="0" collapsed="false">
      <c r="A280" s="15" t="n">
        <f aca="false">cleaned_data!$M$279</f>
        <v>635837.74</v>
      </c>
      <c r="B280" s="15" t="n">
        <f aca="false">cleaned_data!$F$279</f>
        <v>5767</v>
      </c>
      <c r="C280" s="15" t="n">
        <f aca="false">cleaned_data!$E$279</f>
        <v>47648.71</v>
      </c>
      <c r="D280" s="15" t="n">
        <f aca="false">cleaned_data!$I$279</f>
        <v>89.8</v>
      </c>
      <c r="E280" s="15" t="n">
        <f aca="false">cleaned_data!$H$279</f>
        <v>17</v>
      </c>
      <c r="F280" s="15" t="n">
        <f aca="false">dummy_variables!$D$279</f>
        <v>0</v>
      </c>
      <c r="G280" s="15" t="n">
        <f aca="false">dummy_variables!$E$279</f>
        <v>0</v>
      </c>
      <c r="H280" s="15" t="n">
        <f aca="false">dummy_variables!$F$279</f>
        <v>0</v>
      </c>
      <c r="I280" s="15" t="n">
        <f aca="false">dummy_variables!$G$279</f>
        <v>0</v>
      </c>
      <c r="J280" s="15" t="n">
        <f aca="false">dummy_variables!$H$279</f>
        <v>0</v>
      </c>
      <c r="K280" s="15" t="n">
        <f aca="false">dummy_variables!$I$279</f>
        <v>1</v>
      </c>
    </row>
    <row r="281" customFormat="false" ht="15" hidden="false" customHeight="true" outlineLevel="0" collapsed="false">
      <c r="A281" s="15" t="n">
        <f aca="false">cleaned_data!$M$280</f>
        <v>686737.87</v>
      </c>
      <c r="B281" s="15" t="n">
        <f aca="false">cleaned_data!$F$280</f>
        <v>5893</v>
      </c>
      <c r="C281" s="15" t="n">
        <f aca="false">cleaned_data!$E$280</f>
        <v>38297.58</v>
      </c>
      <c r="D281" s="15" t="n">
        <f aca="false">cleaned_data!$I$280</f>
        <v>77.6</v>
      </c>
      <c r="E281" s="15" t="n">
        <f aca="false">cleaned_data!$H$280</f>
        <v>18</v>
      </c>
      <c r="F281" s="15" t="n">
        <f aca="false">dummy_variables!$D$280</f>
        <v>0</v>
      </c>
      <c r="G281" s="15" t="n">
        <f aca="false">dummy_variables!$E$280</f>
        <v>0</v>
      </c>
      <c r="H281" s="15" t="n">
        <f aca="false">dummy_variables!$F$280</f>
        <v>0</v>
      </c>
      <c r="I281" s="15" t="n">
        <f aca="false">dummy_variables!$G$280</f>
        <v>0</v>
      </c>
      <c r="J281" s="15" t="n">
        <f aca="false">dummy_variables!$H$280</f>
        <v>0</v>
      </c>
      <c r="K281" s="15" t="n">
        <f aca="false">dummy_variables!$I$280</f>
        <v>1</v>
      </c>
    </row>
    <row r="282" customFormat="false" ht="15" hidden="false" customHeight="true" outlineLevel="0" collapsed="false">
      <c r="A282" s="15" t="n">
        <f aca="false">cleaned_data!$M$281</f>
        <v>673076.34</v>
      </c>
      <c r="B282" s="15" t="n">
        <f aca="false">cleaned_data!$F$281</f>
        <v>8564</v>
      </c>
      <c r="C282" s="15" t="n">
        <f aca="false">cleaned_data!$E$281</f>
        <v>61784.11</v>
      </c>
      <c r="D282" s="15" t="n">
        <f aca="false">cleaned_data!$I$281</f>
        <v>87.4</v>
      </c>
      <c r="E282" s="15" t="n">
        <f aca="false">cleaned_data!$H$281</f>
        <v>17</v>
      </c>
      <c r="F282" s="15" t="n">
        <f aca="false">dummy_variables!$D$281</f>
        <v>0</v>
      </c>
      <c r="G282" s="15" t="n">
        <f aca="false">dummy_variables!$E$281</f>
        <v>0</v>
      </c>
      <c r="H282" s="15" t="n">
        <f aca="false">dummy_variables!$F$281</f>
        <v>1</v>
      </c>
      <c r="I282" s="15" t="n">
        <f aca="false">dummy_variables!$G$281</f>
        <v>0</v>
      </c>
      <c r="J282" s="15" t="n">
        <f aca="false">dummy_variables!$H$281</f>
        <v>1</v>
      </c>
      <c r="K282" s="15" t="n">
        <f aca="false">dummy_variables!$I$281</f>
        <v>0</v>
      </c>
    </row>
    <row r="283" customFormat="false" ht="15" hidden="false" customHeight="true" outlineLevel="0" collapsed="false">
      <c r="A283" s="15" t="n">
        <f aca="false">cleaned_data!$M$282</f>
        <v>738548.42</v>
      </c>
      <c r="B283" s="15" t="n">
        <f aca="false">cleaned_data!$F$282</f>
        <v>8001</v>
      </c>
      <c r="C283" s="15" t="n">
        <f aca="false">cleaned_data!$E$282</f>
        <v>36832.33</v>
      </c>
      <c r="D283" s="15" t="n">
        <f aca="false">cleaned_data!$I$282</f>
        <v>88.7</v>
      </c>
      <c r="E283" s="15" t="n">
        <f aca="false">cleaned_data!$H$282</f>
        <v>19</v>
      </c>
      <c r="F283" s="15" t="n">
        <f aca="false">dummy_variables!$D$282</f>
        <v>0</v>
      </c>
      <c r="G283" s="15" t="n">
        <f aca="false">dummy_variables!$E$282</f>
        <v>0</v>
      </c>
      <c r="H283" s="15" t="n">
        <f aca="false">dummy_variables!$F$282</f>
        <v>1</v>
      </c>
      <c r="I283" s="15" t="n">
        <f aca="false">dummy_variables!$G$282</f>
        <v>0</v>
      </c>
      <c r="J283" s="15" t="n">
        <f aca="false">dummy_variables!$H$282</f>
        <v>1</v>
      </c>
      <c r="K283" s="15" t="n">
        <f aca="false">dummy_variables!$I$282</f>
        <v>0</v>
      </c>
    </row>
    <row r="284" customFormat="false" ht="15" hidden="false" customHeight="true" outlineLevel="0" collapsed="false">
      <c r="A284" s="15" t="n">
        <f aca="false">cleaned_data!$M$283</f>
        <v>756619.77</v>
      </c>
      <c r="B284" s="15" t="n">
        <f aca="false">cleaned_data!$F$283</f>
        <v>9324</v>
      </c>
      <c r="C284" s="15" t="n">
        <f aca="false">cleaned_data!$E$283</f>
        <v>48609.41</v>
      </c>
      <c r="D284" s="15" t="n">
        <f aca="false">cleaned_data!$I$283</f>
        <v>86.5</v>
      </c>
      <c r="E284" s="15" t="n">
        <f aca="false">cleaned_data!$H$283</f>
        <v>18</v>
      </c>
      <c r="F284" s="15" t="n">
        <f aca="false">dummy_variables!$D$283</f>
        <v>0</v>
      </c>
      <c r="G284" s="15" t="n">
        <f aca="false">dummy_variables!$E$283</f>
        <v>0</v>
      </c>
      <c r="H284" s="15" t="n">
        <f aca="false">dummy_variables!$F$283</f>
        <v>1</v>
      </c>
      <c r="I284" s="15" t="n">
        <f aca="false">dummy_variables!$G$283</f>
        <v>0</v>
      </c>
      <c r="J284" s="15" t="n">
        <f aca="false">dummy_variables!$H$283</f>
        <v>1</v>
      </c>
      <c r="K284" s="15" t="n">
        <f aca="false">dummy_variables!$I$283</f>
        <v>0</v>
      </c>
    </row>
    <row r="285" customFormat="false" ht="15" hidden="false" customHeight="true" outlineLevel="0" collapsed="false">
      <c r="A285" s="15" t="n">
        <f aca="false">cleaned_data!$M$284</f>
        <v>761122.42</v>
      </c>
      <c r="B285" s="15" t="n">
        <f aca="false">cleaned_data!$F$284</f>
        <v>9109</v>
      </c>
      <c r="C285" s="15" t="n">
        <f aca="false">cleaned_data!$E$284</f>
        <v>70284.06</v>
      </c>
      <c r="D285" s="15" t="n">
        <f aca="false">cleaned_data!$I$284</f>
        <v>87</v>
      </c>
      <c r="E285" s="15" t="n">
        <f aca="false">cleaned_data!$H$284</f>
        <v>23</v>
      </c>
      <c r="F285" s="15" t="n">
        <f aca="false">dummy_variables!$D$284</f>
        <v>0</v>
      </c>
      <c r="G285" s="15" t="n">
        <f aca="false">dummy_variables!$E$284</f>
        <v>0</v>
      </c>
      <c r="H285" s="15" t="n">
        <f aca="false">dummy_variables!$F$284</f>
        <v>1</v>
      </c>
      <c r="I285" s="15" t="n">
        <f aca="false">dummy_variables!$G$284</f>
        <v>0</v>
      </c>
      <c r="J285" s="15" t="n">
        <f aca="false">dummy_variables!$H$284</f>
        <v>1</v>
      </c>
      <c r="K285" s="15" t="n">
        <f aca="false">dummy_variables!$I$284</f>
        <v>0</v>
      </c>
    </row>
    <row r="286" customFormat="false" ht="15" hidden="false" customHeight="true" outlineLevel="0" collapsed="false">
      <c r="A286" s="15" t="n">
        <f aca="false">cleaned_data!$M$285</f>
        <v>524899.57</v>
      </c>
      <c r="B286" s="15" t="n">
        <f aca="false">cleaned_data!$F$285</f>
        <v>4022</v>
      </c>
      <c r="C286" s="15" t="n">
        <f aca="false">cleaned_data!$E$285</f>
        <v>45940.39</v>
      </c>
      <c r="D286" s="15" t="n">
        <f aca="false">cleaned_data!$I$285</f>
        <v>83</v>
      </c>
      <c r="E286" s="15" t="n">
        <f aca="false">cleaned_data!$H$285</f>
        <v>10</v>
      </c>
      <c r="F286" s="15" t="n">
        <f aca="false">dummy_variables!$D$285</f>
        <v>0</v>
      </c>
      <c r="G286" s="15" t="n">
        <f aca="false">dummy_variables!$E$285</f>
        <v>0</v>
      </c>
      <c r="H286" s="15" t="n">
        <f aca="false">dummy_variables!$F$285</f>
        <v>0</v>
      </c>
      <c r="I286" s="15" t="n">
        <f aca="false">dummy_variables!$G$285</f>
        <v>0</v>
      </c>
      <c r="J286" s="15" t="n">
        <f aca="false">dummy_variables!$H$285</f>
        <v>1</v>
      </c>
      <c r="K286" s="15" t="n">
        <f aca="false">dummy_variables!$I$285</f>
        <v>0</v>
      </c>
    </row>
    <row r="287" customFormat="false" ht="15" hidden="false" customHeight="true" outlineLevel="0" collapsed="false">
      <c r="A287" s="15" t="n">
        <f aca="false">cleaned_data!$M$286</f>
        <v>555557.77</v>
      </c>
      <c r="B287" s="15" t="n">
        <f aca="false">cleaned_data!$F$286</f>
        <v>4355</v>
      </c>
      <c r="C287" s="15" t="n">
        <f aca="false">cleaned_data!$E$286</f>
        <v>34771.26</v>
      </c>
      <c r="D287" s="15" t="n">
        <f aca="false">cleaned_data!$I$286</f>
        <v>87.9</v>
      </c>
      <c r="E287" s="15" t="n">
        <f aca="false">cleaned_data!$H$286</f>
        <v>15</v>
      </c>
      <c r="F287" s="15" t="n">
        <f aca="false">dummy_variables!$D$286</f>
        <v>0</v>
      </c>
      <c r="G287" s="15" t="n">
        <f aca="false">dummy_variables!$E$286</f>
        <v>0</v>
      </c>
      <c r="H287" s="15" t="n">
        <f aca="false">dummy_variables!$F$286</f>
        <v>0</v>
      </c>
      <c r="I287" s="15" t="n">
        <f aca="false">dummy_variables!$G$286</f>
        <v>0</v>
      </c>
      <c r="J287" s="15" t="n">
        <f aca="false">dummy_variables!$H$286</f>
        <v>1</v>
      </c>
      <c r="K287" s="15" t="n">
        <f aca="false">dummy_variables!$I$286</f>
        <v>0</v>
      </c>
    </row>
    <row r="288" customFormat="false" ht="15" hidden="false" customHeight="true" outlineLevel="0" collapsed="false">
      <c r="A288" s="15" t="n">
        <f aca="false">cleaned_data!$M$287</f>
        <v>714083.68</v>
      </c>
      <c r="B288" s="15" t="n">
        <f aca="false">cleaned_data!$F$287</f>
        <v>5745</v>
      </c>
      <c r="C288" s="15" t="n">
        <f aca="false">cleaned_data!$E$287</f>
        <v>66104.19</v>
      </c>
      <c r="D288" s="15" t="n">
        <f aca="false">cleaned_data!$I$287</f>
        <v>95.8</v>
      </c>
      <c r="E288" s="15" t="n">
        <f aca="false">cleaned_data!$H$287</f>
        <v>17</v>
      </c>
      <c r="F288" s="15" t="n">
        <f aca="false">dummy_variables!$D$287</f>
        <v>0</v>
      </c>
      <c r="G288" s="15" t="n">
        <f aca="false">dummy_variables!$E$287</f>
        <v>0</v>
      </c>
      <c r="H288" s="15" t="n">
        <f aca="false">dummy_variables!$F$287</f>
        <v>0</v>
      </c>
      <c r="I288" s="15" t="n">
        <f aca="false">dummy_variables!$G$287</f>
        <v>0</v>
      </c>
      <c r="J288" s="15" t="n">
        <f aca="false">dummy_variables!$H$287</f>
        <v>1</v>
      </c>
      <c r="K288" s="15" t="n">
        <f aca="false">dummy_variables!$I$287</f>
        <v>0</v>
      </c>
    </row>
    <row r="289" customFormat="false" ht="15" hidden="false" customHeight="true" outlineLevel="0" collapsed="false">
      <c r="A289" s="15" t="n">
        <f aca="false">cleaned_data!$M$288</f>
        <v>497439.82</v>
      </c>
      <c r="B289" s="15" t="n">
        <f aca="false">cleaned_data!$F$288</f>
        <v>3027</v>
      </c>
      <c r="C289" s="15" t="n">
        <f aca="false">cleaned_data!$E$288</f>
        <v>18599.21</v>
      </c>
      <c r="D289" s="15" t="n">
        <f aca="false">cleaned_data!$I$288</f>
        <v>80.9</v>
      </c>
      <c r="E289" s="15" t="n">
        <f aca="false">cleaned_data!$H$288</f>
        <v>11</v>
      </c>
      <c r="F289" s="15" t="n">
        <f aca="false">dummy_variables!$D$288</f>
        <v>0</v>
      </c>
      <c r="G289" s="15" t="n">
        <f aca="false">dummy_variables!$E$288</f>
        <v>0</v>
      </c>
      <c r="H289" s="15" t="n">
        <f aca="false">dummy_variables!$F$288</f>
        <v>0</v>
      </c>
      <c r="I289" s="15" t="n">
        <f aca="false">dummy_variables!$G$288</f>
        <v>0</v>
      </c>
      <c r="J289" s="15" t="n">
        <f aca="false">dummy_variables!$H$288</f>
        <v>1</v>
      </c>
      <c r="K289" s="15" t="n">
        <f aca="false">dummy_variables!$I$288</f>
        <v>0</v>
      </c>
    </row>
    <row r="290" customFormat="false" ht="15" hidden="false" customHeight="true" outlineLevel="0" collapsed="false">
      <c r="A290" s="15" t="n">
        <f aca="false">cleaned_data!$M$289</f>
        <v>636775.66</v>
      </c>
      <c r="B290" s="15" t="n">
        <f aca="false">cleaned_data!$F$289</f>
        <v>5562</v>
      </c>
      <c r="C290" s="15" t="n">
        <f aca="false">cleaned_data!$E$289</f>
        <v>60183.06</v>
      </c>
      <c r="D290" s="15" t="n">
        <f aca="false">cleaned_data!$I$289</f>
        <v>86.3</v>
      </c>
      <c r="E290" s="15" t="n">
        <f aca="false">cleaned_data!$H$289</f>
        <v>13</v>
      </c>
      <c r="F290" s="15" t="n">
        <f aca="false">dummy_variables!$D$289</f>
        <v>0</v>
      </c>
      <c r="G290" s="15" t="n">
        <f aca="false">dummy_variables!$E$289</f>
        <v>0</v>
      </c>
      <c r="H290" s="15" t="n">
        <f aca="false">dummy_variables!$F$289</f>
        <v>1</v>
      </c>
      <c r="I290" s="15" t="n">
        <f aca="false">dummy_variables!$G$289</f>
        <v>0</v>
      </c>
      <c r="J290" s="15" t="n">
        <f aca="false">dummy_variables!$H$289</f>
        <v>0</v>
      </c>
      <c r="K290" s="15" t="n">
        <f aca="false">dummy_variables!$I$289</f>
        <v>1</v>
      </c>
    </row>
    <row r="291" customFormat="false" ht="15" hidden="false" customHeight="true" outlineLevel="0" collapsed="false">
      <c r="A291" s="15" t="n">
        <f aca="false">cleaned_data!$M$290</f>
        <v>633009.53</v>
      </c>
      <c r="B291" s="15" t="n">
        <f aca="false">cleaned_data!$F$290</f>
        <v>4487</v>
      </c>
      <c r="C291" s="15" t="n">
        <f aca="false">cleaned_data!$E$290</f>
        <v>74539.14</v>
      </c>
      <c r="D291" s="15" t="n">
        <f aca="false">cleaned_data!$I$290</f>
        <v>90.4</v>
      </c>
      <c r="E291" s="15" t="n">
        <f aca="false">cleaned_data!$H$290</f>
        <v>10</v>
      </c>
      <c r="F291" s="15" t="n">
        <f aca="false">dummy_variables!$D$290</f>
        <v>0</v>
      </c>
      <c r="G291" s="15" t="n">
        <f aca="false">dummy_variables!$E$290</f>
        <v>0</v>
      </c>
      <c r="H291" s="15" t="n">
        <f aca="false">dummy_variables!$F$290</f>
        <v>1</v>
      </c>
      <c r="I291" s="15" t="n">
        <f aca="false">dummy_variables!$G$290</f>
        <v>0</v>
      </c>
      <c r="J291" s="15" t="n">
        <f aca="false">dummy_variables!$H$290</f>
        <v>0</v>
      </c>
      <c r="K291" s="15" t="n">
        <f aca="false">dummy_variables!$I$290</f>
        <v>1</v>
      </c>
    </row>
    <row r="292" customFormat="false" ht="15" hidden="false" customHeight="true" outlineLevel="0" collapsed="false">
      <c r="A292" s="15" t="n">
        <f aca="false">cleaned_data!$M$291</f>
        <v>609949</v>
      </c>
      <c r="B292" s="15" t="n">
        <f aca="false">cleaned_data!$F$291</f>
        <v>4162</v>
      </c>
      <c r="C292" s="15" t="n">
        <f aca="false">cleaned_data!$E$291</f>
        <v>55371.97</v>
      </c>
      <c r="D292" s="15" t="n">
        <f aca="false">cleaned_data!$I$291</f>
        <v>92</v>
      </c>
      <c r="E292" s="15" t="n">
        <f aca="false">cleaned_data!$H$291</f>
        <v>11</v>
      </c>
      <c r="F292" s="15" t="n">
        <f aca="false">dummy_variables!$D$291</f>
        <v>0</v>
      </c>
      <c r="G292" s="15" t="n">
        <f aca="false">dummy_variables!$E$291</f>
        <v>0</v>
      </c>
      <c r="H292" s="15" t="n">
        <f aca="false">dummy_variables!$F$291</f>
        <v>1</v>
      </c>
      <c r="I292" s="15" t="n">
        <f aca="false">dummy_variables!$G$291</f>
        <v>0</v>
      </c>
      <c r="J292" s="15" t="n">
        <f aca="false">dummy_variables!$H$291</f>
        <v>0</v>
      </c>
      <c r="K292" s="15" t="n">
        <f aca="false">dummy_variables!$I$291</f>
        <v>1</v>
      </c>
    </row>
    <row r="293" customFormat="false" ht="15" hidden="false" customHeight="true" outlineLevel="0" collapsed="false">
      <c r="A293" s="15" t="n">
        <f aca="false">cleaned_data!$M$292</f>
        <v>548103.7</v>
      </c>
      <c r="B293" s="15" t="n">
        <f aca="false">cleaned_data!$F$292</f>
        <v>4094</v>
      </c>
      <c r="C293" s="15" t="n">
        <f aca="false">cleaned_data!$E$292</f>
        <v>40928.69</v>
      </c>
      <c r="D293" s="15" t="n">
        <f aca="false">cleaned_data!$I$292</f>
        <v>82.4</v>
      </c>
      <c r="E293" s="15" t="n">
        <f aca="false">cleaned_data!$H$292</f>
        <v>13</v>
      </c>
      <c r="F293" s="15" t="n">
        <f aca="false">dummy_variables!$D$292</f>
        <v>0</v>
      </c>
      <c r="G293" s="15" t="n">
        <f aca="false">dummy_variables!$E$292</f>
        <v>0</v>
      </c>
      <c r="H293" s="15" t="n">
        <f aca="false">dummy_variables!$F$292</f>
        <v>1</v>
      </c>
      <c r="I293" s="15" t="n">
        <f aca="false">dummy_variables!$G$292</f>
        <v>0</v>
      </c>
      <c r="J293" s="15" t="n">
        <f aca="false">dummy_variables!$H$292</f>
        <v>0</v>
      </c>
      <c r="K293" s="15" t="n">
        <f aca="false">dummy_variables!$I$292</f>
        <v>1</v>
      </c>
    </row>
    <row r="294" customFormat="false" ht="15" hidden="false" customHeight="true" outlineLevel="0" collapsed="false">
      <c r="A294" s="15" t="n">
        <f aca="false">cleaned_data!$M$293</f>
        <v>729424.42</v>
      </c>
      <c r="B294" s="15" t="n">
        <f aca="false">cleaned_data!$F$293</f>
        <v>8484</v>
      </c>
      <c r="C294" s="15" t="n">
        <f aca="false">cleaned_data!$E$293</f>
        <v>70012.41</v>
      </c>
      <c r="D294" s="15" t="n">
        <f aca="false">cleaned_data!$I$293</f>
        <v>72.9</v>
      </c>
      <c r="E294" s="15" t="n">
        <f aca="false">cleaned_data!$H$293</f>
        <v>23</v>
      </c>
      <c r="F294" s="15" t="n">
        <f aca="false">dummy_variables!$D$293</f>
        <v>0</v>
      </c>
      <c r="G294" s="15" t="n">
        <f aca="false">dummy_variables!$E$293</f>
        <v>0</v>
      </c>
      <c r="H294" s="15" t="n">
        <f aca="false">dummy_variables!$F$293</f>
        <v>1</v>
      </c>
      <c r="I294" s="15" t="n">
        <f aca="false">dummy_variables!$G$293</f>
        <v>0</v>
      </c>
      <c r="J294" s="15" t="n">
        <f aca="false">dummy_variables!$H$293</f>
        <v>0</v>
      </c>
      <c r="K294" s="15" t="n">
        <f aca="false">dummy_variables!$I$293</f>
        <v>0</v>
      </c>
    </row>
    <row r="295" customFormat="false" ht="15" hidden="false" customHeight="true" outlineLevel="0" collapsed="false">
      <c r="A295" s="15" t="n">
        <f aca="false">cleaned_data!$M$294</f>
        <v>696261.49</v>
      </c>
      <c r="B295" s="15" t="n">
        <f aca="false">cleaned_data!$F$294</f>
        <v>7794</v>
      </c>
      <c r="C295" s="15" t="n">
        <f aca="false">cleaned_data!$E$294</f>
        <v>68909.26</v>
      </c>
      <c r="D295" s="15" t="n">
        <f aca="false">cleaned_data!$I$294</f>
        <v>89</v>
      </c>
      <c r="E295" s="15" t="n">
        <f aca="false">cleaned_data!$H$294</f>
        <v>22</v>
      </c>
      <c r="F295" s="15" t="n">
        <f aca="false">dummy_variables!$D$294</f>
        <v>0</v>
      </c>
      <c r="G295" s="15" t="n">
        <f aca="false">dummy_variables!$E$294</f>
        <v>0</v>
      </c>
      <c r="H295" s="15" t="n">
        <f aca="false">dummy_variables!$F$294</f>
        <v>1</v>
      </c>
      <c r="I295" s="15" t="n">
        <f aca="false">dummy_variables!$G$294</f>
        <v>0</v>
      </c>
      <c r="J295" s="15" t="n">
        <f aca="false">dummy_variables!$H$294</f>
        <v>0</v>
      </c>
      <c r="K295" s="15" t="n">
        <f aca="false">dummy_variables!$I$294</f>
        <v>0</v>
      </c>
    </row>
    <row r="296" customFormat="false" ht="15" hidden="false" customHeight="true" outlineLevel="0" collapsed="false">
      <c r="A296" s="15" t="n">
        <f aca="false">cleaned_data!$M$295</f>
        <v>813316.71</v>
      </c>
      <c r="B296" s="15" t="n">
        <f aca="false">cleaned_data!$F$295</f>
        <v>8300</v>
      </c>
      <c r="C296" s="15" t="n">
        <f aca="false">cleaned_data!$E$295</f>
        <v>56737.3</v>
      </c>
      <c r="D296" s="15" t="n">
        <f aca="false">cleaned_data!$I$295</f>
        <v>83.2</v>
      </c>
      <c r="E296" s="15" t="n">
        <f aca="false">cleaned_data!$H$295</f>
        <v>21</v>
      </c>
      <c r="F296" s="15" t="n">
        <f aca="false">dummy_variables!$D$295</f>
        <v>0</v>
      </c>
      <c r="G296" s="15" t="n">
        <f aca="false">dummy_variables!$E$295</f>
        <v>0</v>
      </c>
      <c r="H296" s="15" t="n">
        <f aca="false">dummy_variables!$F$295</f>
        <v>1</v>
      </c>
      <c r="I296" s="15" t="n">
        <f aca="false">dummy_variables!$G$295</f>
        <v>0</v>
      </c>
      <c r="J296" s="15" t="n">
        <f aca="false">dummy_variables!$H$295</f>
        <v>0</v>
      </c>
      <c r="K296" s="15" t="n">
        <f aca="false">dummy_variables!$I$295</f>
        <v>0</v>
      </c>
    </row>
    <row r="297" customFormat="false" ht="15" hidden="false" customHeight="true" outlineLevel="0" collapsed="false">
      <c r="A297" s="15" t="n">
        <f aca="false">cleaned_data!$M$296</f>
        <v>702068.92</v>
      </c>
      <c r="B297" s="15" t="n">
        <f aca="false">cleaned_data!$F$296</f>
        <v>7083</v>
      </c>
      <c r="C297" s="15" t="n">
        <f aca="false">cleaned_data!$E$296</f>
        <v>54080.91</v>
      </c>
      <c r="D297" s="15" t="n">
        <f aca="false">cleaned_data!$I$296</f>
        <v>97</v>
      </c>
      <c r="E297" s="15" t="n">
        <f aca="false">cleaned_data!$H$296</f>
        <v>15</v>
      </c>
      <c r="F297" s="15" t="n">
        <f aca="false">dummy_variables!$D$296</f>
        <v>0</v>
      </c>
      <c r="G297" s="15" t="n">
        <f aca="false">dummy_variables!$E$296</f>
        <v>0</v>
      </c>
      <c r="H297" s="15" t="n">
        <f aca="false">dummy_variables!$F$296</f>
        <v>1</v>
      </c>
      <c r="I297" s="15" t="n">
        <f aca="false">dummy_variables!$G$296</f>
        <v>0</v>
      </c>
      <c r="J297" s="15" t="n">
        <f aca="false">dummy_variables!$H$296</f>
        <v>0</v>
      </c>
      <c r="K297" s="15" t="n">
        <f aca="false">dummy_variables!$I$296</f>
        <v>0</v>
      </c>
    </row>
    <row r="298" customFormat="false" ht="15" hidden="false" customHeight="true" outlineLevel="0" collapsed="false">
      <c r="A298" s="15" t="n">
        <f aca="false">cleaned_data!$M$297</f>
        <v>546223.7</v>
      </c>
      <c r="B298" s="15" t="n">
        <f aca="false">cleaned_data!$F$297</f>
        <v>3834</v>
      </c>
      <c r="C298" s="15" t="n">
        <f aca="false">cleaned_data!$E$297</f>
        <v>51996.32</v>
      </c>
      <c r="D298" s="15" t="n">
        <f aca="false">cleaned_data!$I$297</f>
        <v>86.7</v>
      </c>
      <c r="E298" s="15" t="n">
        <f aca="false">cleaned_data!$H$297</f>
        <v>8</v>
      </c>
      <c r="F298" s="15" t="n">
        <f aca="false">dummy_variables!$D$297</f>
        <v>0</v>
      </c>
      <c r="G298" s="15" t="n">
        <f aca="false">dummy_variables!$E$297</f>
        <v>0</v>
      </c>
      <c r="H298" s="15" t="n">
        <f aca="false">dummy_variables!$F$297</f>
        <v>0</v>
      </c>
      <c r="I298" s="15" t="n">
        <f aca="false">dummy_variables!$G$297</f>
        <v>0</v>
      </c>
      <c r="J298" s="15" t="n">
        <f aca="false">dummy_variables!$H$297</f>
        <v>0</v>
      </c>
      <c r="K298" s="15" t="n">
        <f aca="false">dummy_variables!$I$297</f>
        <v>1</v>
      </c>
    </row>
    <row r="299" customFormat="false" ht="15" hidden="false" customHeight="true" outlineLevel="0" collapsed="false">
      <c r="A299" s="15" t="n">
        <f aca="false">cleaned_data!$M$298</f>
        <v>533121.26</v>
      </c>
      <c r="B299" s="15" t="n">
        <f aca="false">cleaned_data!$F$298</f>
        <v>2358</v>
      </c>
      <c r="C299" s="15" t="n">
        <f aca="false">cleaned_data!$E$298</f>
        <v>40102.88</v>
      </c>
      <c r="D299" s="15" t="n">
        <f aca="false">cleaned_data!$I$298</f>
        <v>88.7</v>
      </c>
      <c r="E299" s="15" t="n">
        <f aca="false">cleaned_data!$H$298</f>
        <v>9</v>
      </c>
      <c r="F299" s="15" t="n">
        <f aca="false">dummy_variables!$D$298</f>
        <v>0</v>
      </c>
      <c r="G299" s="15" t="n">
        <f aca="false">dummy_variables!$E$298</f>
        <v>0</v>
      </c>
      <c r="H299" s="15" t="n">
        <f aca="false">dummy_variables!$F$298</f>
        <v>0</v>
      </c>
      <c r="I299" s="15" t="n">
        <f aca="false">dummy_variables!$G$298</f>
        <v>0</v>
      </c>
      <c r="J299" s="15" t="n">
        <f aca="false">dummy_variables!$H$298</f>
        <v>0</v>
      </c>
      <c r="K299" s="15" t="n">
        <f aca="false">dummy_variables!$I$298</f>
        <v>1</v>
      </c>
    </row>
    <row r="300" customFormat="false" ht="15" hidden="false" customHeight="true" outlineLevel="0" collapsed="false">
      <c r="A300" s="15" t="n">
        <f aca="false">cleaned_data!$M$299</f>
        <v>498970.32</v>
      </c>
      <c r="B300" s="15" t="n">
        <f aca="false">cleaned_data!$F$299</f>
        <v>1231</v>
      </c>
      <c r="C300" s="15" t="n">
        <f aca="false">cleaned_data!$E$299</f>
        <v>59825.51</v>
      </c>
      <c r="D300" s="15" t="n">
        <f aca="false">cleaned_data!$I$299</f>
        <v>84.8</v>
      </c>
      <c r="E300" s="15" t="n">
        <f aca="false">cleaned_data!$H$299</f>
        <v>10</v>
      </c>
      <c r="F300" s="15" t="n">
        <f aca="false">dummy_variables!$D$299</f>
        <v>0</v>
      </c>
      <c r="G300" s="15" t="n">
        <f aca="false">dummy_variables!$E$299</f>
        <v>0</v>
      </c>
      <c r="H300" s="15" t="n">
        <f aca="false">dummy_variables!$F$299</f>
        <v>0</v>
      </c>
      <c r="I300" s="15" t="n">
        <f aca="false">dummy_variables!$G$299</f>
        <v>0</v>
      </c>
      <c r="J300" s="15" t="n">
        <f aca="false">dummy_variables!$H$299</f>
        <v>0</v>
      </c>
      <c r="K300" s="15" t="n">
        <f aca="false">dummy_variables!$I$299</f>
        <v>1</v>
      </c>
    </row>
    <row r="301" customFormat="false" ht="15" hidden="false" customHeight="true" outlineLevel="0" collapsed="false">
      <c r="A301" s="15" t="n">
        <f aca="false">cleaned_data!$M$300</f>
        <v>487738.26</v>
      </c>
      <c r="B301" s="15" t="n">
        <f aca="false">cleaned_data!$F$300</f>
        <v>1723</v>
      </c>
      <c r="C301" s="15" t="n">
        <f aca="false">cleaned_data!$E$300</f>
        <v>27398.28</v>
      </c>
      <c r="D301" s="15" t="n">
        <f aca="false">cleaned_data!$I$300</f>
        <v>81</v>
      </c>
      <c r="E301" s="15" t="n">
        <f aca="false">cleaned_data!$H$300</f>
        <v>9</v>
      </c>
      <c r="F301" s="15" t="n">
        <f aca="false">dummy_variables!$D$300</f>
        <v>0</v>
      </c>
      <c r="G301" s="15" t="n">
        <f aca="false">dummy_variables!$E$300</f>
        <v>0</v>
      </c>
      <c r="H301" s="15" t="n">
        <f aca="false">dummy_variables!$F$300</f>
        <v>0</v>
      </c>
      <c r="I301" s="15" t="n">
        <f aca="false">dummy_variables!$G$300</f>
        <v>0</v>
      </c>
      <c r="J301" s="15" t="n">
        <f aca="false">dummy_variables!$H$300</f>
        <v>0</v>
      </c>
      <c r="K301" s="15" t="n">
        <f aca="false">dummy_variables!$I$300</f>
        <v>1</v>
      </c>
    </row>
    <row r="302" customFormat="false" ht="15" hidden="false" customHeight="true" outlineLevel="0" collapsed="false">
      <c r="A302" s="15" t="n">
        <f aca="false">cleaned_data!$M$301</f>
        <v>668459.37</v>
      </c>
      <c r="B302" s="15" t="n">
        <f aca="false">cleaned_data!$F$301</f>
        <v>5896</v>
      </c>
      <c r="C302" s="15" t="n">
        <f aca="false">cleaned_data!$E$301</f>
        <v>55599.56</v>
      </c>
      <c r="D302" s="15" t="n">
        <f aca="false">cleaned_data!$I$301</f>
        <v>93.1</v>
      </c>
      <c r="E302" s="15" t="n">
        <f aca="false">cleaned_data!$H$301</f>
        <v>12</v>
      </c>
      <c r="F302" s="15" t="n">
        <f aca="false">dummy_variables!$D$301</f>
        <v>0</v>
      </c>
      <c r="G302" s="15" t="n">
        <f aca="false">dummy_variables!$E$301</f>
        <v>0</v>
      </c>
      <c r="H302" s="15" t="n">
        <f aca="false">dummy_variables!$F$301</f>
        <v>0</v>
      </c>
      <c r="I302" s="15" t="n">
        <f aca="false">dummy_variables!$G$301</f>
        <v>0</v>
      </c>
      <c r="J302" s="15" t="n">
        <f aca="false">dummy_variables!$H$301</f>
        <v>0</v>
      </c>
      <c r="K302" s="15" t="n">
        <f aca="false">dummy_variables!$I$301</f>
        <v>1</v>
      </c>
    </row>
    <row r="303" customFormat="false" ht="15" hidden="false" customHeight="true" outlineLevel="0" collapsed="false">
      <c r="A303" s="15" t="n">
        <f aca="false">cleaned_data!$M$302</f>
        <v>763162.45</v>
      </c>
      <c r="B303" s="15" t="n">
        <f aca="false">cleaned_data!$F$302</f>
        <v>5903</v>
      </c>
      <c r="C303" s="15" t="n">
        <f aca="false">cleaned_data!$E$302</f>
        <v>55477.61</v>
      </c>
      <c r="D303" s="15" t="n">
        <f aca="false">cleaned_data!$I$302</f>
        <v>96.2</v>
      </c>
      <c r="E303" s="15" t="n">
        <f aca="false">cleaned_data!$H$302</f>
        <v>14</v>
      </c>
      <c r="F303" s="15" t="n">
        <f aca="false">dummy_variables!$D$302</f>
        <v>0</v>
      </c>
      <c r="G303" s="15" t="n">
        <f aca="false">dummy_variables!$E$302</f>
        <v>0</v>
      </c>
      <c r="H303" s="15" t="n">
        <f aca="false">dummy_variables!$F$302</f>
        <v>0</v>
      </c>
      <c r="I303" s="15" t="n">
        <f aca="false">dummy_variables!$G$302</f>
        <v>0</v>
      </c>
      <c r="J303" s="15" t="n">
        <f aca="false">dummy_variables!$H$302</f>
        <v>0</v>
      </c>
      <c r="K303" s="15" t="n">
        <f aca="false">dummy_variables!$I$302</f>
        <v>1</v>
      </c>
    </row>
    <row r="304" customFormat="false" ht="15" hidden="false" customHeight="true" outlineLevel="0" collapsed="false">
      <c r="A304" s="15" t="n">
        <f aca="false">cleaned_data!$M$303</f>
        <v>599017.33</v>
      </c>
      <c r="B304" s="15" t="n">
        <f aca="false">cleaned_data!$F$303</f>
        <v>4898</v>
      </c>
      <c r="C304" s="15" t="n">
        <f aca="false">cleaned_data!$E$303</f>
        <v>46174.7</v>
      </c>
      <c r="D304" s="15" t="n">
        <f aca="false">cleaned_data!$I$303</f>
        <v>91.7</v>
      </c>
      <c r="E304" s="15" t="n">
        <f aca="false">cleaned_data!$H$303</f>
        <v>11</v>
      </c>
      <c r="F304" s="15" t="n">
        <f aca="false">dummy_variables!$D$303</f>
        <v>0</v>
      </c>
      <c r="G304" s="15" t="n">
        <f aca="false">dummy_variables!$E$303</f>
        <v>0</v>
      </c>
      <c r="H304" s="15" t="n">
        <f aca="false">dummy_variables!$F$303</f>
        <v>0</v>
      </c>
      <c r="I304" s="15" t="n">
        <f aca="false">dummy_variables!$G$303</f>
        <v>0</v>
      </c>
      <c r="J304" s="15" t="n">
        <f aca="false">dummy_variables!$H$303</f>
        <v>0</v>
      </c>
      <c r="K304" s="15" t="n">
        <f aca="false">dummy_variables!$I$303</f>
        <v>1</v>
      </c>
    </row>
    <row r="305" customFormat="false" ht="15" hidden="false" customHeight="true" outlineLevel="0" collapsed="false">
      <c r="A305" s="15" t="n">
        <f aca="false">cleaned_data!$M$304</f>
        <v>401582.58</v>
      </c>
      <c r="B305" s="15" t="n">
        <f aca="false">cleaned_data!$F$304</f>
        <v>1462</v>
      </c>
      <c r="C305" s="15" t="n">
        <f aca="false">cleaned_data!$E$304</f>
        <v>24362.98</v>
      </c>
      <c r="D305" s="15" t="n">
        <f aca="false">cleaned_data!$I$304</f>
        <v>89.3</v>
      </c>
      <c r="E305" s="15" t="n">
        <f aca="false">cleaned_data!$H$304</f>
        <v>6</v>
      </c>
      <c r="F305" s="15" t="n">
        <f aca="false">dummy_variables!$D$304</f>
        <v>0</v>
      </c>
      <c r="G305" s="15" t="n">
        <f aca="false">dummy_variables!$E$304</f>
        <v>0</v>
      </c>
      <c r="H305" s="15" t="n">
        <f aca="false">dummy_variables!$F$304</f>
        <v>0</v>
      </c>
      <c r="I305" s="15" t="n">
        <f aca="false">dummy_variables!$G$304</f>
        <v>0</v>
      </c>
      <c r="J305" s="15" t="n">
        <f aca="false">dummy_variables!$H$304</f>
        <v>0</v>
      </c>
      <c r="K305" s="15" t="n">
        <f aca="false">dummy_variables!$I$304</f>
        <v>1</v>
      </c>
    </row>
    <row r="306" customFormat="false" ht="15" hidden="false" customHeight="true" outlineLevel="0" collapsed="false">
      <c r="A306" s="15" t="n">
        <f aca="false">cleaned_data!$M$305</f>
        <v>703812.99</v>
      </c>
      <c r="B306" s="15" t="n">
        <f aca="false">cleaned_data!$F$305</f>
        <v>8252</v>
      </c>
      <c r="C306" s="15" t="n">
        <f aca="false">cleaned_data!$E$305</f>
        <v>40647.67</v>
      </c>
      <c r="D306" s="15" t="n">
        <f aca="false">cleaned_data!$I$305</f>
        <v>88.2</v>
      </c>
      <c r="E306" s="15" t="n">
        <f aca="false">cleaned_data!$H$305</f>
        <v>22</v>
      </c>
      <c r="F306" s="15" t="n">
        <f aca="false">dummy_variables!$D$305</f>
        <v>0</v>
      </c>
      <c r="G306" s="15" t="n">
        <f aca="false">dummy_variables!$E$305</f>
        <v>1</v>
      </c>
      <c r="H306" s="15" t="n">
        <f aca="false">dummy_variables!$F$305</f>
        <v>0</v>
      </c>
      <c r="I306" s="15" t="n">
        <f aca="false">dummy_variables!$G$305</f>
        <v>1</v>
      </c>
      <c r="J306" s="15" t="n">
        <f aca="false">dummy_variables!$H$305</f>
        <v>0</v>
      </c>
      <c r="K306" s="15" t="n">
        <f aca="false">dummy_variables!$I$305</f>
        <v>0</v>
      </c>
    </row>
    <row r="307" customFormat="false" ht="15" hidden="false" customHeight="true" outlineLevel="0" collapsed="false">
      <c r="A307" s="15" t="n">
        <f aca="false">cleaned_data!$M$306</f>
        <v>724346.73</v>
      </c>
      <c r="B307" s="15" t="n">
        <f aca="false">cleaned_data!$F$306</f>
        <v>7989</v>
      </c>
      <c r="C307" s="15" t="n">
        <f aca="false">cleaned_data!$E$306</f>
        <v>63986.98</v>
      </c>
      <c r="D307" s="15" t="n">
        <f aca="false">cleaned_data!$I$306</f>
        <v>83.3</v>
      </c>
      <c r="E307" s="15" t="n">
        <f aca="false">cleaned_data!$H$306</f>
        <v>20</v>
      </c>
      <c r="F307" s="15" t="n">
        <f aca="false">dummy_variables!$D$306</f>
        <v>0</v>
      </c>
      <c r="G307" s="15" t="n">
        <f aca="false">dummy_variables!$E$306</f>
        <v>1</v>
      </c>
      <c r="H307" s="15" t="n">
        <f aca="false">dummy_variables!$F$306</f>
        <v>0</v>
      </c>
      <c r="I307" s="15" t="n">
        <f aca="false">dummy_variables!$G$306</f>
        <v>1</v>
      </c>
      <c r="J307" s="15" t="n">
        <f aca="false">dummy_variables!$H$306</f>
        <v>0</v>
      </c>
      <c r="K307" s="15" t="n">
        <f aca="false">dummy_variables!$I$306</f>
        <v>0</v>
      </c>
    </row>
    <row r="308" customFormat="false" ht="15" hidden="false" customHeight="true" outlineLevel="0" collapsed="false">
      <c r="A308" s="15" t="n">
        <f aca="false">cleaned_data!$M$307</f>
        <v>730890.01</v>
      </c>
      <c r="B308" s="15" t="n">
        <f aca="false">cleaned_data!$F$307</f>
        <v>8268</v>
      </c>
      <c r="C308" s="15" t="n">
        <f aca="false">cleaned_data!$E$307</f>
        <v>52843.75</v>
      </c>
      <c r="D308" s="15" t="n">
        <f aca="false">cleaned_data!$I$307</f>
        <v>87.3</v>
      </c>
      <c r="E308" s="15" t="n">
        <f aca="false">cleaned_data!$H$307</f>
        <v>19</v>
      </c>
      <c r="F308" s="15" t="n">
        <f aca="false">dummy_variables!$D$307</f>
        <v>0</v>
      </c>
      <c r="G308" s="15" t="n">
        <f aca="false">dummy_variables!$E$307</f>
        <v>1</v>
      </c>
      <c r="H308" s="15" t="n">
        <f aca="false">dummy_variables!$F$307</f>
        <v>0</v>
      </c>
      <c r="I308" s="15" t="n">
        <f aca="false">dummy_variables!$G$307</f>
        <v>1</v>
      </c>
      <c r="J308" s="15" t="n">
        <f aca="false">dummy_variables!$H$307</f>
        <v>0</v>
      </c>
      <c r="K308" s="15" t="n">
        <f aca="false">dummy_variables!$I$307</f>
        <v>0</v>
      </c>
    </row>
    <row r="309" customFormat="false" ht="15" hidden="false" customHeight="true" outlineLevel="0" collapsed="false">
      <c r="A309" s="15" t="n">
        <f aca="false">cleaned_data!$M$308</f>
        <v>780580.95</v>
      </c>
      <c r="B309" s="15" t="n">
        <f aca="false">cleaned_data!$F$308</f>
        <v>8183</v>
      </c>
      <c r="C309" s="15" t="n">
        <f aca="false">cleaned_data!$E$308</f>
        <v>31997.25</v>
      </c>
      <c r="D309" s="15" t="n">
        <f aca="false">cleaned_data!$I$308</f>
        <v>93</v>
      </c>
      <c r="E309" s="15" t="n">
        <f aca="false">cleaned_data!$H$308</f>
        <v>18</v>
      </c>
      <c r="F309" s="15" t="n">
        <f aca="false">dummy_variables!$D$308</f>
        <v>0</v>
      </c>
      <c r="G309" s="15" t="n">
        <f aca="false">dummy_variables!$E$308</f>
        <v>1</v>
      </c>
      <c r="H309" s="15" t="n">
        <f aca="false">dummy_variables!$F$308</f>
        <v>0</v>
      </c>
      <c r="I309" s="15" t="n">
        <f aca="false">dummy_variables!$G$308</f>
        <v>1</v>
      </c>
      <c r="J309" s="15" t="n">
        <f aca="false">dummy_variables!$H$308</f>
        <v>0</v>
      </c>
      <c r="K309" s="15" t="n">
        <f aca="false">dummy_variables!$I$308</f>
        <v>0</v>
      </c>
    </row>
    <row r="310" customFormat="false" ht="15" hidden="false" customHeight="true" outlineLevel="0" collapsed="false">
      <c r="A310" s="15" t="n">
        <f aca="false">cleaned_data!$M$309</f>
        <v>727957.48</v>
      </c>
      <c r="B310" s="15" t="n">
        <f aca="false">cleaned_data!$F$309</f>
        <v>6534</v>
      </c>
      <c r="C310" s="15" t="n">
        <f aca="false">cleaned_data!$E$309</f>
        <v>54948.02</v>
      </c>
      <c r="D310" s="15" t="n">
        <f aca="false">cleaned_data!$I$309</f>
        <v>94.5</v>
      </c>
      <c r="E310" s="15" t="n">
        <f aca="false">cleaned_data!$H$309</f>
        <v>14</v>
      </c>
      <c r="F310" s="15" t="n">
        <f aca="false">dummy_variables!$D$309</f>
        <v>0</v>
      </c>
      <c r="G310" s="15" t="n">
        <f aca="false">dummy_variables!$E$309</f>
        <v>0</v>
      </c>
      <c r="H310" s="15" t="n">
        <f aca="false">dummy_variables!$F$309</f>
        <v>1</v>
      </c>
      <c r="I310" s="15" t="n">
        <f aca="false">dummy_variables!$G$309</f>
        <v>0</v>
      </c>
      <c r="J310" s="15" t="n">
        <f aca="false">dummy_variables!$H$309</f>
        <v>1</v>
      </c>
      <c r="K310" s="15" t="n">
        <f aca="false">dummy_variables!$I$309</f>
        <v>0</v>
      </c>
    </row>
    <row r="311" customFormat="false" ht="15" hidden="false" customHeight="true" outlineLevel="0" collapsed="false">
      <c r="A311" s="15" t="n">
        <f aca="false">cleaned_data!$M$310</f>
        <v>538376</v>
      </c>
      <c r="B311" s="15" t="n">
        <f aca="false">cleaned_data!$F$310</f>
        <v>5804</v>
      </c>
      <c r="C311" s="15" t="n">
        <f aca="false">cleaned_data!$E$310</f>
        <v>46146.24</v>
      </c>
      <c r="D311" s="15" t="n">
        <f aca="false">cleaned_data!$I$310</f>
        <v>86.9</v>
      </c>
      <c r="E311" s="15" t="n">
        <f aca="false">cleaned_data!$H$310</f>
        <v>16</v>
      </c>
      <c r="F311" s="15" t="n">
        <f aca="false">dummy_variables!$D$310</f>
        <v>0</v>
      </c>
      <c r="G311" s="15" t="n">
        <f aca="false">dummy_variables!$E$310</f>
        <v>0</v>
      </c>
      <c r="H311" s="15" t="n">
        <f aca="false">dummy_variables!$F$310</f>
        <v>1</v>
      </c>
      <c r="I311" s="15" t="n">
        <f aca="false">dummy_variables!$G$310</f>
        <v>0</v>
      </c>
      <c r="J311" s="15" t="n">
        <f aca="false">dummy_variables!$H$310</f>
        <v>1</v>
      </c>
      <c r="K311" s="15" t="n">
        <f aca="false">dummy_variables!$I$310</f>
        <v>0</v>
      </c>
    </row>
    <row r="312" customFormat="false" ht="15" hidden="false" customHeight="true" outlineLevel="0" collapsed="false">
      <c r="A312" s="15" t="n">
        <f aca="false">cleaned_data!$M$311</f>
        <v>665342.49</v>
      </c>
      <c r="B312" s="15" t="n">
        <f aca="false">cleaned_data!$F$311</f>
        <v>6301</v>
      </c>
      <c r="C312" s="15" t="n">
        <f aca="false">cleaned_data!$E$311</f>
        <v>22387.26</v>
      </c>
      <c r="D312" s="15" t="n">
        <f aca="false">cleaned_data!$I$311</f>
        <v>85.9</v>
      </c>
      <c r="E312" s="15" t="n">
        <f aca="false">cleaned_data!$H$311</f>
        <v>14</v>
      </c>
      <c r="F312" s="15" t="n">
        <f aca="false">dummy_variables!$D$311</f>
        <v>0</v>
      </c>
      <c r="G312" s="15" t="n">
        <f aca="false">dummy_variables!$E$311</f>
        <v>0</v>
      </c>
      <c r="H312" s="15" t="n">
        <f aca="false">dummy_variables!$F$311</f>
        <v>1</v>
      </c>
      <c r="I312" s="15" t="n">
        <f aca="false">dummy_variables!$G$311</f>
        <v>0</v>
      </c>
      <c r="J312" s="15" t="n">
        <f aca="false">dummy_variables!$H$311</f>
        <v>1</v>
      </c>
      <c r="K312" s="15" t="n">
        <f aca="false">dummy_variables!$I$311</f>
        <v>0</v>
      </c>
    </row>
    <row r="313" customFormat="false" ht="15" hidden="false" customHeight="true" outlineLevel="0" collapsed="false">
      <c r="A313" s="15" t="n">
        <f aca="false">cleaned_data!$M$312</f>
        <v>651164.18</v>
      </c>
      <c r="B313" s="15" t="n">
        <f aca="false">cleaned_data!$F$312</f>
        <v>6399</v>
      </c>
      <c r="C313" s="15" t="n">
        <f aca="false">cleaned_data!$E$312</f>
        <v>60684.05</v>
      </c>
      <c r="D313" s="15" t="n">
        <f aca="false">cleaned_data!$I$312</f>
        <v>99</v>
      </c>
      <c r="E313" s="15" t="n">
        <f aca="false">cleaned_data!$H$312</f>
        <v>16</v>
      </c>
      <c r="F313" s="15" t="n">
        <f aca="false">dummy_variables!$D$312</f>
        <v>0</v>
      </c>
      <c r="G313" s="15" t="n">
        <f aca="false">dummy_variables!$E$312</f>
        <v>0</v>
      </c>
      <c r="H313" s="15" t="n">
        <f aca="false">dummy_variables!$F$312</f>
        <v>1</v>
      </c>
      <c r="I313" s="15" t="n">
        <f aca="false">dummy_variables!$G$312</f>
        <v>0</v>
      </c>
      <c r="J313" s="15" t="n">
        <f aca="false">dummy_variables!$H$312</f>
        <v>1</v>
      </c>
      <c r="K313" s="15" t="n">
        <f aca="false">dummy_variables!$I$312</f>
        <v>0</v>
      </c>
    </row>
    <row r="314" customFormat="false" ht="15" hidden="false" customHeight="true" outlineLevel="0" collapsed="false">
      <c r="A314" s="15" t="n">
        <f aca="false">cleaned_data!$M$313</f>
        <v>628538.3</v>
      </c>
      <c r="B314" s="15" t="n">
        <f aca="false">cleaned_data!$F$313</f>
        <v>5759</v>
      </c>
      <c r="C314" s="15" t="n">
        <f aca="false">cleaned_data!$E$313</f>
        <v>48465.6</v>
      </c>
      <c r="D314" s="15" t="n">
        <f aca="false">cleaned_data!$I$313</f>
        <v>87.5</v>
      </c>
      <c r="E314" s="15" t="n">
        <f aca="false">cleaned_data!$H$313</f>
        <v>13</v>
      </c>
      <c r="F314" s="15" t="n">
        <f aca="false">dummy_variables!$D$313</f>
        <v>0</v>
      </c>
      <c r="G314" s="15" t="n">
        <f aca="false">dummy_variables!$E$313</f>
        <v>0</v>
      </c>
      <c r="H314" s="15" t="n">
        <f aca="false">dummy_variables!$F$313</f>
        <v>0</v>
      </c>
      <c r="I314" s="15" t="n">
        <f aca="false">dummy_variables!$G$313</f>
        <v>0</v>
      </c>
      <c r="J314" s="15" t="n">
        <f aca="false">dummy_variables!$H$313</f>
        <v>1</v>
      </c>
      <c r="K314" s="15" t="n">
        <f aca="false">dummy_variables!$I$313</f>
        <v>0</v>
      </c>
    </row>
    <row r="315" customFormat="false" ht="15" hidden="false" customHeight="true" outlineLevel="0" collapsed="false">
      <c r="A315" s="15" t="n">
        <f aca="false">cleaned_data!$M$314</f>
        <v>536524.84</v>
      </c>
      <c r="B315" s="15" t="n">
        <f aca="false">cleaned_data!$F$314</f>
        <v>5285</v>
      </c>
      <c r="C315" s="15" t="n">
        <f aca="false">cleaned_data!$E$314</f>
        <v>23702.38</v>
      </c>
      <c r="D315" s="15" t="n">
        <f aca="false">cleaned_data!$I$314</f>
        <v>79.7</v>
      </c>
      <c r="E315" s="15" t="n">
        <f aca="false">cleaned_data!$H$314</f>
        <v>14</v>
      </c>
      <c r="F315" s="15" t="n">
        <f aca="false">dummy_variables!$D$314</f>
        <v>0</v>
      </c>
      <c r="G315" s="15" t="n">
        <f aca="false">dummy_variables!$E$314</f>
        <v>0</v>
      </c>
      <c r="H315" s="15" t="n">
        <f aca="false">dummy_variables!$F$314</f>
        <v>0</v>
      </c>
      <c r="I315" s="15" t="n">
        <f aca="false">dummy_variables!$G$314</f>
        <v>0</v>
      </c>
      <c r="J315" s="15" t="n">
        <f aca="false">dummy_variables!$H$314</f>
        <v>1</v>
      </c>
      <c r="K315" s="15" t="n">
        <f aca="false">dummy_variables!$I$314</f>
        <v>0</v>
      </c>
    </row>
    <row r="316" customFormat="false" ht="15" hidden="false" customHeight="true" outlineLevel="0" collapsed="false">
      <c r="A316" s="15" t="n">
        <f aca="false">cleaned_data!$M$315</f>
        <v>621677.3</v>
      </c>
      <c r="B316" s="15" t="n">
        <f aca="false">cleaned_data!$F$315</f>
        <v>5434</v>
      </c>
      <c r="C316" s="15" t="n">
        <f aca="false">cleaned_data!$E$315</f>
        <v>54322.94</v>
      </c>
      <c r="D316" s="15" t="n">
        <f aca="false">cleaned_data!$I$315</f>
        <v>85.7</v>
      </c>
      <c r="E316" s="15" t="n">
        <f aca="false">cleaned_data!$H$315</f>
        <v>13</v>
      </c>
      <c r="F316" s="15" t="n">
        <f aca="false">dummy_variables!$D$315</f>
        <v>0</v>
      </c>
      <c r="G316" s="15" t="n">
        <f aca="false">dummy_variables!$E$315</f>
        <v>0</v>
      </c>
      <c r="H316" s="15" t="n">
        <f aca="false">dummy_variables!$F$315</f>
        <v>0</v>
      </c>
      <c r="I316" s="15" t="n">
        <f aca="false">dummy_variables!$G$315</f>
        <v>0</v>
      </c>
      <c r="J316" s="15" t="n">
        <f aca="false">dummy_variables!$H$315</f>
        <v>1</v>
      </c>
      <c r="K316" s="15" t="n">
        <f aca="false">dummy_variables!$I$315</f>
        <v>0</v>
      </c>
    </row>
    <row r="317" customFormat="false" ht="15" hidden="false" customHeight="true" outlineLevel="0" collapsed="false">
      <c r="A317" s="15" t="n">
        <f aca="false">cleaned_data!$M$316</f>
        <v>771129.07</v>
      </c>
      <c r="B317" s="15" t="n">
        <f aca="false">cleaned_data!$F$316</f>
        <v>7479</v>
      </c>
      <c r="C317" s="15" t="n">
        <f aca="false">cleaned_data!$E$316</f>
        <v>86026.58</v>
      </c>
      <c r="D317" s="15" t="n">
        <f aca="false">cleaned_data!$I$316</f>
        <v>89</v>
      </c>
      <c r="E317" s="15" t="n">
        <f aca="false">cleaned_data!$H$316</f>
        <v>20</v>
      </c>
      <c r="F317" s="15" t="n">
        <f aca="false">dummy_variables!$D$316</f>
        <v>0</v>
      </c>
      <c r="G317" s="15" t="n">
        <f aca="false">dummy_variables!$E$316</f>
        <v>0</v>
      </c>
      <c r="H317" s="15" t="n">
        <f aca="false">dummy_variables!$F$316</f>
        <v>0</v>
      </c>
      <c r="I317" s="15" t="n">
        <f aca="false">dummy_variables!$G$316</f>
        <v>0</v>
      </c>
      <c r="J317" s="15" t="n">
        <f aca="false">dummy_variables!$H$316</f>
        <v>1</v>
      </c>
      <c r="K317" s="15" t="n">
        <f aca="false">dummy_variables!$I$316</f>
        <v>0</v>
      </c>
    </row>
    <row r="318" customFormat="false" ht="15" hidden="false" customHeight="true" outlineLevel="0" collapsed="false">
      <c r="A318" s="15" t="n">
        <f aca="false">cleaned_data!$M$317</f>
        <v>702052.47</v>
      </c>
      <c r="B318" s="15" t="n">
        <f aca="false">cleaned_data!$F$317</f>
        <v>6164</v>
      </c>
      <c r="C318" s="15" t="n">
        <f aca="false">cleaned_data!$E$317</f>
        <v>78967.52</v>
      </c>
      <c r="D318" s="15" t="n">
        <f aca="false">cleaned_data!$I$317</f>
        <v>85.5</v>
      </c>
      <c r="E318" s="15" t="n">
        <f aca="false">cleaned_data!$H$317</f>
        <v>16</v>
      </c>
      <c r="F318" s="15" t="n">
        <f aca="false">dummy_variables!$D$317</f>
        <v>0</v>
      </c>
      <c r="G318" s="15" t="n">
        <f aca="false">dummy_variables!$E$317</f>
        <v>0</v>
      </c>
      <c r="H318" s="15" t="n">
        <f aca="false">dummy_variables!$F$317</f>
        <v>1</v>
      </c>
      <c r="I318" s="15" t="n">
        <f aca="false">dummy_variables!$G$317</f>
        <v>1</v>
      </c>
      <c r="J318" s="15" t="n">
        <f aca="false">dummy_variables!$H$317</f>
        <v>0</v>
      </c>
      <c r="K318" s="15" t="n">
        <f aca="false">dummy_variables!$I$317</f>
        <v>0</v>
      </c>
    </row>
    <row r="319" customFormat="false" ht="15" hidden="false" customHeight="true" outlineLevel="0" collapsed="false">
      <c r="A319" s="15" t="n">
        <f aca="false">cleaned_data!$M$318</f>
        <v>688368.46</v>
      </c>
      <c r="B319" s="15" t="n">
        <f aca="false">cleaned_data!$F$318</f>
        <v>7973</v>
      </c>
      <c r="C319" s="15" t="n">
        <f aca="false">cleaned_data!$E$318</f>
        <v>46767.99</v>
      </c>
      <c r="D319" s="15" t="n">
        <f aca="false">cleaned_data!$I$318</f>
        <v>94.8</v>
      </c>
      <c r="E319" s="15" t="n">
        <f aca="false">cleaned_data!$H$318</f>
        <v>18</v>
      </c>
      <c r="F319" s="15" t="n">
        <f aca="false">dummy_variables!$D$318</f>
        <v>0</v>
      </c>
      <c r="G319" s="15" t="n">
        <f aca="false">dummy_variables!$E$318</f>
        <v>0</v>
      </c>
      <c r="H319" s="15" t="n">
        <f aca="false">dummy_variables!$F$318</f>
        <v>1</v>
      </c>
      <c r="I319" s="15" t="n">
        <f aca="false">dummy_variables!$G$318</f>
        <v>1</v>
      </c>
      <c r="J319" s="15" t="n">
        <f aca="false">dummy_variables!$H$318</f>
        <v>0</v>
      </c>
      <c r="K319" s="15" t="n">
        <f aca="false">dummy_variables!$I$318</f>
        <v>0</v>
      </c>
    </row>
    <row r="320" customFormat="false" ht="15" hidden="false" customHeight="true" outlineLevel="0" collapsed="false">
      <c r="A320" s="15" t="n">
        <f aca="false">cleaned_data!$M$319</f>
        <v>712375.77</v>
      </c>
      <c r="B320" s="15" t="n">
        <f aca="false">cleaned_data!$F$319</f>
        <v>6000</v>
      </c>
      <c r="C320" s="15" t="n">
        <f aca="false">cleaned_data!$E$319</f>
        <v>62507.16</v>
      </c>
      <c r="D320" s="15" t="n">
        <f aca="false">cleaned_data!$I$319</f>
        <v>98.2</v>
      </c>
      <c r="E320" s="15" t="n">
        <f aca="false">cleaned_data!$H$319</f>
        <v>14</v>
      </c>
      <c r="F320" s="15" t="n">
        <f aca="false">dummy_variables!$D$319</f>
        <v>0</v>
      </c>
      <c r="G320" s="15" t="n">
        <f aca="false">dummy_variables!$E$319</f>
        <v>0</v>
      </c>
      <c r="H320" s="15" t="n">
        <f aca="false">dummy_variables!$F$319</f>
        <v>1</v>
      </c>
      <c r="I320" s="15" t="n">
        <f aca="false">dummy_variables!$G$319</f>
        <v>1</v>
      </c>
      <c r="J320" s="15" t="n">
        <f aca="false">dummy_variables!$H$319</f>
        <v>0</v>
      </c>
      <c r="K320" s="15" t="n">
        <f aca="false">dummy_variables!$I$319</f>
        <v>0</v>
      </c>
    </row>
    <row r="321" customFormat="false" ht="15" hidden="false" customHeight="true" outlineLevel="0" collapsed="false">
      <c r="A321" s="15" t="n">
        <f aca="false">cleaned_data!$M$320</f>
        <v>844710.67</v>
      </c>
      <c r="B321" s="15" t="n">
        <f aca="false">cleaned_data!$F$320</f>
        <v>9967</v>
      </c>
      <c r="C321" s="15" t="n">
        <f aca="false">cleaned_data!$E$320</f>
        <v>66456.28</v>
      </c>
      <c r="D321" s="15" t="n">
        <f aca="false">cleaned_data!$I$320</f>
        <v>94.7</v>
      </c>
      <c r="E321" s="15" t="n">
        <f aca="false">cleaned_data!$H$320</f>
        <v>20</v>
      </c>
      <c r="F321" s="15" t="n">
        <f aca="false">dummy_variables!$D$320</f>
        <v>0</v>
      </c>
      <c r="G321" s="15" t="n">
        <f aca="false">dummy_variables!$E$320</f>
        <v>0</v>
      </c>
      <c r="H321" s="15" t="n">
        <f aca="false">dummy_variables!$F$320</f>
        <v>1</v>
      </c>
      <c r="I321" s="15" t="n">
        <f aca="false">dummy_variables!$G$320</f>
        <v>1</v>
      </c>
      <c r="J321" s="15" t="n">
        <f aca="false">dummy_variables!$H$320</f>
        <v>0</v>
      </c>
      <c r="K321" s="15" t="n">
        <f aca="false">dummy_variables!$I$320</f>
        <v>0</v>
      </c>
    </row>
    <row r="322" customFormat="false" ht="15" hidden="false" customHeight="true" outlineLevel="0" collapsed="false">
      <c r="A322" s="15" t="n">
        <f aca="false">cleaned_data!$M$321</f>
        <v>620264.2</v>
      </c>
      <c r="B322" s="15" t="n">
        <f aca="false">cleaned_data!$F$321</f>
        <v>5639</v>
      </c>
      <c r="C322" s="15" t="n">
        <f aca="false">cleaned_data!$E$321</f>
        <v>76614.32</v>
      </c>
      <c r="D322" s="15" t="n">
        <f aca="false">cleaned_data!$I$321</f>
        <v>92.9</v>
      </c>
      <c r="E322" s="15" t="n">
        <f aca="false">cleaned_data!$H$321</f>
        <v>15</v>
      </c>
      <c r="F322" s="15" t="n">
        <f aca="false">dummy_variables!$D$321</f>
        <v>0</v>
      </c>
      <c r="G322" s="15" t="n">
        <f aca="false">dummy_variables!$E$321</f>
        <v>0</v>
      </c>
      <c r="H322" s="15" t="n">
        <f aca="false">dummy_variables!$F$321</f>
        <v>1</v>
      </c>
      <c r="I322" s="15" t="n">
        <f aca="false">dummy_variables!$G$321</f>
        <v>0</v>
      </c>
      <c r="J322" s="15" t="n">
        <f aca="false">dummy_variables!$H$321</f>
        <v>0</v>
      </c>
      <c r="K322" s="15" t="n">
        <f aca="false">dummy_variables!$I$321</f>
        <v>0</v>
      </c>
    </row>
    <row r="323" customFormat="false" ht="15" hidden="false" customHeight="true" outlineLevel="0" collapsed="false">
      <c r="A323" s="15" t="n">
        <f aca="false">cleaned_data!$M$322</f>
        <v>536845.42</v>
      </c>
      <c r="B323" s="15" t="n">
        <f aca="false">cleaned_data!$F$322</f>
        <v>3466</v>
      </c>
      <c r="C323" s="15" t="n">
        <f aca="false">cleaned_data!$E$322</f>
        <v>24088.06</v>
      </c>
      <c r="D323" s="15" t="n">
        <f aca="false">cleaned_data!$I$322</f>
        <v>88</v>
      </c>
      <c r="E323" s="15" t="n">
        <f aca="false">cleaned_data!$H$322</f>
        <v>11</v>
      </c>
      <c r="F323" s="15" t="n">
        <f aca="false">dummy_variables!$D$322</f>
        <v>0</v>
      </c>
      <c r="G323" s="15" t="n">
        <f aca="false">dummy_variables!$E$322</f>
        <v>0</v>
      </c>
      <c r="H323" s="15" t="n">
        <f aca="false">dummy_variables!$F$322</f>
        <v>1</v>
      </c>
      <c r="I323" s="15" t="n">
        <f aca="false">dummy_variables!$G$322</f>
        <v>0</v>
      </c>
      <c r="J323" s="15" t="n">
        <f aca="false">dummy_variables!$H$322</f>
        <v>0</v>
      </c>
      <c r="K323" s="15" t="n">
        <f aca="false">dummy_variables!$I$322</f>
        <v>0</v>
      </c>
    </row>
    <row r="324" customFormat="false" ht="15" hidden="false" customHeight="true" outlineLevel="0" collapsed="false">
      <c r="A324" s="15" t="n">
        <f aca="false">cleaned_data!$M$323</f>
        <v>726776.22</v>
      </c>
      <c r="B324" s="15" t="n">
        <f aca="false">cleaned_data!$F$323</f>
        <v>7775</v>
      </c>
      <c r="C324" s="15" t="n">
        <f aca="false">cleaned_data!$E$323</f>
        <v>81902.58</v>
      </c>
      <c r="D324" s="15" t="n">
        <f aca="false">cleaned_data!$I$323</f>
        <v>85.2</v>
      </c>
      <c r="E324" s="15" t="n">
        <f aca="false">cleaned_data!$H$323</f>
        <v>20</v>
      </c>
      <c r="F324" s="15" t="n">
        <f aca="false">dummy_variables!$D$323</f>
        <v>0</v>
      </c>
      <c r="G324" s="15" t="n">
        <f aca="false">dummy_variables!$E$323</f>
        <v>0</v>
      </c>
      <c r="H324" s="15" t="n">
        <f aca="false">dummy_variables!$F$323</f>
        <v>1</v>
      </c>
      <c r="I324" s="15" t="n">
        <f aca="false">dummy_variables!$G$323</f>
        <v>0</v>
      </c>
      <c r="J324" s="15" t="n">
        <f aca="false">dummy_variables!$H$323</f>
        <v>0</v>
      </c>
      <c r="K324" s="15" t="n">
        <f aca="false">dummy_variables!$I$323</f>
        <v>0</v>
      </c>
    </row>
    <row r="325" customFormat="false" ht="15" hidden="false" customHeight="true" outlineLevel="0" collapsed="false">
      <c r="A325" s="15" t="n">
        <f aca="false">cleaned_data!$M$324</f>
        <v>559660.84</v>
      </c>
      <c r="B325" s="15" t="n">
        <f aca="false">cleaned_data!$F$324</f>
        <v>5317</v>
      </c>
      <c r="C325" s="15" t="n">
        <f aca="false">cleaned_data!$E$324</f>
        <v>40553.11</v>
      </c>
      <c r="D325" s="15" t="n">
        <f aca="false">cleaned_data!$I$324</f>
        <v>84.3</v>
      </c>
      <c r="E325" s="15" t="n">
        <f aca="false">cleaned_data!$H$324</f>
        <v>17</v>
      </c>
      <c r="F325" s="15" t="n">
        <f aca="false">dummy_variables!$D$324</f>
        <v>0</v>
      </c>
      <c r="G325" s="15" t="n">
        <f aca="false">dummy_variables!$E$324</f>
        <v>0</v>
      </c>
      <c r="H325" s="15" t="n">
        <f aca="false">dummy_variables!$F$324</f>
        <v>1</v>
      </c>
      <c r="I325" s="15" t="n">
        <f aca="false">dummy_variables!$G$324</f>
        <v>0</v>
      </c>
      <c r="J325" s="15" t="n">
        <f aca="false">dummy_variables!$H$324</f>
        <v>0</v>
      </c>
      <c r="K325" s="15" t="n">
        <f aca="false">dummy_variables!$I$324</f>
        <v>0</v>
      </c>
    </row>
  </sheetData>
  <mergeCells count="3">
    <mergeCell ref="A2:K2"/>
    <mergeCell ref="N6:P6"/>
    <mergeCell ref="N14:X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0"/>
    <col collapsed="false" customWidth="true" hidden="false" outlineLevel="0" max="3" min="3" style="1" width="8"/>
    <col collapsed="false" customWidth="true" hidden="false" outlineLevel="0" max="4" min="4" style="1" width="13"/>
    <col collapsed="false" customWidth="true" hidden="false" outlineLevel="0" max="5" min="5" style="1" width="18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5.75" hidden="false" customHeight="true" outlineLevel="0" collapsed="false">
      <c r="A1" s="2" t="s">
        <v>148</v>
      </c>
    </row>
    <row r="2" customFormat="false" ht="15" hidden="false" customHeight="true" outlineLevel="0" collapsed="false">
      <c r="A2" s="7" t="s">
        <v>149</v>
      </c>
      <c r="B2" s="7"/>
      <c r="C2" s="7"/>
      <c r="D2" s="7"/>
      <c r="E2" s="7"/>
      <c r="F2" s="7"/>
    </row>
    <row r="4" customFormat="false" ht="23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150</v>
      </c>
      <c r="F4" s="4" t="s">
        <v>151</v>
      </c>
      <c r="G4" s="4" t="s">
        <v>152</v>
      </c>
    </row>
    <row r="5" customFormat="false" ht="15" hidden="false" customHeight="true" outlineLevel="0" collapsed="false">
      <c r="A5" s="5" t="str">
        <f aca="false">cleaned_data!$A$5</f>
        <v>STR-1001</v>
      </c>
      <c r="B5" s="26" t="str">
        <f aca="false">cleaned_data!$B$5</f>
        <v>2025-01-01</v>
      </c>
      <c r="C5" s="5" t="str">
        <f aca="false">cleaned_data!$C$5</f>
        <v>East</v>
      </c>
      <c r="D5" s="5" t="str">
        <f aca="false">cleaned_data!$D$5</f>
        <v>Residential</v>
      </c>
      <c r="E5" s="27" t="n">
        <f aca="false">cleaned_data!$M$5</f>
        <v>658832.62</v>
      </c>
      <c r="F5" s="27" t="n">
        <f aca="false">multiple_regression!$O$18+multiple_regression!$O$19*cleaned_data!$F$5+multiple_regression!$O$20*cleaned_data!$E$5+multiple_regression!$O$21*cleaned_data!$I$5+multiple_regression!$O$22*cleaned_data!$H$5+multiple_regression!$O$23*dummy_variables!$D$5+multiple_regression!$O$24*dummy_variables!$E$5+multiple_regression!$O$25*dummy_variables!$F$5+multiple_regression!$O$26*dummy_variables!$G$5+multiple_regression!$O$27*dummy_variables!$H$5+multiple_regression!$O$28*dummy_variables!$I$5</f>
        <v>681073.064001088</v>
      </c>
      <c r="G5" s="27" t="n">
        <f aca="false">E5-F5</f>
        <v>-22240.444001088</v>
      </c>
    </row>
    <row r="6" customFormat="false" ht="15" hidden="false" customHeight="true" outlineLevel="0" collapsed="false">
      <c r="A6" s="5" t="str">
        <f aca="false">cleaned_data!$A$6</f>
        <v>STR-1001</v>
      </c>
      <c r="B6" s="26" t="str">
        <f aca="false">cleaned_data!$B$6</f>
        <v>2025-02-01</v>
      </c>
      <c r="C6" s="5" t="str">
        <f aca="false">cleaned_data!$C$6</f>
        <v>East</v>
      </c>
      <c r="D6" s="5" t="str">
        <f aca="false">cleaned_data!$D$6</f>
        <v>Residential</v>
      </c>
      <c r="E6" s="27" t="n">
        <f aca="false">cleaned_data!$M$6</f>
        <v>634436</v>
      </c>
      <c r="F6" s="27" t="n">
        <f aca="false">multiple_regression!$O$18+multiple_regression!$O$19*cleaned_data!$F$6+multiple_regression!$O$20*cleaned_data!$E$6+multiple_regression!$O$21*cleaned_data!$I$6+multiple_regression!$O$22*cleaned_data!$H$6+multiple_regression!$O$23*dummy_variables!$D$6+multiple_regression!$O$24*dummy_variables!$E$6+multiple_regression!$O$25*dummy_variables!$F$6+multiple_regression!$O$26*dummy_variables!$G$6+multiple_regression!$O$27*dummy_variables!$H$6+multiple_regression!$O$28*dummy_variables!$I$6</f>
        <v>700207.924768432</v>
      </c>
      <c r="G6" s="27" t="n">
        <f aca="false">E6-F6</f>
        <v>-65771.9247684322</v>
      </c>
    </row>
    <row r="7" customFormat="false" ht="15" hidden="false" customHeight="true" outlineLevel="0" collapsed="false">
      <c r="A7" s="5" t="str">
        <f aca="false">cleaned_data!$A$7</f>
        <v>STR-1001</v>
      </c>
      <c r="B7" s="26" t="str">
        <f aca="false">cleaned_data!$B$7</f>
        <v>2025-03-01</v>
      </c>
      <c r="C7" s="5" t="str">
        <f aca="false">cleaned_data!$C$7</f>
        <v>East</v>
      </c>
      <c r="D7" s="5" t="str">
        <f aca="false">cleaned_data!$D$7</f>
        <v>Residential</v>
      </c>
      <c r="E7" s="27" t="n">
        <f aca="false">cleaned_data!$M$7</f>
        <v>678722.06</v>
      </c>
      <c r="F7" s="27" t="n">
        <f aca="false">multiple_regression!$O$18+multiple_regression!$O$19*cleaned_data!$F$7+multiple_regression!$O$20*cleaned_data!$E$7+multiple_regression!$O$21*cleaned_data!$I$7+multiple_regression!$O$22*cleaned_data!$H$7+multiple_regression!$O$23*dummy_variables!$D$7+multiple_regression!$O$24*dummy_variables!$E$7+multiple_regression!$O$25*dummy_variables!$F$7+multiple_regression!$O$26*dummy_variables!$G$7+multiple_regression!$O$27*dummy_variables!$H$7+multiple_regression!$O$28*dummy_variables!$I$7</f>
        <v>739583.526597785</v>
      </c>
      <c r="G7" s="27" t="n">
        <f aca="false">E7-F7</f>
        <v>-60861.4665977851</v>
      </c>
    </row>
    <row r="8" customFormat="false" ht="15" hidden="false" customHeight="true" outlineLevel="0" collapsed="false">
      <c r="A8" s="5" t="str">
        <f aca="false">cleaned_data!$A$8</f>
        <v>STR-1001</v>
      </c>
      <c r="B8" s="26" t="str">
        <f aca="false">cleaned_data!$B$8</f>
        <v>2025-04-01</v>
      </c>
      <c r="C8" s="5" t="str">
        <f aca="false">cleaned_data!$C$8</f>
        <v>East</v>
      </c>
      <c r="D8" s="5" t="str">
        <f aca="false">cleaned_data!$D$8</f>
        <v>Residential</v>
      </c>
      <c r="E8" s="27" t="n">
        <f aca="false">cleaned_data!$M$8</f>
        <v>658920.3</v>
      </c>
      <c r="F8" s="27" t="n">
        <f aca="false">multiple_regression!$O$18+multiple_regression!$O$19*cleaned_data!$F$8+multiple_regression!$O$20*cleaned_data!$E$8+multiple_regression!$O$21*cleaned_data!$I$8+multiple_regression!$O$22*cleaned_data!$H$8+multiple_regression!$O$23*dummy_variables!$D$8+multiple_regression!$O$24*dummy_variables!$E$8+multiple_regression!$O$25*dummy_variables!$F$8+multiple_regression!$O$26*dummy_variables!$G$8+multiple_regression!$O$27*dummy_variables!$H$8+multiple_regression!$O$28*dummy_variables!$I$8</f>
        <v>750221.69959266</v>
      </c>
      <c r="G8" s="27" t="n">
        <f aca="false">E8-F8</f>
        <v>-91301.3995926604</v>
      </c>
    </row>
    <row r="9" customFormat="false" ht="15" hidden="false" customHeight="true" outlineLevel="0" collapsed="false">
      <c r="A9" s="5" t="str">
        <f aca="false">cleaned_data!$A$9</f>
        <v>STR-1002</v>
      </c>
      <c r="B9" s="26" t="str">
        <f aca="false">cleaned_data!$B$9</f>
        <v>2025-01-01</v>
      </c>
      <c r="C9" s="5" t="str">
        <f aca="false">cleaned_data!$C$9</f>
        <v>East</v>
      </c>
      <c r="D9" s="5" t="str">
        <f aca="false">cleaned_data!$D$9</f>
        <v>High Street</v>
      </c>
      <c r="E9" s="27" t="n">
        <f aca="false">cleaned_data!$M$9</f>
        <v>741341.44</v>
      </c>
      <c r="F9" s="27" t="n">
        <f aca="false">multiple_regression!$O$18+multiple_regression!$O$19*cleaned_data!$F$9+multiple_regression!$O$20*cleaned_data!$E$9+multiple_regression!$O$21*cleaned_data!$I$9+multiple_regression!$O$22*cleaned_data!$H$9+multiple_regression!$O$23*dummy_variables!$D$9+multiple_regression!$O$24*dummy_variables!$E$9+multiple_regression!$O$25*dummy_variables!$F$9+multiple_regression!$O$26*dummy_variables!$G$9+multiple_regression!$O$27*dummy_variables!$H$9+multiple_regression!$O$28*dummy_variables!$I$9</f>
        <v>787555.186638527</v>
      </c>
      <c r="G9" s="27" t="n">
        <f aca="false">E9-F9</f>
        <v>-46213.7466385268</v>
      </c>
    </row>
    <row r="10" customFormat="false" ht="15" hidden="false" customHeight="true" outlineLevel="0" collapsed="false">
      <c r="A10" s="5" t="str">
        <f aca="false">cleaned_data!$A$10</f>
        <v>STR-1002</v>
      </c>
      <c r="B10" s="26" t="str">
        <f aca="false">cleaned_data!$B$10</f>
        <v>2025-02-01</v>
      </c>
      <c r="C10" s="5" t="str">
        <f aca="false">cleaned_data!$C$10</f>
        <v>East</v>
      </c>
      <c r="D10" s="5" t="str">
        <f aca="false">cleaned_data!$D$10</f>
        <v>High Street</v>
      </c>
      <c r="E10" s="27" t="n">
        <f aca="false">cleaned_data!$M$10</f>
        <v>761835.34</v>
      </c>
      <c r="F10" s="27" t="n">
        <f aca="false">multiple_regression!$O$18+multiple_regression!$O$19*cleaned_data!$F$10+multiple_regression!$O$20*cleaned_data!$E$10+multiple_regression!$O$21*cleaned_data!$I$10+multiple_regression!$O$22*cleaned_data!$H$10+multiple_regression!$O$23*dummy_variables!$D$10+multiple_regression!$O$24*dummy_variables!$E$10+multiple_regression!$O$25*dummy_variables!$F$10+multiple_regression!$O$26*dummy_variables!$G$10+multiple_regression!$O$27*dummy_variables!$H$10+multiple_regression!$O$28*dummy_variables!$I$10</f>
        <v>770886.533793029</v>
      </c>
      <c r="G10" s="27" t="n">
        <f aca="false">E10-F10</f>
        <v>-9051.19379302871</v>
      </c>
    </row>
    <row r="11" customFormat="false" ht="15" hidden="false" customHeight="true" outlineLevel="0" collapsed="false">
      <c r="A11" s="5" t="str">
        <f aca="false">cleaned_data!$A$11</f>
        <v>STR-1002</v>
      </c>
      <c r="B11" s="26" t="str">
        <f aca="false">cleaned_data!$B$11</f>
        <v>2025-03-01</v>
      </c>
      <c r="C11" s="5" t="str">
        <f aca="false">cleaned_data!$C$11</f>
        <v>East</v>
      </c>
      <c r="D11" s="5" t="str">
        <f aca="false">cleaned_data!$D$11</f>
        <v>High Street</v>
      </c>
      <c r="E11" s="27" t="n">
        <f aca="false">cleaned_data!$M$11</f>
        <v>806615.54</v>
      </c>
      <c r="F11" s="27" t="n">
        <f aca="false">multiple_regression!$O$18+multiple_regression!$O$19*cleaned_data!$F$11+multiple_regression!$O$20*cleaned_data!$E$11+multiple_regression!$O$21*cleaned_data!$I$11+multiple_regression!$O$22*cleaned_data!$H$11+multiple_regression!$O$23*dummy_variables!$D$11+multiple_regression!$O$24*dummy_variables!$E$11+multiple_regression!$O$25*dummy_variables!$F$11+multiple_regression!$O$26*dummy_variables!$G$11+multiple_regression!$O$27*dummy_variables!$H$11+multiple_regression!$O$28*dummy_variables!$I$11</f>
        <v>781399.309653644</v>
      </c>
      <c r="G11" s="27" t="n">
        <f aca="false">E11-F11</f>
        <v>25216.2303463563</v>
      </c>
    </row>
    <row r="12" customFormat="false" ht="15" hidden="false" customHeight="true" outlineLevel="0" collapsed="false">
      <c r="A12" s="5" t="str">
        <f aca="false">cleaned_data!$A$12</f>
        <v>STR-1002</v>
      </c>
      <c r="B12" s="26" t="str">
        <f aca="false">cleaned_data!$B$12</f>
        <v>2025-04-01</v>
      </c>
      <c r="C12" s="5" t="str">
        <f aca="false">cleaned_data!$C$12</f>
        <v>East</v>
      </c>
      <c r="D12" s="5" t="str">
        <f aca="false">cleaned_data!$D$12</f>
        <v>High Street</v>
      </c>
      <c r="E12" s="27" t="n">
        <f aca="false">cleaned_data!$M$12</f>
        <v>850164.26</v>
      </c>
      <c r="F12" s="27" t="n">
        <f aca="false">multiple_regression!$O$18+multiple_regression!$O$19*cleaned_data!$F$12+multiple_regression!$O$20*cleaned_data!$E$12+multiple_regression!$O$21*cleaned_data!$I$12+multiple_regression!$O$22*cleaned_data!$H$12+multiple_regression!$O$23*dummy_variables!$D$12+multiple_regression!$O$24*dummy_variables!$E$12+multiple_regression!$O$25*dummy_variables!$F$12+multiple_regression!$O$26*dummy_variables!$G$12+multiple_regression!$O$27*dummy_variables!$H$12+multiple_regression!$O$28*dummy_variables!$I$12</f>
        <v>782097.086946161</v>
      </c>
      <c r="G12" s="27" t="n">
        <f aca="false">E12-F12</f>
        <v>68067.1730538387</v>
      </c>
    </row>
    <row r="13" customFormat="false" ht="15" hidden="false" customHeight="true" outlineLevel="0" collapsed="false">
      <c r="A13" s="5" t="str">
        <f aca="false">cleaned_data!$A$13</f>
        <v>STR-1003</v>
      </c>
      <c r="B13" s="26" t="str">
        <f aca="false">cleaned_data!$B$13</f>
        <v>2025-01-01</v>
      </c>
      <c r="C13" s="5" t="str">
        <f aca="false">cleaned_data!$C$13</f>
        <v>North</v>
      </c>
      <c r="D13" s="5" t="str">
        <f aca="false">cleaned_data!$D$13</f>
        <v>Airport</v>
      </c>
      <c r="E13" s="27" t="n">
        <f aca="false">cleaned_data!$M$13</f>
        <v>930581.7</v>
      </c>
      <c r="F13" s="27" t="n">
        <f aca="false">multiple_regression!$O$18+multiple_regression!$O$19*cleaned_data!$F$13+multiple_regression!$O$20*cleaned_data!$E$13+multiple_regression!$O$21*cleaned_data!$I$13+multiple_regression!$O$22*cleaned_data!$H$13+multiple_regression!$O$23*dummy_variables!$D$13+multiple_regression!$O$24*dummy_variables!$E$13+multiple_regression!$O$25*dummy_variables!$F$13+multiple_regression!$O$26*dummy_variables!$G$13+multiple_regression!$O$27*dummy_variables!$H$13+multiple_regression!$O$28*dummy_variables!$I$13</f>
        <v>873444.963481942</v>
      </c>
      <c r="G13" s="27" t="n">
        <f aca="false">E13-F13</f>
        <v>57136.7365180581</v>
      </c>
    </row>
    <row r="14" customFormat="false" ht="15" hidden="false" customHeight="true" outlineLevel="0" collapsed="false">
      <c r="A14" s="5" t="str">
        <f aca="false">cleaned_data!$A$14</f>
        <v>STR-1003</v>
      </c>
      <c r="B14" s="26" t="str">
        <f aca="false">cleaned_data!$B$14</f>
        <v>2025-02-01</v>
      </c>
      <c r="C14" s="5" t="str">
        <f aca="false">cleaned_data!$C$14</f>
        <v>North</v>
      </c>
      <c r="D14" s="5" t="str">
        <f aca="false">cleaned_data!$D$14</f>
        <v>Airport</v>
      </c>
      <c r="E14" s="27" t="n">
        <f aca="false">cleaned_data!$M$14</f>
        <v>779010.94</v>
      </c>
      <c r="F14" s="27" t="n">
        <f aca="false">multiple_regression!$O$18+multiple_regression!$O$19*cleaned_data!$F$14+multiple_regression!$O$20*cleaned_data!$E$14+multiple_regression!$O$21*cleaned_data!$I$14+multiple_regression!$O$22*cleaned_data!$H$14+multiple_regression!$O$23*dummy_variables!$D$14+multiple_regression!$O$24*dummy_variables!$E$14+multiple_regression!$O$25*dummy_variables!$F$14+multiple_regression!$O$26*dummy_variables!$G$14+multiple_regression!$O$27*dummy_variables!$H$14+multiple_regression!$O$28*dummy_variables!$I$14</f>
        <v>800511.549506105</v>
      </c>
      <c r="G14" s="27" t="n">
        <f aca="false">E14-F14</f>
        <v>-21500.6095061048</v>
      </c>
    </row>
    <row r="15" customFormat="false" ht="15" hidden="false" customHeight="true" outlineLevel="0" collapsed="false">
      <c r="A15" s="5" t="str">
        <f aca="false">cleaned_data!$A$15</f>
        <v>STR-1003</v>
      </c>
      <c r="B15" s="26" t="str">
        <f aca="false">cleaned_data!$B$15</f>
        <v>2025-03-01</v>
      </c>
      <c r="C15" s="5" t="str">
        <f aca="false">cleaned_data!$C$15</f>
        <v>North</v>
      </c>
      <c r="D15" s="5" t="str">
        <f aca="false">cleaned_data!$D$15</f>
        <v>Airport</v>
      </c>
      <c r="E15" s="27" t="n">
        <f aca="false">cleaned_data!$M$15</f>
        <v>723060.76</v>
      </c>
      <c r="F15" s="27" t="n">
        <f aca="false">multiple_regression!$O$18+multiple_regression!$O$19*cleaned_data!$F$15+multiple_regression!$O$20*cleaned_data!$E$15+multiple_regression!$O$21*cleaned_data!$I$15+multiple_regression!$O$22*cleaned_data!$H$15+multiple_regression!$O$23*dummy_variables!$D$15+multiple_regression!$O$24*dummy_variables!$E$15+multiple_regression!$O$25*dummy_variables!$F$15+multiple_regression!$O$26*dummy_variables!$G$15+multiple_regression!$O$27*dummy_variables!$H$15+multiple_regression!$O$28*dummy_variables!$I$15</f>
        <v>765214.124036533</v>
      </c>
      <c r="G15" s="27" t="n">
        <f aca="false">E15-F15</f>
        <v>-42153.3640365325</v>
      </c>
    </row>
    <row r="16" customFormat="false" ht="15" hidden="false" customHeight="true" outlineLevel="0" collapsed="false">
      <c r="A16" s="5" t="str">
        <f aca="false">cleaned_data!$A$16</f>
        <v>STR-1003</v>
      </c>
      <c r="B16" s="26" t="str">
        <f aca="false">cleaned_data!$B$16</f>
        <v>2025-04-01</v>
      </c>
      <c r="C16" s="5" t="str">
        <f aca="false">cleaned_data!$C$16</f>
        <v>North</v>
      </c>
      <c r="D16" s="5" t="str">
        <f aca="false">cleaned_data!$D$16</f>
        <v>Airport</v>
      </c>
      <c r="E16" s="27" t="n">
        <f aca="false">cleaned_data!$M$16</f>
        <v>910791.94</v>
      </c>
      <c r="F16" s="27" t="n">
        <f aca="false">multiple_regression!$O$18+multiple_regression!$O$19*cleaned_data!$F$16+multiple_regression!$O$20*cleaned_data!$E$16+multiple_regression!$O$21*cleaned_data!$I$16+multiple_regression!$O$22*cleaned_data!$H$16+multiple_regression!$O$23*dummy_variables!$D$16+multiple_regression!$O$24*dummy_variables!$E$16+multiple_regression!$O$25*dummy_variables!$F$16+multiple_regression!$O$26*dummy_variables!$G$16+multiple_regression!$O$27*dummy_variables!$H$16+multiple_regression!$O$28*dummy_variables!$I$16</f>
        <v>871822.077928386</v>
      </c>
      <c r="G16" s="27" t="n">
        <f aca="false">E16-F16</f>
        <v>38969.862071614</v>
      </c>
    </row>
    <row r="17" customFormat="false" ht="15" hidden="false" customHeight="true" outlineLevel="0" collapsed="false">
      <c r="A17" s="5" t="str">
        <f aca="false">cleaned_data!$A$17</f>
        <v>STR-1004</v>
      </c>
      <c r="B17" s="26" t="str">
        <f aca="false">cleaned_data!$B$17</f>
        <v>2025-01-01</v>
      </c>
      <c r="C17" s="5" t="str">
        <f aca="false">cleaned_data!$C$17</f>
        <v>East</v>
      </c>
      <c r="D17" s="5" t="str">
        <f aca="false">cleaned_data!$D$17</f>
        <v>Residential</v>
      </c>
      <c r="E17" s="27" t="n">
        <f aca="false">cleaned_data!$M$17</f>
        <v>922168.6</v>
      </c>
      <c r="F17" s="27" t="n">
        <f aca="false">multiple_regression!$O$18+multiple_regression!$O$19*cleaned_data!$F$17+multiple_regression!$O$20*cleaned_data!$E$17+multiple_regression!$O$21*cleaned_data!$I$17+multiple_regression!$O$22*cleaned_data!$H$17+multiple_regression!$O$23*dummy_variables!$D$17+multiple_regression!$O$24*dummy_variables!$E$17+multiple_regression!$O$25*dummy_variables!$F$17+multiple_regression!$O$26*dummy_variables!$G$17+multiple_regression!$O$27*dummy_variables!$H$17+multiple_regression!$O$28*dummy_variables!$I$17</f>
        <v>868113.28471324</v>
      </c>
      <c r="G17" s="27" t="n">
        <f aca="false">E17-F17</f>
        <v>54055.3152867601</v>
      </c>
    </row>
    <row r="18" customFormat="false" ht="15" hidden="false" customHeight="true" outlineLevel="0" collapsed="false">
      <c r="A18" s="5" t="str">
        <f aca="false">cleaned_data!$A$18</f>
        <v>STR-1004</v>
      </c>
      <c r="B18" s="26" t="str">
        <f aca="false">cleaned_data!$B$18</f>
        <v>2025-02-01</v>
      </c>
      <c r="C18" s="5" t="str">
        <f aca="false">cleaned_data!$C$18</f>
        <v>East</v>
      </c>
      <c r="D18" s="5" t="str">
        <f aca="false">cleaned_data!$D$18</f>
        <v>Residential</v>
      </c>
      <c r="E18" s="27" t="n">
        <f aca="false">cleaned_data!$M$18</f>
        <v>726606.28</v>
      </c>
      <c r="F18" s="27" t="n">
        <f aca="false">multiple_regression!$O$18+multiple_regression!$O$19*cleaned_data!$F$18+multiple_regression!$O$20*cleaned_data!$E$18+multiple_regression!$O$21*cleaned_data!$I$18+multiple_regression!$O$22*cleaned_data!$H$18+multiple_regression!$O$23*dummy_variables!$D$18+multiple_regression!$O$24*dummy_variables!$E$18+multiple_regression!$O$25*dummy_variables!$F$18+multiple_regression!$O$26*dummy_variables!$G$18+multiple_regression!$O$27*dummy_variables!$H$18+multiple_regression!$O$28*dummy_variables!$I$18</f>
        <v>763628.345130366</v>
      </c>
      <c r="G18" s="27" t="n">
        <f aca="false">E18-F18</f>
        <v>-37022.0651303664</v>
      </c>
    </row>
    <row r="19" customFormat="false" ht="15" hidden="false" customHeight="true" outlineLevel="0" collapsed="false">
      <c r="A19" s="5" t="str">
        <f aca="false">cleaned_data!$A$19</f>
        <v>STR-1004</v>
      </c>
      <c r="B19" s="26" t="str">
        <f aca="false">cleaned_data!$B$19</f>
        <v>2025-03-01</v>
      </c>
      <c r="C19" s="5" t="str">
        <f aca="false">cleaned_data!$C$19</f>
        <v>East</v>
      </c>
      <c r="D19" s="5" t="str">
        <f aca="false">cleaned_data!$D$19</f>
        <v>Residential</v>
      </c>
      <c r="E19" s="27" t="n">
        <f aca="false">cleaned_data!$M$19</f>
        <v>746501.09</v>
      </c>
      <c r="F19" s="27" t="n">
        <f aca="false">multiple_regression!$O$18+multiple_regression!$O$19*cleaned_data!$F$19+multiple_regression!$O$20*cleaned_data!$E$19+multiple_regression!$O$21*cleaned_data!$I$19+multiple_regression!$O$22*cleaned_data!$H$19+multiple_regression!$O$23*dummy_variables!$D$19+multiple_regression!$O$24*dummy_variables!$E$19+multiple_regression!$O$25*dummy_variables!$F$19+multiple_regression!$O$26*dummy_variables!$G$19+multiple_regression!$O$27*dummy_variables!$H$19+multiple_regression!$O$28*dummy_variables!$I$19</f>
        <v>744058.560176114</v>
      </c>
      <c r="G19" s="27" t="n">
        <f aca="false">E19-F19</f>
        <v>2442.52982388565</v>
      </c>
    </row>
    <row r="20" customFormat="false" ht="15" hidden="false" customHeight="true" outlineLevel="0" collapsed="false">
      <c r="A20" s="5" t="str">
        <f aca="false">cleaned_data!$A$20</f>
        <v>STR-1004</v>
      </c>
      <c r="B20" s="26" t="str">
        <f aca="false">cleaned_data!$B$20</f>
        <v>2025-04-01</v>
      </c>
      <c r="C20" s="5" t="str">
        <f aca="false">cleaned_data!$C$20</f>
        <v>East</v>
      </c>
      <c r="D20" s="5" t="str">
        <f aca="false">cleaned_data!$D$20</f>
        <v>Residential</v>
      </c>
      <c r="E20" s="27" t="n">
        <f aca="false">cleaned_data!$M$20</f>
        <v>834017.02</v>
      </c>
      <c r="F20" s="27" t="n">
        <f aca="false">multiple_regression!$O$18+multiple_regression!$O$19*cleaned_data!$F$20+multiple_regression!$O$20*cleaned_data!$E$20+multiple_regression!$O$21*cleaned_data!$I$20+multiple_regression!$O$22*cleaned_data!$H$20+multiple_regression!$O$23*dummy_variables!$D$20+multiple_regression!$O$24*dummy_variables!$E$20+multiple_regression!$O$25*dummy_variables!$F$20+multiple_regression!$O$26*dummy_variables!$G$20+multiple_regression!$O$27*dummy_variables!$H$20+multiple_regression!$O$28*dummy_variables!$I$20</f>
        <v>792513.831042829</v>
      </c>
      <c r="G20" s="27" t="n">
        <f aca="false">E20-F20</f>
        <v>41503.1889571706</v>
      </c>
    </row>
    <row r="21" customFormat="false" ht="15" hidden="false" customHeight="true" outlineLevel="0" collapsed="false">
      <c r="A21" s="5" t="str">
        <f aca="false">cleaned_data!$A$21</f>
        <v>STR-1005</v>
      </c>
      <c r="B21" s="26" t="str">
        <f aca="false">cleaned_data!$B$21</f>
        <v>2025-01-01</v>
      </c>
      <c r="C21" s="5" t="str">
        <f aca="false">cleaned_data!$C$21</f>
        <v>South</v>
      </c>
      <c r="D21" s="5" t="str">
        <f aca="false">cleaned_data!$D$21</f>
        <v>Residential</v>
      </c>
      <c r="E21" s="27" t="n">
        <f aca="false">cleaned_data!$M$21</f>
        <v>666152.52</v>
      </c>
      <c r="F21" s="27" t="n">
        <f aca="false">multiple_regression!$O$18+multiple_regression!$O$19*cleaned_data!$F$21+multiple_regression!$O$20*cleaned_data!$E$21+multiple_regression!$O$21*cleaned_data!$I$21+multiple_regression!$O$22*cleaned_data!$H$21+multiple_regression!$O$23*dummy_variables!$D$21+multiple_regression!$O$24*dummy_variables!$E$21+multiple_regression!$O$25*dummy_variables!$F$21+multiple_regression!$O$26*dummy_variables!$G$21+multiple_regression!$O$27*dummy_variables!$H$21+multiple_regression!$O$28*dummy_variables!$I$21</f>
        <v>673310.650331249</v>
      </c>
      <c r="G21" s="27" t="n">
        <f aca="false">E21-F21</f>
        <v>-7158.13033124851</v>
      </c>
    </row>
    <row r="22" customFormat="false" ht="15" hidden="false" customHeight="true" outlineLevel="0" collapsed="false">
      <c r="A22" s="5" t="str">
        <f aca="false">cleaned_data!$A$22</f>
        <v>STR-1005</v>
      </c>
      <c r="B22" s="26" t="str">
        <f aca="false">cleaned_data!$B$22</f>
        <v>2025-02-01</v>
      </c>
      <c r="C22" s="5" t="str">
        <f aca="false">cleaned_data!$C$22</f>
        <v>South</v>
      </c>
      <c r="D22" s="5" t="str">
        <f aca="false">cleaned_data!$D$22</f>
        <v>Residential</v>
      </c>
      <c r="E22" s="27" t="n">
        <f aca="false">cleaned_data!$M$22</f>
        <v>573155.19</v>
      </c>
      <c r="F22" s="27" t="n">
        <f aca="false">multiple_regression!$O$18+multiple_regression!$O$19*cleaned_data!$F$22+multiple_regression!$O$20*cleaned_data!$E$22+multiple_regression!$O$21*cleaned_data!$I$22+multiple_regression!$O$22*cleaned_data!$H$22+multiple_regression!$O$23*dummy_variables!$D$22+multiple_regression!$O$24*dummy_variables!$E$22+multiple_regression!$O$25*dummy_variables!$F$22+multiple_regression!$O$26*dummy_variables!$G$22+multiple_regression!$O$27*dummy_variables!$H$22+multiple_regression!$O$28*dummy_variables!$I$22</f>
        <v>587823.246149674</v>
      </c>
      <c r="G22" s="27" t="n">
        <f aca="false">E22-F22</f>
        <v>-14668.0561496739</v>
      </c>
    </row>
    <row r="23" customFormat="false" ht="15" hidden="false" customHeight="true" outlineLevel="0" collapsed="false">
      <c r="A23" s="5" t="str">
        <f aca="false">cleaned_data!$A$23</f>
        <v>STR-1005</v>
      </c>
      <c r="B23" s="26" t="str">
        <f aca="false">cleaned_data!$B$23</f>
        <v>2025-03-01</v>
      </c>
      <c r="C23" s="5" t="str">
        <f aca="false">cleaned_data!$C$23</f>
        <v>South</v>
      </c>
      <c r="D23" s="5" t="str">
        <f aca="false">cleaned_data!$D$23</f>
        <v>Residential</v>
      </c>
      <c r="E23" s="27" t="n">
        <f aca="false">cleaned_data!$M$23</f>
        <v>666573.2</v>
      </c>
      <c r="F23" s="27" t="n">
        <f aca="false">multiple_regression!$O$18+multiple_regression!$O$19*cleaned_data!$F$23+multiple_regression!$O$20*cleaned_data!$E$23+multiple_regression!$O$21*cleaned_data!$I$23+multiple_regression!$O$22*cleaned_data!$H$23+multiple_regression!$O$23*dummy_variables!$D$23+multiple_regression!$O$24*dummy_variables!$E$23+multiple_regression!$O$25*dummy_variables!$F$23+multiple_regression!$O$26*dummy_variables!$G$23+multiple_regression!$O$27*dummy_variables!$H$23+multiple_regression!$O$28*dummy_variables!$I$23</f>
        <v>683980.761132393</v>
      </c>
      <c r="G23" s="27" t="n">
        <f aca="false">E23-F23</f>
        <v>-17407.5611323932</v>
      </c>
    </row>
    <row r="24" customFormat="false" ht="15" hidden="false" customHeight="true" outlineLevel="0" collapsed="false">
      <c r="A24" s="5" t="str">
        <f aca="false">cleaned_data!$A$24</f>
        <v>STR-1005</v>
      </c>
      <c r="B24" s="26" t="str">
        <f aca="false">cleaned_data!$B$24</f>
        <v>2025-04-01</v>
      </c>
      <c r="C24" s="5" t="str">
        <f aca="false">cleaned_data!$C$24</f>
        <v>South</v>
      </c>
      <c r="D24" s="5" t="str">
        <f aca="false">cleaned_data!$D$24</f>
        <v>Residential</v>
      </c>
      <c r="E24" s="27" t="n">
        <f aca="false">cleaned_data!$M$24</f>
        <v>591619.95</v>
      </c>
      <c r="F24" s="27" t="n">
        <f aca="false">multiple_regression!$O$18+multiple_regression!$O$19*cleaned_data!$F$24+multiple_regression!$O$20*cleaned_data!$E$24+multiple_regression!$O$21*cleaned_data!$I$24+multiple_regression!$O$22*cleaned_data!$H$24+multiple_regression!$O$23*dummy_variables!$D$24+multiple_regression!$O$24*dummy_variables!$E$24+multiple_regression!$O$25*dummy_variables!$F$24+multiple_regression!$O$26*dummy_variables!$G$24+multiple_regression!$O$27*dummy_variables!$H$24+multiple_regression!$O$28*dummy_variables!$I$24</f>
        <v>606069.254370697</v>
      </c>
      <c r="G24" s="27" t="n">
        <f aca="false">E24-F24</f>
        <v>-14449.3043706975</v>
      </c>
    </row>
    <row r="25" customFormat="false" ht="15" hidden="false" customHeight="true" outlineLevel="0" collapsed="false">
      <c r="A25" s="5" t="str">
        <f aca="false">cleaned_data!$A$25</f>
        <v>STR-1006</v>
      </c>
      <c r="B25" s="26" t="str">
        <f aca="false">cleaned_data!$B$25</f>
        <v>2025-01-01</v>
      </c>
      <c r="C25" s="5" t="str">
        <f aca="false">cleaned_data!$C$25</f>
        <v>North</v>
      </c>
      <c r="D25" s="5" t="str">
        <f aca="false">cleaned_data!$D$25</f>
        <v>Residential</v>
      </c>
      <c r="E25" s="27" t="n">
        <f aca="false">cleaned_data!$M$25</f>
        <v>415721.82</v>
      </c>
      <c r="F25" s="27" t="n">
        <f aca="false">multiple_regression!$O$18+multiple_regression!$O$19*cleaned_data!$F$25+multiple_regression!$O$20*cleaned_data!$E$25+multiple_regression!$O$21*cleaned_data!$I$25+multiple_regression!$O$22*cleaned_data!$H$25+multiple_regression!$O$23*dummy_variables!$D$25+multiple_regression!$O$24*dummy_variables!$E$25+multiple_regression!$O$25*dummy_variables!$F$25+multiple_regression!$O$26*dummy_variables!$G$25+multiple_regression!$O$27*dummy_variables!$H$25+multiple_regression!$O$28*dummy_variables!$I$25</f>
        <v>490816.287197532</v>
      </c>
      <c r="G25" s="27" t="n">
        <f aca="false">E25-F25</f>
        <v>-75094.4671975315</v>
      </c>
    </row>
    <row r="26" customFormat="false" ht="15" hidden="false" customHeight="true" outlineLevel="0" collapsed="false">
      <c r="A26" s="5" t="str">
        <f aca="false">cleaned_data!$A$26</f>
        <v>STR-1006</v>
      </c>
      <c r="B26" s="26" t="str">
        <f aca="false">cleaned_data!$B$26</f>
        <v>2025-02-01</v>
      </c>
      <c r="C26" s="5" t="str">
        <f aca="false">cleaned_data!$C$26</f>
        <v>North</v>
      </c>
      <c r="D26" s="5" t="str">
        <f aca="false">cleaned_data!$D$26</f>
        <v>Residential</v>
      </c>
      <c r="E26" s="27" t="n">
        <f aca="false">cleaned_data!$M$26</f>
        <v>491905.13</v>
      </c>
      <c r="F26" s="27" t="n">
        <f aca="false">multiple_regression!$O$18+multiple_regression!$O$19*cleaned_data!$F$26+multiple_regression!$O$20*cleaned_data!$E$26+multiple_regression!$O$21*cleaned_data!$I$26+multiple_regression!$O$22*cleaned_data!$H$26+multiple_regression!$O$23*dummy_variables!$D$26+multiple_regression!$O$24*dummy_variables!$E$26+multiple_regression!$O$25*dummy_variables!$F$26+multiple_regression!$O$26*dummy_variables!$G$26+multiple_regression!$O$27*dummy_variables!$H$26+multiple_regression!$O$28*dummy_variables!$I$26</f>
        <v>482640.622760329</v>
      </c>
      <c r="G26" s="27" t="n">
        <f aca="false">E26-F26</f>
        <v>9264.50723967078</v>
      </c>
    </row>
    <row r="27" customFormat="false" ht="15" hidden="false" customHeight="true" outlineLevel="0" collapsed="false">
      <c r="A27" s="5" t="str">
        <f aca="false">cleaned_data!$A$27</f>
        <v>STR-1006</v>
      </c>
      <c r="B27" s="26" t="str">
        <f aca="false">cleaned_data!$B$27</f>
        <v>2025-03-01</v>
      </c>
      <c r="C27" s="5" t="str">
        <f aca="false">cleaned_data!$C$27</f>
        <v>North</v>
      </c>
      <c r="D27" s="5" t="str">
        <f aca="false">cleaned_data!$D$27</f>
        <v>Residential</v>
      </c>
      <c r="E27" s="27" t="n">
        <f aca="false">cleaned_data!$M$27</f>
        <v>555929.4</v>
      </c>
      <c r="F27" s="27" t="n">
        <f aca="false">multiple_regression!$O$18+multiple_regression!$O$19*cleaned_data!$F$27+multiple_regression!$O$20*cleaned_data!$E$27+multiple_regression!$O$21*cleaned_data!$I$27+multiple_regression!$O$22*cleaned_data!$H$27+multiple_regression!$O$23*dummy_variables!$D$27+multiple_regression!$O$24*dummy_variables!$E$27+multiple_regression!$O$25*dummy_variables!$F$27+multiple_regression!$O$26*dummy_variables!$G$27+multiple_regression!$O$27*dummy_variables!$H$27+multiple_regression!$O$28*dummy_variables!$I$27</f>
        <v>523173.384540665</v>
      </c>
      <c r="G27" s="27" t="n">
        <f aca="false">E27-F27</f>
        <v>32756.0154593347</v>
      </c>
    </row>
    <row r="28" customFormat="false" ht="15" hidden="false" customHeight="true" outlineLevel="0" collapsed="false">
      <c r="A28" s="5" t="str">
        <f aca="false">cleaned_data!$A$28</f>
        <v>STR-1006</v>
      </c>
      <c r="B28" s="26" t="str">
        <f aca="false">cleaned_data!$B$28</f>
        <v>2025-04-01</v>
      </c>
      <c r="C28" s="5" t="str">
        <f aca="false">cleaned_data!$C$28</f>
        <v>North</v>
      </c>
      <c r="D28" s="5" t="str">
        <f aca="false">cleaned_data!$D$28</f>
        <v>Residential</v>
      </c>
      <c r="E28" s="27" t="n">
        <f aca="false">cleaned_data!$M$28</f>
        <v>565810.99</v>
      </c>
      <c r="F28" s="27" t="n">
        <f aca="false">multiple_regression!$O$18+multiple_regression!$O$19*cleaned_data!$F$28+multiple_regression!$O$20*cleaned_data!$E$28+multiple_regression!$O$21*cleaned_data!$I$28+multiple_regression!$O$22*cleaned_data!$H$28+multiple_regression!$O$23*dummy_variables!$D$28+multiple_regression!$O$24*dummy_variables!$E$28+multiple_regression!$O$25*dummy_variables!$F$28+multiple_regression!$O$26*dummy_variables!$G$28+multiple_regression!$O$27*dummy_variables!$H$28+multiple_regression!$O$28*dummy_variables!$I$28</f>
        <v>552295.426252047</v>
      </c>
      <c r="G28" s="27" t="n">
        <f aca="false">E28-F28</f>
        <v>13515.5637479526</v>
      </c>
    </row>
    <row r="29" customFormat="false" ht="15" hidden="false" customHeight="true" outlineLevel="0" collapsed="false">
      <c r="A29" s="5" t="str">
        <f aca="false">cleaned_data!$A$29</f>
        <v>STR-1007</v>
      </c>
      <c r="B29" s="26" t="str">
        <f aca="false">cleaned_data!$B$29</f>
        <v>2025-01-01</v>
      </c>
      <c r="C29" s="5" t="str">
        <f aca="false">cleaned_data!$C$29</f>
        <v>West</v>
      </c>
      <c r="D29" s="5" t="str">
        <f aca="false">cleaned_data!$D$29</f>
        <v>Mall</v>
      </c>
      <c r="E29" s="27" t="n">
        <f aca="false">cleaned_data!$M$29</f>
        <v>811771.14</v>
      </c>
      <c r="F29" s="27" t="n">
        <f aca="false">multiple_regression!$O$18+multiple_regression!$O$19*cleaned_data!$F$29+multiple_regression!$O$20*cleaned_data!$E$29+multiple_regression!$O$21*cleaned_data!$I$29+multiple_regression!$O$22*cleaned_data!$H$29+multiple_regression!$O$23*dummy_variables!$D$29+multiple_regression!$O$24*dummy_variables!$E$29+multiple_regression!$O$25*dummy_variables!$F$29+multiple_regression!$O$26*dummy_variables!$G$29+multiple_regression!$O$27*dummy_variables!$H$29+multiple_regression!$O$28*dummy_variables!$I$29</f>
        <v>851690.261371049</v>
      </c>
      <c r="G29" s="27" t="n">
        <f aca="false">E29-F29</f>
        <v>-39919.1213710492</v>
      </c>
    </row>
    <row r="30" customFormat="false" ht="15" hidden="false" customHeight="true" outlineLevel="0" collapsed="false">
      <c r="A30" s="5" t="str">
        <f aca="false">cleaned_data!$A$30</f>
        <v>STR-1007</v>
      </c>
      <c r="B30" s="26" t="str">
        <f aca="false">cleaned_data!$B$30</f>
        <v>2025-02-01</v>
      </c>
      <c r="C30" s="5" t="str">
        <f aca="false">cleaned_data!$C$30</f>
        <v>West</v>
      </c>
      <c r="D30" s="5" t="str">
        <f aca="false">cleaned_data!$D$30</f>
        <v>Mall</v>
      </c>
      <c r="E30" s="27" t="n">
        <f aca="false">cleaned_data!$M$30</f>
        <v>800451.94</v>
      </c>
      <c r="F30" s="27" t="n">
        <f aca="false">multiple_regression!$O$18+multiple_regression!$O$19*cleaned_data!$F$30+multiple_regression!$O$20*cleaned_data!$E$30+multiple_regression!$O$21*cleaned_data!$I$30+multiple_regression!$O$22*cleaned_data!$H$30+multiple_regression!$O$23*dummy_variables!$D$30+multiple_regression!$O$24*dummy_variables!$E$30+multiple_regression!$O$25*dummy_variables!$F$30+multiple_regression!$O$26*dummy_variables!$G$30+multiple_regression!$O$27*dummy_variables!$H$30+multiple_regression!$O$28*dummy_variables!$I$30</f>
        <v>914908.111876831</v>
      </c>
      <c r="G30" s="27" t="n">
        <f aca="false">E30-F30</f>
        <v>-114456.171876831</v>
      </c>
    </row>
    <row r="31" customFormat="false" ht="15" hidden="false" customHeight="true" outlineLevel="0" collapsed="false">
      <c r="A31" s="5" t="str">
        <f aca="false">cleaned_data!$A$31</f>
        <v>STR-1007</v>
      </c>
      <c r="B31" s="26" t="str">
        <f aca="false">cleaned_data!$B$31</f>
        <v>2025-03-01</v>
      </c>
      <c r="C31" s="5" t="str">
        <f aca="false">cleaned_data!$C$31</f>
        <v>West</v>
      </c>
      <c r="D31" s="5" t="str">
        <f aca="false">cleaned_data!$D$31</f>
        <v>Mall</v>
      </c>
      <c r="E31" s="27" t="n">
        <f aca="false">cleaned_data!$M$31</f>
        <v>783672.82</v>
      </c>
      <c r="F31" s="27" t="n">
        <f aca="false">multiple_regression!$O$18+multiple_regression!$O$19*cleaned_data!$F$31+multiple_regression!$O$20*cleaned_data!$E$31+multiple_regression!$O$21*cleaned_data!$I$31+multiple_regression!$O$22*cleaned_data!$H$31+multiple_regression!$O$23*dummy_variables!$D$31+multiple_regression!$O$24*dummy_variables!$E$31+multiple_regression!$O$25*dummy_variables!$F$31+multiple_regression!$O$26*dummy_variables!$G$31+multiple_regression!$O$27*dummy_variables!$H$31+multiple_regression!$O$28*dummy_variables!$I$31</f>
        <v>808519.552598597</v>
      </c>
      <c r="G31" s="27" t="n">
        <f aca="false">E31-F31</f>
        <v>-24846.7325985972</v>
      </c>
    </row>
    <row r="32" customFormat="false" ht="15" hidden="false" customHeight="true" outlineLevel="0" collapsed="false">
      <c r="A32" s="5" t="str">
        <f aca="false">cleaned_data!$A$32</f>
        <v>STR-1007</v>
      </c>
      <c r="B32" s="26" t="str">
        <f aca="false">cleaned_data!$B$32</f>
        <v>2025-04-01</v>
      </c>
      <c r="C32" s="5" t="str">
        <f aca="false">cleaned_data!$C$32</f>
        <v>West</v>
      </c>
      <c r="D32" s="5" t="str">
        <f aca="false">cleaned_data!$D$32</f>
        <v>Mall</v>
      </c>
      <c r="E32" s="27" t="n">
        <f aca="false">cleaned_data!$M$32</f>
        <v>701641.97</v>
      </c>
      <c r="F32" s="27" t="n">
        <f aca="false">multiple_regression!$O$18+multiple_regression!$O$19*cleaned_data!$F$32+multiple_regression!$O$20*cleaned_data!$E$32+multiple_regression!$O$21*cleaned_data!$I$32+multiple_regression!$O$22*cleaned_data!$H$32+multiple_regression!$O$23*dummy_variables!$D$32+multiple_regression!$O$24*dummy_variables!$E$32+multiple_regression!$O$25*dummy_variables!$F$32+multiple_regression!$O$26*dummy_variables!$G$32+multiple_regression!$O$27*dummy_variables!$H$32+multiple_regression!$O$28*dummy_variables!$I$32</f>
        <v>702550.924656338</v>
      </c>
      <c r="G32" s="27" t="n">
        <f aca="false">E32-F32</f>
        <v>-908.954656338086</v>
      </c>
    </row>
    <row r="33" customFormat="false" ht="15" hidden="false" customHeight="true" outlineLevel="0" collapsed="false">
      <c r="A33" s="5" t="str">
        <f aca="false">cleaned_data!$A$33</f>
        <v>STR-1008</v>
      </c>
      <c r="B33" s="26" t="str">
        <f aca="false">cleaned_data!$B$33</f>
        <v>2025-01-01</v>
      </c>
      <c r="C33" s="5" t="str">
        <f aca="false">cleaned_data!$C$33</f>
        <v>East</v>
      </c>
      <c r="D33" s="5" t="str">
        <f aca="false">cleaned_data!$D$33</f>
        <v>Residential</v>
      </c>
      <c r="E33" s="27" t="n">
        <f aca="false">cleaned_data!$M$33</f>
        <v>511844.41</v>
      </c>
      <c r="F33" s="27" t="n">
        <f aca="false">multiple_regression!$O$18+multiple_regression!$O$19*cleaned_data!$F$33+multiple_regression!$O$20*cleaned_data!$E$33+multiple_regression!$O$21*cleaned_data!$I$33+multiple_regression!$O$22*cleaned_data!$H$33+multiple_regression!$O$23*dummy_variables!$D$33+multiple_regression!$O$24*dummy_variables!$E$33+multiple_regression!$O$25*dummy_variables!$F$33+multiple_regression!$O$26*dummy_variables!$G$33+multiple_regression!$O$27*dummy_variables!$H$33+multiple_regression!$O$28*dummy_variables!$I$33</f>
        <v>567895.74447128</v>
      </c>
      <c r="G33" s="27" t="n">
        <f aca="false">E33-F33</f>
        <v>-56051.3344712803</v>
      </c>
    </row>
    <row r="34" customFormat="false" ht="15" hidden="false" customHeight="true" outlineLevel="0" collapsed="false">
      <c r="A34" s="5" t="str">
        <f aca="false">cleaned_data!$A$34</f>
        <v>STR-1008</v>
      </c>
      <c r="B34" s="26" t="str">
        <f aca="false">cleaned_data!$B$34</f>
        <v>2025-02-01</v>
      </c>
      <c r="C34" s="5" t="str">
        <f aca="false">cleaned_data!$C$34</f>
        <v>East</v>
      </c>
      <c r="D34" s="5" t="str">
        <f aca="false">cleaned_data!$D$34</f>
        <v>Residential</v>
      </c>
      <c r="E34" s="27" t="n">
        <f aca="false">cleaned_data!$M$34</f>
        <v>537383.79</v>
      </c>
      <c r="F34" s="27" t="n">
        <f aca="false">multiple_regression!$O$18+multiple_regression!$O$19*cleaned_data!$F$34+multiple_regression!$O$20*cleaned_data!$E$34+multiple_regression!$O$21*cleaned_data!$I$34+multiple_regression!$O$22*cleaned_data!$H$34+multiple_regression!$O$23*dummy_variables!$D$34+multiple_regression!$O$24*dummy_variables!$E$34+multiple_regression!$O$25*dummy_variables!$F$34+multiple_regression!$O$26*dummy_variables!$G$34+multiple_regression!$O$27*dummy_variables!$H$34+multiple_regression!$O$28*dummy_variables!$I$34</f>
        <v>517388.624875024</v>
      </c>
      <c r="G34" s="27" t="n">
        <f aca="false">E34-F34</f>
        <v>19995.1651249756</v>
      </c>
    </row>
    <row r="35" customFormat="false" ht="15" hidden="false" customHeight="true" outlineLevel="0" collapsed="false">
      <c r="A35" s="5" t="str">
        <f aca="false">cleaned_data!$A$35</f>
        <v>STR-1008</v>
      </c>
      <c r="B35" s="26" t="str">
        <f aca="false">cleaned_data!$B$35</f>
        <v>2025-03-01</v>
      </c>
      <c r="C35" s="5" t="str">
        <f aca="false">cleaned_data!$C$35</f>
        <v>East</v>
      </c>
      <c r="D35" s="5" t="str">
        <f aca="false">cleaned_data!$D$35</f>
        <v>Residential</v>
      </c>
      <c r="E35" s="27" t="n">
        <f aca="false">cleaned_data!$M$35</f>
        <v>500173.02</v>
      </c>
      <c r="F35" s="27" t="n">
        <f aca="false">multiple_regression!$O$18+multiple_regression!$O$19*cleaned_data!$F$35+multiple_regression!$O$20*cleaned_data!$E$35+multiple_regression!$O$21*cleaned_data!$I$35+multiple_regression!$O$22*cleaned_data!$H$35+multiple_regression!$O$23*dummy_variables!$D$35+multiple_regression!$O$24*dummy_variables!$E$35+multiple_regression!$O$25*dummy_variables!$F$35+multiple_regression!$O$26*dummy_variables!$G$35+multiple_regression!$O$27*dummy_variables!$H$35+multiple_regression!$O$28*dummy_variables!$I$35</f>
        <v>504237.407012119</v>
      </c>
      <c r="G35" s="27" t="n">
        <f aca="false">E35-F35</f>
        <v>-4064.38701211865</v>
      </c>
    </row>
    <row r="36" customFormat="false" ht="15" hidden="false" customHeight="true" outlineLevel="0" collapsed="false">
      <c r="A36" s="5" t="str">
        <f aca="false">cleaned_data!$A$36</f>
        <v>STR-1008</v>
      </c>
      <c r="B36" s="26" t="str">
        <f aca="false">cleaned_data!$B$36</f>
        <v>2025-04-01</v>
      </c>
      <c r="C36" s="5" t="str">
        <f aca="false">cleaned_data!$C$36</f>
        <v>East</v>
      </c>
      <c r="D36" s="5" t="str">
        <f aca="false">cleaned_data!$D$36</f>
        <v>Residential</v>
      </c>
      <c r="E36" s="27" t="n">
        <f aca="false">cleaned_data!$M$36</f>
        <v>427917.38</v>
      </c>
      <c r="F36" s="27" t="n">
        <f aca="false">multiple_regression!$O$18+multiple_regression!$O$19*cleaned_data!$F$36+multiple_regression!$O$20*cleaned_data!$E$36+multiple_regression!$O$21*cleaned_data!$I$36+multiple_regression!$O$22*cleaned_data!$H$36+multiple_regression!$O$23*dummy_variables!$D$36+multiple_regression!$O$24*dummy_variables!$E$36+multiple_regression!$O$25*dummy_variables!$F$36+multiple_regression!$O$26*dummy_variables!$G$36+multiple_regression!$O$27*dummy_variables!$H$36+multiple_regression!$O$28*dummy_variables!$I$36</f>
        <v>480318.572910989</v>
      </c>
      <c r="G36" s="27" t="n">
        <f aca="false">E36-F36</f>
        <v>-52401.1929109893</v>
      </c>
    </row>
    <row r="37" customFormat="false" ht="15" hidden="false" customHeight="true" outlineLevel="0" collapsed="false">
      <c r="A37" s="5" t="str">
        <f aca="false">cleaned_data!$A$37</f>
        <v>STR-1009</v>
      </c>
      <c r="B37" s="26" t="str">
        <f aca="false">cleaned_data!$B$37</f>
        <v>2025-01-01</v>
      </c>
      <c r="C37" s="5" t="str">
        <f aca="false">cleaned_data!$C$37</f>
        <v>North</v>
      </c>
      <c r="D37" s="5" t="str">
        <f aca="false">cleaned_data!$D$37</f>
        <v>Residential</v>
      </c>
      <c r="E37" s="27" t="n">
        <f aca="false">cleaned_data!$M$37</f>
        <v>641865.03</v>
      </c>
      <c r="F37" s="27" t="n">
        <f aca="false">multiple_regression!$O$18+multiple_regression!$O$19*cleaned_data!$F$37+multiple_regression!$O$20*cleaned_data!$E$37+multiple_regression!$O$21*cleaned_data!$I$37+multiple_regression!$O$22*cleaned_data!$H$37+multiple_regression!$O$23*dummy_variables!$D$37+multiple_regression!$O$24*dummy_variables!$E$37+multiple_regression!$O$25*dummy_variables!$F$37+multiple_regression!$O$26*dummy_variables!$G$37+multiple_regression!$O$27*dummy_variables!$H$37+multiple_regression!$O$28*dummy_variables!$I$37</f>
        <v>738721.32378904</v>
      </c>
      <c r="G37" s="27" t="n">
        <f aca="false">E37-F37</f>
        <v>-96856.2937890403</v>
      </c>
    </row>
    <row r="38" customFormat="false" ht="15" hidden="false" customHeight="true" outlineLevel="0" collapsed="false">
      <c r="A38" s="5" t="str">
        <f aca="false">cleaned_data!$A$38</f>
        <v>STR-1009</v>
      </c>
      <c r="B38" s="26" t="str">
        <f aca="false">cleaned_data!$B$38</f>
        <v>2025-02-01</v>
      </c>
      <c r="C38" s="5" t="str">
        <f aca="false">cleaned_data!$C$38</f>
        <v>North</v>
      </c>
      <c r="D38" s="5" t="str">
        <f aca="false">cleaned_data!$D$38</f>
        <v>Residential</v>
      </c>
      <c r="E38" s="27" t="n">
        <f aca="false">cleaned_data!$M$38</f>
        <v>799477.76</v>
      </c>
      <c r="F38" s="27" t="n">
        <f aca="false">multiple_regression!$O$18+multiple_regression!$O$19*cleaned_data!$F$38+multiple_regression!$O$20*cleaned_data!$E$38+multiple_regression!$O$21*cleaned_data!$I$38+multiple_regression!$O$22*cleaned_data!$H$38+multiple_regression!$O$23*dummy_variables!$D$38+multiple_regression!$O$24*dummy_variables!$E$38+multiple_regression!$O$25*dummy_variables!$F$38+multiple_regression!$O$26*dummy_variables!$G$38+multiple_regression!$O$27*dummy_variables!$H$38+multiple_regression!$O$28*dummy_variables!$I$38</f>
        <v>841917.74532133</v>
      </c>
      <c r="G38" s="27" t="n">
        <f aca="false">E38-F38</f>
        <v>-42439.9853213296</v>
      </c>
    </row>
    <row r="39" customFormat="false" ht="15" hidden="false" customHeight="true" outlineLevel="0" collapsed="false">
      <c r="A39" s="5" t="str">
        <f aca="false">cleaned_data!$A$39</f>
        <v>STR-1009</v>
      </c>
      <c r="B39" s="26" t="str">
        <f aca="false">cleaned_data!$B$39</f>
        <v>2025-03-01</v>
      </c>
      <c r="C39" s="5" t="str">
        <f aca="false">cleaned_data!$C$39</f>
        <v>North</v>
      </c>
      <c r="D39" s="5" t="str">
        <f aca="false">cleaned_data!$D$39</f>
        <v>Residential</v>
      </c>
      <c r="E39" s="27" t="n">
        <f aca="false">cleaned_data!$M$39</f>
        <v>798952.17</v>
      </c>
      <c r="F39" s="27" t="n">
        <f aca="false">multiple_regression!$O$18+multiple_regression!$O$19*cleaned_data!$F$39+multiple_regression!$O$20*cleaned_data!$E$39+multiple_regression!$O$21*cleaned_data!$I$39+multiple_regression!$O$22*cleaned_data!$H$39+multiple_regression!$O$23*dummy_variables!$D$39+multiple_regression!$O$24*dummy_variables!$E$39+multiple_regression!$O$25*dummy_variables!$F$39+multiple_regression!$O$26*dummy_variables!$G$39+multiple_regression!$O$27*dummy_variables!$H$39+multiple_regression!$O$28*dummy_variables!$I$39</f>
        <v>794564.715750716</v>
      </c>
      <c r="G39" s="27" t="n">
        <f aca="false">E39-F39</f>
        <v>4387.45424928423</v>
      </c>
    </row>
    <row r="40" customFormat="false" ht="15" hidden="false" customHeight="true" outlineLevel="0" collapsed="false">
      <c r="A40" s="5" t="str">
        <f aca="false">cleaned_data!$A$40</f>
        <v>STR-1009</v>
      </c>
      <c r="B40" s="26" t="str">
        <f aca="false">cleaned_data!$B$40</f>
        <v>2025-04-01</v>
      </c>
      <c r="C40" s="5" t="str">
        <f aca="false">cleaned_data!$C$40</f>
        <v>North</v>
      </c>
      <c r="D40" s="5" t="str">
        <f aca="false">cleaned_data!$D$40</f>
        <v>Residential</v>
      </c>
      <c r="E40" s="27" t="n">
        <f aca="false">cleaned_data!$M$40</f>
        <v>800979.78</v>
      </c>
      <c r="F40" s="27" t="n">
        <f aca="false">multiple_regression!$O$18+multiple_regression!$O$19*cleaned_data!$F$40+multiple_regression!$O$20*cleaned_data!$E$40+multiple_regression!$O$21*cleaned_data!$I$40+multiple_regression!$O$22*cleaned_data!$H$40+multiple_regression!$O$23*dummy_variables!$D$40+multiple_regression!$O$24*dummy_variables!$E$40+multiple_regression!$O$25*dummy_variables!$F$40+multiple_regression!$O$26*dummy_variables!$G$40+multiple_regression!$O$27*dummy_variables!$H$40+multiple_regression!$O$28*dummy_variables!$I$40</f>
        <v>824075.467394403</v>
      </c>
      <c r="G40" s="27" t="n">
        <f aca="false">E40-F40</f>
        <v>-23095.6873944025</v>
      </c>
    </row>
    <row r="41" customFormat="false" ht="15" hidden="false" customHeight="true" outlineLevel="0" collapsed="false">
      <c r="A41" s="5" t="str">
        <f aca="false">cleaned_data!$A$41</f>
        <v>STR-1010</v>
      </c>
      <c r="B41" s="26" t="str">
        <f aca="false">cleaned_data!$B$41</f>
        <v>2025-01-01</v>
      </c>
      <c r="C41" s="5" t="str">
        <f aca="false">cleaned_data!$C$41</f>
        <v>North</v>
      </c>
      <c r="D41" s="5" t="str">
        <f aca="false">cleaned_data!$D$41</f>
        <v>Mall</v>
      </c>
      <c r="E41" s="27" t="n">
        <f aca="false">cleaned_data!$M$41</f>
        <v>820593.93</v>
      </c>
      <c r="F41" s="27" t="n">
        <f aca="false">multiple_regression!$O$18+multiple_regression!$O$19*cleaned_data!$F$41+multiple_regression!$O$20*cleaned_data!$E$41+multiple_regression!$O$21*cleaned_data!$I$41+multiple_regression!$O$22*cleaned_data!$H$41+multiple_regression!$O$23*dummy_variables!$D$41+multiple_regression!$O$24*dummy_variables!$E$41+multiple_regression!$O$25*dummy_variables!$F$41+multiple_regression!$O$26*dummy_variables!$G$41+multiple_regression!$O$27*dummy_variables!$H$41+multiple_regression!$O$28*dummy_variables!$I$41</f>
        <v>774937.678818563</v>
      </c>
      <c r="G41" s="27" t="n">
        <f aca="false">E41-F41</f>
        <v>45656.2511814367</v>
      </c>
    </row>
    <row r="42" customFormat="false" ht="15" hidden="false" customHeight="true" outlineLevel="0" collapsed="false">
      <c r="A42" s="5" t="str">
        <f aca="false">cleaned_data!$A$42</f>
        <v>STR-1010</v>
      </c>
      <c r="B42" s="26" t="str">
        <f aca="false">cleaned_data!$B$42</f>
        <v>2025-02-01</v>
      </c>
      <c r="C42" s="5" t="str">
        <f aca="false">cleaned_data!$C$42</f>
        <v>North</v>
      </c>
      <c r="D42" s="5" t="str">
        <f aca="false">cleaned_data!$D$42</f>
        <v>Mall</v>
      </c>
      <c r="E42" s="27" t="n">
        <f aca="false">cleaned_data!$M$42</f>
        <v>718330.53</v>
      </c>
      <c r="F42" s="27" t="n">
        <f aca="false">multiple_regression!$O$18+multiple_regression!$O$19*cleaned_data!$F$42+multiple_regression!$O$20*cleaned_data!$E$42+multiple_regression!$O$21*cleaned_data!$I$42+multiple_regression!$O$22*cleaned_data!$H$42+multiple_regression!$O$23*dummy_variables!$D$42+multiple_regression!$O$24*dummy_variables!$E$42+multiple_regression!$O$25*dummy_variables!$F$42+multiple_regression!$O$26*dummy_variables!$G$42+multiple_regression!$O$27*dummy_variables!$H$42+multiple_regression!$O$28*dummy_variables!$I$42</f>
        <v>762668.516494289</v>
      </c>
      <c r="G42" s="27" t="n">
        <f aca="false">E42-F42</f>
        <v>-44337.986494289</v>
      </c>
    </row>
    <row r="43" customFormat="false" ht="15" hidden="false" customHeight="true" outlineLevel="0" collapsed="false">
      <c r="A43" s="5" t="str">
        <f aca="false">cleaned_data!$A$43</f>
        <v>STR-1010</v>
      </c>
      <c r="B43" s="26" t="str">
        <f aca="false">cleaned_data!$B$43</f>
        <v>2025-03-01</v>
      </c>
      <c r="C43" s="5" t="str">
        <f aca="false">cleaned_data!$C$43</f>
        <v>North</v>
      </c>
      <c r="D43" s="5" t="str">
        <f aca="false">cleaned_data!$D$43</f>
        <v>Mall</v>
      </c>
      <c r="E43" s="27" t="n">
        <f aca="false">cleaned_data!$M$43</f>
        <v>736633.4</v>
      </c>
      <c r="F43" s="27" t="n">
        <f aca="false">multiple_regression!$O$18+multiple_regression!$O$19*cleaned_data!$F$43+multiple_regression!$O$20*cleaned_data!$E$43+multiple_regression!$O$21*cleaned_data!$I$43+multiple_regression!$O$22*cleaned_data!$H$43+multiple_regression!$O$23*dummy_variables!$D$43+multiple_regression!$O$24*dummy_variables!$E$43+multiple_regression!$O$25*dummy_variables!$F$43+multiple_regression!$O$26*dummy_variables!$G$43+multiple_regression!$O$27*dummy_variables!$H$43+multiple_regression!$O$28*dummy_variables!$I$43</f>
        <v>753226.00770227</v>
      </c>
      <c r="G43" s="27" t="n">
        <f aca="false">E43-F43</f>
        <v>-16592.6077022697</v>
      </c>
    </row>
    <row r="44" customFormat="false" ht="15" hidden="false" customHeight="true" outlineLevel="0" collapsed="false">
      <c r="A44" s="5" t="str">
        <f aca="false">cleaned_data!$A$44</f>
        <v>STR-1010</v>
      </c>
      <c r="B44" s="26" t="str">
        <f aca="false">cleaned_data!$B$44</f>
        <v>2025-04-01</v>
      </c>
      <c r="C44" s="5" t="str">
        <f aca="false">cleaned_data!$C$44</f>
        <v>North</v>
      </c>
      <c r="D44" s="5" t="str">
        <f aca="false">cleaned_data!$D$44</f>
        <v>Mall</v>
      </c>
      <c r="E44" s="27" t="n">
        <f aca="false">cleaned_data!$M$44</f>
        <v>828623.85</v>
      </c>
      <c r="F44" s="27" t="n">
        <f aca="false">multiple_regression!$O$18+multiple_regression!$O$19*cleaned_data!$F$44+multiple_regression!$O$20*cleaned_data!$E$44+multiple_regression!$O$21*cleaned_data!$I$44+multiple_regression!$O$22*cleaned_data!$H$44+multiple_regression!$O$23*dummy_variables!$D$44+multiple_regression!$O$24*dummy_variables!$E$44+multiple_regression!$O$25*dummy_variables!$F$44+multiple_regression!$O$26*dummy_variables!$G$44+multiple_regression!$O$27*dummy_variables!$H$44+multiple_regression!$O$28*dummy_variables!$I$44</f>
        <v>838831.271066902</v>
      </c>
      <c r="G44" s="27" t="n">
        <f aca="false">E44-F44</f>
        <v>-10207.4210669016</v>
      </c>
    </row>
    <row r="45" customFormat="false" ht="15" hidden="false" customHeight="true" outlineLevel="0" collapsed="false">
      <c r="A45" s="5" t="str">
        <f aca="false">cleaned_data!$A$45</f>
        <v>STR-1011</v>
      </c>
      <c r="B45" s="26" t="str">
        <f aca="false">cleaned_data!$B$45</f>
        <v>2025-01-01</v>
      </c>
      <c r="C45" s="5" t="str">
        <f aca="false">cleaned_data!$C$45</f>
        <v>East</v>
      </c>
      <c r="D45" s="5" t="str">
        <f aca="false">cleaned_data!$D$45</f>
        <v>Mall</v>
      </c>
      <c r="E45" s="27" t="n">
        <f aca="false">cleaned_data!$M$45</f>
        <v>592195.85</v>
      </c>
      <c r="F45" s="27" t="n">
        <f aca="false">multiple_regression!$O$18+multiple_regression!$O$19*cleaned_data!$F$45+multiple_regression!$O$20*cleaned_data!$E$45+multiple_regression!$O$21*cleaned_data!$I$45+multiple_regression!$O$22*cleaned_data!$H$45+multiple_regression!$O$23*dummy_variables!$D$45+multiple_regression!$O$24*dummy_variables!$E$45+multiple_regression!$O$25*dummy_variables!$F$45+multiple_regression!$O$26*dummy_variables!$G$45+multiple_regression!$O$27*dummy_variables!$H$45+multiple_regression!$O$28*dummy_variables!$I$45</f>
        <v>585644.725069516</v>
      </c>
      <c r="G45" s="27" t="n">
        <f aca="false">E45-F45</f>
        <v>6551.12493048364</v>
      </c>
    </row>
    <row r="46" customFormat="false" ht="15" hidden="false" customHeight="true" outlineLevel="0" collapsed="false">
      <c r="A46" s="5" t="str">
        <f aca="false">cleaned_data!$A$46</f>
        <v>STR-1011</v>
      </c>
      <c r="B46" s="26" t="str">
        <f aca="false">cleaned_data!$B$46</f>
        <v>2025-02-01</v>
      </c>
      <c r="C46" s="5" t="str">
        <f aca="false">cleaned_data!$C$46</f>
        <v>East</v>
      </c>
      <c r="D46" s="5" t="str">
        <f aca="false">cleaned_data!$D$46</f>
        <v>Mall</v>
      </c>
      <c r="E46" s="27" t="n">
        <f aca="false">cleaned_data!$M$46</f>
        <v>532644.46</v>
      </c>
      <c r="F46" s="27" t="n">
        <f aca="false">multiple_regression!$O$18+multiple_regression!$O$19*cleaned_data!$F$46+multiple_regression!$O$20*cleaned_data!$E$46+multiple_regression!$O$21*cleaned_data!$I$46+multiple_regression!$O$22*cleaned_data!$H$46+multiple_regression!$O$23*dummy_variables!$D$46+multiple_regression!$O$24*dummy_variables!$E$46+multiple_regression!$O$25*dummy_variables!$F$46+multiple_regression!$O$26*dummy_variables!$G$46+multiple_regression!$O$27*dummy_variables!$H$46+multiple_regression!$O$28*dummy_variables!$I$46</f>
        <v>517549.077418516</v>
      </c>
      <c r="G46" s="27" t="n">
        <f aca="false">E46-F46</f>
        <v>15095.3825814843</v>
      </c>
    </row>
    <row r="47" customFormat="false" ht="15" hidden="false" customHeight="true" outlineLevel="0" collapsed="false">
      <c r="A47" s="5" t="str">
        <f aca="false">cleaned_data!$A$47</f>
        <v>STR-1011</v>
      </c>
      <c r="B47" s="26" t="str">
        <f aca="false">cleaned_data!$B$47</f>
        <v>2025-03-01</v>
      </c>
      <c r="C47" s="5" t="str">
        <f aca="false">cleaned_data!$C$47</f>
        <v>East</v>
      </c>
      <c r="D47" s="5" t="str">
        <f aca="false">cleaned_data!$D$47</f>
        <v>Mall</v>
      </c>
      <c r="E47" s="27" t="n">
        <f aca="false">cleaned_data!$M$47</f>
        <v>657429.18</v>
      </c>
      <c r="F47" s="27" t="n">
        <f aca="false">multiple_regression!$O$18+multiple_regression!$O$19*cleaned_data!$F$47+multiple_regression!$O$20*cleaned_data!$E$47+multiple_regression!$O$21*cleaned_data!$I$47+multiple_regression!$O$22*cleaned_data!$H$47+multiple_regression!$O$23*dummy_variables!$D$47+multiple_regression!$O$24*dummy_variables!$E$47+multiple_regression!$O$25*dummy_variables!$F$47+multiple_regression!$O$26*dummy_variables!$G$47+multiple_regression!$O$27*dummy_variables!$H$47+multiple_regression!$O$28*dummy_variables!$I$47</f>
        <v>596753.205201186</v>
      </c>
      <c r="G47" s="27" t="n">
        <f aca="false">E47-F47</f>
        <v>60675.9747988144</v>
      </c>
    </row>
    <row r="48" customFormat="false" ht="15" hidden="false" customHeight="true" outlineLevel="0" collapsed="false">
      <c r="A48" s="5" t="str">
        <f aca="false">cleaned_data!$A$48</f>
        <v>STR-1011</v>
      </c>
      <c r="B48" s="26" t="str">
        <f aca="false">cleaned_data!$B$48</f>
        <v>2025-04-01</v>
      </c>
      <c r="C48" s="5" t="str">
        <f aca="false">cleaned_data!$C$48</f>
        <v>East</v>
      </c>
      <c r="D48" s="5" t="str">
        <f aca="false">cleaned_data!$D$48</f>
        <v>Mall</v>
      </c>
      <c r="E48" s="27" t="n">
        <f aca="false">cleaned_data!$M$48</f>
        <v>605178</v>
      </c>
      <c r="F48" s="27" t="n">
        <f aca="false">multiple_regression!$O$18+multiple_regression!$O$19*cleaned_data!$F$48+multiple_regression!$O$20*cleaned_data!$E$48+multiple_regression!$O$21*cleaned_data!$I$48+multiple_regression!$O$22*cleaned_data!$H$48+multiple_regression!$O$23*dummy_variables!$D$48+multiple_regression!$O$24*dummy_variables!$E$48+multiple_regression!$O$25*dummy_variables!$F$48+multiple_regression!$O$26*dummy_variables!$G$48+multiple_regression!$O$27*dummy_variables!$H$48+multiple_regression!$O$28*dummy_variables!$I$48</f>
        <v>597140.997768188</v>
      </c>
      <c r="G48" s="27" t="n">
        <f aca="false">E48-F48</f>
        <v>8037.00223181222</v>
      </c>
    </row>
    <row r="49" customFormat="false" ht="15" hidden="false" customHeight="true" outlineLevel="0" collapsed="false">
      <c r="A49" s="5" t="str">
        <f aca="false">cleaned_data!$A$49</f>
        <v>STR-1012</v>
      </c>
      <c r="B49" s="26" t="str">
        <f aca="false">cleaned_data!$B$49</f>
        <v>2025-01-01</v>
      </c>
      <c r="C49" s="5" t="str">
        <f aca="false">cleaned_data!$C$49</f>
        <v>West</v>
      </c>
      <c r="D49" s="5" t="str">
        <f aca="false">cleaned_data!$D$49</f>
        <v>Residential</v>
      </c>
      <c r="E49" s="27" t="n">
        <f aca="false">cleaned_data!$M$49</f>
        <v>595467.6</v>
      </c>
      <c r="F49" s="27" t="n">
        <f aca="false">multiple_regression!$O$18+multiple_regression!$O$19*cleaned_data!$F$49+multiple_regression!$O$20*cleaned_data!$E$49+multiple_regression!$O$21*cleaned_data!$I$49+multiple_regression!$O$22*cleaned_data!$H$49+multiple_regression!$O$23*dummy_variables!$D$49+multiple_regression!$O$24*dummy_variables!$E$49+multiple_regression!$O$25*dummy_variables!$F$49+multiple_regression!$O$26*dummy_variables!$G$49+multiple_regression!$O$27*dummy_variables!$H$49+multiple_regression!$O$28*dummy_variables!$I$49</f>
        <v>728950.125560315</v>
      </c>
      <c r="G49" s="27" t="n">
        <f aca="false">E49-F49</f>
        <v>-133482.525560315</v>
      </c>
    </row>
    <row r="50" customFormat="false" ht="15" hidden="false" customHeight="true" outlineLevel="0" collapsed="false">
      <c r="A50" s="5" t="str">
        <f aca="false">cleaned_data!$A$50</f>
        <v>STR-1012</v>
      </c>
      <c r="B50" s="26" t="str">
        <f aca="false">cleaned_data!$B$50</f>
        <v>2025-02-01</v>
      </c>
      <c r="C50" s="5" t="str">
        <f aca="false">cleaned_data!$C$50</f>
        <v>West</v>
      </c>
      <c r="D50" s="5" t="str">
        <f aca="false">cleaned_data!$D$50</f>
        <v>Residential</v>
      </c>
      <c r="E50" s="27" t="n">
        <f aca="false">cleaned_data!$M$50</f>
        <v>599603.4</v>
      </c>
      <c r="F50" s="27" t="n">
        <f aca="false">multiple_regression!$O$18+multiple_regression!$O$19*cleaned_data!$F$50+multiple_regression!$O$20*cleaned_data!$E$50+multiple_regression!$O$21*cleaned_data!$I$50+multiple_regression!$O$22*cleaned_data!$H$50+multiple_regression!$O$23*dummy_variables!$D$50+multiple_regression!$O$24*dummy_variables!$E$50+multiple_regression!$O$25*dummy_variables!$F$50+multiple_regression!$O$26*dummy_variables!$G$50+multiple_regression!$O$27*dummy_variables!$H$50+multiple_regression!$O$28*dummy_variables!$I$50</f>
        <v>643779.449140201</v>
      </c>
      <c r="G50" s="27" t="n">
        <f aca="false">E50-F50</f>
        <v>-44176.049140201</v>
      </c>
    </row>
    <row r="51" customFormat="false" ht="15" hidden="false" customHeight="true" outlineLevel="0" collapsed="false">
      <c r="A51" s="5" t="str">
        <f aca="false">cleaned_data!$A$51</f>
        <v>STR-1012</v>
      </c>
      <c r="B51" s="26" t="str">
        <f aca="false">cleaned_data!$B$51</f>
        <v>2025-03-01</v>
      </c>
      <c r="C51" s="5" t="str">
        <f aca="false">cleaned_data!$C$51</f>
        <v>West</v>
      </c>
      <c r="D51" s="5" t="str">
        <f aca="false">cleaned_data!$D$51</f>
        <v>Residential</v>
      </c>
      <c r="E51" s="27" t="n">
        <f aca="false">cleaned_data!$M$51</f>
        <v>614800.09</v>
      </c>
      <c r="F51" s="27" t="n">
        <f aca="false">multiple_regression!$O$18+multiple_regression!$O$19*cleaned_data!$F$51+multiple_regression!$O$20*cleaned_data!$E$51+multiple_regression!$O$21*cleaned_data!$I$51+multiple_regression!$O$22*cleaned_data!$H$51+multiple_regression!$O$23*dummy_variables!$D$51+multiple_regression!$O$24*dummy_variables!$E$51+multiple_regression!$O$25*dummy_variables!$F$51+multiple_regression!$O$26*dummy_variables!$G$51+multiple_regression!$O$27*dummy_variables!$H$51+multiple_regression!$O$28*dummy_variables!$I$51</f>
        <v>577424.986163404</v>
      </c>
      <c r="G51" s="27" t="n">
        <f aca="false">E51-F51</f>
        <v>37375.1038365965</v>
      </c>
    </row>
    <row r="52" customFormat="false" ht="15" hidden="false" customHeight="true" outlineLevel="0" collapsed="false">
      <c r="A52" s="5" t="str">
        <f aca="false">cleaned_data!$A$52</f>
        <v>STR-1012</v>
      </c>
      <c r="B52" s="26" t="str">
        <f aca="false">cleaned_data!$B$52</f>
        <v>2025-04-01</v>
      </c>
      <c r="C52" s="5" t="str">
        <f aca="false">cleaned_data!$C$52</f>
        <v>West</v>
      </c>
      <c r="D52" s="5" t="str">
        <f aca="false">cleaned_data!$D$52</f>
        <v>Residential</v>
      </c>
      <c r="E52" s="27" t="n">
        <f aca="false">cleaned_data!$M$52</f>
        <v>585365.73</v>
      </c>
      <c r="F52" s="27" t="n">
        <f aca="false">multiple_regression!$O$18+multiple_regression!$O$19*cleaned_data!$F$52+multiple_regression!$O$20*cleaned_data!$E$52+multiple_regression!$O$21*cleaned_data!$I$52+multiple_regression!$O$22*cleaned_data!$H$52+multiple_regression!$O$23*dummy_variables!$D$52+multiple_regression!$O$24*dummy_variables!$E$52+multiple_regression!$O$25*dummy_variables!$F$52+multiple_regression!$O$26*dummy_variables!$G$52+multiple_regression!$O$27*dummy_variables!$H$52+multiple_regression!$O$28*dummy_variables!$I$52</f>
        <v>578331.088412823</v>
      </c>
      <c r="G52" s="27" t="n">
        <f aca="false">E52-F52</f>
        <v>7034.64158717659</v>
      </c>
    </row>
    <row r="53" customFormat="false" ht="15" hidden="false" customHeight="true" outlineLevel="0" collapsed="false">
      <c r="A53" s="5" t="str">
        <f aca="false">cleaned_data!$A$53</f>
        <v>STR-1013</v>
      </c>
      <c r="B53" s="26" t="str">
        <f aca="false">cleaned_data!$B$53</f>
        <v>2025-01-01</v>
      </c>
      <c r="C53" s="5" t="str">
        <f aca="false">cleaned_data!$C$53</f>
        <v>North</v>
      </c>
      <c r="D53" s="5" t="str">
        <f aca="false">cleaned_data!$D$53</f>
        <v>Mall</v>
      </c>
      <c r="E53" s="27" t="n">
        <f aca="false">cleaned_data!$M$53</f>
        <v>622811.74</v>
      </c>
      <c r="F53" s="27" t="n">
        <f aca="false">multiple_regression!$O$18+multiple_regression!$O$19*cleaned_data!$F$53+multiple_regression!$O$20*cleaned_data!$E$53+multiple_regression!$O$21*cleaned_data!$I$53+multiple_regression!$O$22*cleaned_data!$H$53+multiple_regression!$O$23*dummy_variables!$D$53+multiple_regression!$O$24*dummy_variables!$E$53+multiple_regression!$O$25*dummy_variables!$F$53+multiple_regression!$O$26*dummy_variables!$G$53+multiple_regression!$O$27*dummy_variables!$H$53+multiple_regression!$O$28*dummy_variables!$I$53</f>
        <v>648412.951833919</v>
      </c>
      <c r="G53" s="27" t="n">
        <f aca="false">E53-F53</f>
        <v>-25601.2118339193</v>
      </c>
    </row>
    <row r="54" customFormat="false" ht="15" hidden="false" customHeight="true" outlineLevel="0" collapsed="false">
      <c r="A54" s="5" t="str">
        <f aca="false">cleaned_data!$A$54</f>
        <v>STR-1013</v>
      </c>
      <c r="B54" s="26" t="str">
        <f aca="false">cleaned_data!$B$54</f>
        <v>2025-02-01</v>
      </c>
      <c r="C54" s="5" t="str">
        <f aca="false">cleaned_data!$C$54</f>
        <v>North</v>
      </c>
      <c r="D54" s="5" t="str">
        <f aca="false">cleaned_data!$D$54</f>
        <v>Mall</v>
      </c>
      <c r="E54" s="27" t="n">
        <f aca="false">cleaned_data!$M$54</f>
        <v>603297.57</v>
      </c>
      <c r="F54" s="27" t="n">
        <f aca="false">multiple_regression!$O$18+multiple_regression!$O$19*cleaned_data!$F$54+multiple_regression!$O$20*cleaned_data!$E$54+multiple_regression!$O$21*cleaned_data!$I$54+multiple_regression!$O$22*cleaned_data!$H$54+multiple_regression!$O$23*dummy_variables!$D$54+multiple_regression!$O$24*dummy_variables!$E$54+multiple_regression!$O$25*dummy_variables!$F$54+multiple_regression!$O$26*dummy_variables!$G$54+multiple_regression!$O$27*dummy_variables!$H$54+multiple_regression!$O$28*dummy_variables!$I$54</f>
        <v>594536.126224429</v>
      </c>
      <c r="G54" s="27" t="n">
        <f aca="false">E54-F54</f>
        <v>8761.44377557072</v>
      </c>
    </row>
    <row r="55" customFormat="false" ht="15" hidden="false" customHeight="true" outlineLevel="0" collapsed="false">
      <c r="A55" s="5" t="str">
        <f aca="false">cleaned_data!$A$55</f>
        <v>STR-1013</v>
      </c>
      <c r="B55" s="26" t="str">
        <f aca="false">cleaned_data!$B$55</f>
        <v>2025-03-01</v>
      </c>
      <c r="C55" s="5" t="str">
        <f aca="false">cleaned_data!$C$55</f>
        <v>North</v>
      </c>
      <c r="D55" s="5" t="str">
        <f aca="false">cleaned_data!$D$55</f>
        <v>Mall</v>
      </c>
      <c r="E55" s="27" t="n">
        <f aca="false">cleaned_data!$M$55</f>
        <v>625672.86</v>
      </c>
      <c r="F55" s="27" t="n">
        <f aca="false">multiple_regression!$O$18+multiple_regression!$O$19*cleaned_data!$F$55+multiple_regression!$O$20*cleaned_data!$E$55+multiple_regression!$O$21*cleaned_data!$I$55+multiple_regression!$O$22*cleaned_data!$H$55+multiple_regression!$O$23*dummy_variables!$D$55+multiple_regression!$O$24*dummy_variables!$E$55+multiple_regression!$O$25*dummy_variables!$F$55+multiple_regression!$O$26*dummy_variables!$G$55+multiple_regression!$O$27*dummy_variables!$H$55+multiple_regression!$O$28*dummy_variables!$I$55</f>
        <v>603725.955307064</v>
      </c>
      <c r="G55" s="27" t="n">
        <f aca="false">E55-F55</f>
        <v>21946.9046929359</v>
      </c>
    </row>
    <row r="56" customFormat="false" ht="15" hidden="false" customHeight="true" outlineLevel="0" collapsed="false">
      <c r="A56" s="5" t="str">
        <f aca="false">cleaned_data!$A$56</f>
        <v>STR-1013</v>
      </c>
      <c r="B56" s="26" t="str">
        <f aca="false">cleaned_data!$B$56</f>
        <v>2025-04-01</v>
      </c>
      <c r="C56" s="5" t="str">
        <f aca="false">cleaned_data!$C$56</f>
        <v>North</v>
      </c>
      <c r="D56" s="5" t="str">
        <f aca="false">cleaned_data!$D$56</f>
        <v>Mall</v>
      </c>
      <c r="E56" s="27" t="n">
        <f aca="false">cleaned_data!$M$56</f>
        <v>773815.14</v>
      </c>
      <c r="F56" s="27" t="n">
        <f aca="false">multiple_regression!$O$18+multiple_regression!$O$19*cleaned_data!$F$56+multiple_regression!$O$20*cleaned_data!$E$56+multiple_regression!$O$21*cleaned_data!$I$56+multiple_regression!$O$22*cleaned_data!$H$56+multiple_regression!$O$23*dummy_variables!$D$56+multiple_regression!$O$24*dummy_variables!$E$56+multiple_regression!$O$25*dummy_variables!$F$56+multiple_regression!$O$26*dummy_variables!$G$56+multiple_regression!$O$27*dummy_variables!$H$56+multiple_regression!$O$28*dummy_variables!$I$56</f>
        <v>741966.662654885</v>
      </c>
      <c r="G56" s="27" t="n">
        <f aca="false">E56-F56</f>
        <v>31848.4773451146</v>
      </c>
    </row>
    <row r="57" customFormat="false" ht="15" hidden="false" customHeight="true" outlineLevel="0" collapsed="false">
      <c r="A57" s="5" t="str">
        <f aca="false">cleaned_data!$A$57</f>
        <v>STR-1014</v>
      </c>
      <c r="B57" s="26" t="str">
        <f aca="false">cleaned_data!$B$57</f>
        <v>2025-01-01</v>
      </c>
      <c r="C57" s="5" t="str">
        <f aca="false">cleaned_data!$C$57</f>
        <v>West</v>
      </c>
      <c r="D57" s="5" t="str">
        <f aca="false">cleaned_data!$D$57</f>
        <v>High Street</v>
      </c>
      <c r="E57" s="27" t="n">
        <f aca="false">cleaned_data!$M$57</f>
        <v>463534.25</v>
      </c>
      <c r="F57" s="27" t="n">
        <f aca="false">multiple_regression!$O$18+multiple_regression!$O$19*cleaned_data!$F$57+multiple_regression!$O$20*cleaned_data!$E$57+multiple_regression!$O$21*cleaned_data!$I$57+multiple_regression!$O$22*cleaned_data!$H$57+multiple_regression!$O$23*dummy_variables!$D$57+multiple_regression!$O$24*dummy_variables!$E$57+multiple_regression!$O$25*dummy_variables!$F$57+multiple_regression!$O$26*dummy_variables!$G$57+multiple_regression!$O$27*dummy_variables!$H$57+multiple_regression!$O$28*dummy_variables!$I$57</f>
        <v>557776.872321658</v>
      </c>
      <c r="G57" s="27" t="n">
        <f aca="false">E57-F57</f>
        <v>-94242.6223216577</v>
      </c>
    </row>
    <row r="58" customFormat="false" ht="15" hidden="false" customHeight="true" outlineLevel="0" collapsed="false">
      <c r="A58" s="5" t="str">
        <f aca="false">cleaned_data!$A$58</f>
        <v>STR-1014</v>
      </c>
      <c r="B58" s="26" t="str">
        <f aca="false">cleaned_data!$B$58</f>
        <v>2025-02-01</v>
      </c>
      <c r="C58" s="5" t="str">
        <f aca="false">cleaned_data!$C$58</f>
        <v>West</v>
      </c>
      <c r="D58" s="5" t="str">
        <f aca="false">cleaned_data!$D$58</f>
        <v>High Street</v>
      </c>
      <c r="E58" s="27" t="n">
        <f aca="false">cleaned_data!$M$58</f>
        <v>746677.75</v>
      </c>
      <c r="F58" s="27" t="n">
        <f aca="false">multiple_regression!$O$18+multiple_regression!$O$19*cleaned_data!$F$58+multiple_regression!$O$20*cleaned_data!$E$58+multiple_regression!$O$21*cleaned_data!$I$58+multiple_regression!$O$22*cleaned_data!$H$58+multiple_regression!$O$23*dummy_variables!$D$58+multiple_regression!$O$24*dummy_variables!$E$58+multiple_regression!$O$25*dummy_variables!$F$58+multiple_regression!$O$26*dummy_variables!$G$58+multiple_regression!$O$27*dummy_variables!$H$58+multiple_regression!$O$28*dummy_variables!$I$58</f>
        <v>715124.375225587</v>
      </c>
      <c r="G58" s="27" t="n">
        <f aca="false">E58-F58</f>
        <v>31553.374774413</v>
      </c>
    </row>
    <row r="59" customFormat="false" ht="15" hidden="false" customHeight="true" outlineLevel="0" collapsed="false">
      <c r="A59" s="5" t="str">
        <f aca="false">cleaned_data!$A$59</f>
        <v>STR-1014</v>
      </c>
      <c r="B59" s="26" t="str">
        <f aca="false">cleaned_data!$B$59</f>
        <v>2025-03-01</v>
      </c>
      <c r="C59" s="5" t="str">
        <f aca="false">cleaned_data!$C$59</f>
        <v>West</v>
      </c>
      <c r="D59" s="5" t="str">
        <f aca="false">cleaned_data!$D$59</f>
        <v>High Street</v>
      </c>
      <c r="E59" s="27" t="n">
        <f aca="false">cleaned_data!$M$59</f>
        <v>720852.5</v>
      </c>
      <c r="F59" s="27" t="n">
        <f aca="false">multiple_regression!$O$18+multiple_regression!$O$19*cleaned_data!$F$59+multiple_regression!$O$20*cleaned_data!$E$59+multiple_regression!$O$21*cleaned_data!$I$59+multiple_regression!$O$22*cleaned_data!$H$59+multiple_regression!$O$23*dummy_variables!$D$59+multiple_regression!$O$24*dummy_variables!$E$59+multiple_regression!$O$25*dummy_variables!$F$59+multiple_regression!$O$26*dummy_variables!$G$59+multiple_regression!$O$27*dummy_variables!$H$59+multiple_regression!$O$28*dummy_variables!$I$59</f>
        <v>680404.978689892</v>
      </c>
      <c r="G59" s="27" t="n">
        <f aca="false">E59-F59</f>
        <v>40447.5213101078</v>
      </c>
    </row>
    <row r="60" customFormat="false" ht="15" hidden="false" customHeight="true" outlineLevel="0" collapsed="false">
      <c r="A60" s="5" t="str">
        <f aca="false">cleaned_data!$A$60</f>
        <v>STR-1014</v>
      </c>
      <c r="B60" s="26" t="str">
        <f aca="false">cleaned_data!$B$60</f>
        <v>2025-04-01</v>
      </c>
      <c r="C60" s="5" t="str">
        <f aca="false">cleaned_data!$C$60</f>
        <v>West</v>
      </c>
      <c r="D60" s="5" t="str">
        <f aca="false">cleaned_data!$D$60</f>
        <v>High Street</v>
      </c>
      <c r="E60" s="27" t="n">
        <f aca="false">cleaned_data!$M$60</f>
        <v>487464.91</v>
      </c>
      <c r="F60" s="27" t="n">
        <f aca="false">multiple_regression!$O$18+multiple_regression!$O$19*cleaned_data!$F$60+multiple_regression!$O$20*cleaned_data!$E$60+multiple_regression!$O$21*cleaned_data!$I$60+multiple_regression!$O$22*cleaned_data!$H$60+multiple_regression!$O$23*dummy_variables!$D$60+multiple_regression!$O$24*dummy_variables!$E$60+multiple_regression!$O$25*dummy_variables!$F$60+multiple_regression!$O$26*dummy_variables!$G$60+multiple_regression!$O$27*dummy_variables!$H$60+multiple_regression!$O$28*dummy_variables!$I$60</f>
        <v>542379.317329339</v>
      </c>
      <c r="G60" s="27" t="n">
        <f aca="false">E60-F60</f>
        <v>-54914.4073293392</v>
      </c>
    </row>
    <row r="61" customFormat="false" ht="15" hidden="false" customHeight="true" outlineLevel="0" collapsed="false">
      <c r="A61" s="5" t="str">
        <f aca="false">cleaned_data!$A$61</f>
        <v>STR-1015</v>
      </c>
      <c r="B61" s="26" t="str">
        <f aca="false">cleaned_data!$B$61</f>
        <v>2025-01-01</v>
      </c>
      <c r="C61" s="5" t="str">
        <f aca="false">cleaned_data!$C$61</f>
        <v>East</v>
      </c>
      <c r="D61" s="5" t="str">
        <f aca="false">cleaned_data!$D$61</f>
        <v>Airport</v>
      </c>
      <c r="E61" s="27" t="n">
        <f aca="false">cleaned_data!$M$61</f>
        <v>518049.26</v>
      </c>
      <c r="F61" s="27" t="n">
        <f aca="false">multiple_regression!$O$18+multiple_regression!$O$19*cleaned_data!$F$61+multiple_regression!$O$20*cleaned_data!$E$61+multiple_regression!$O$21*cleaned_data!$I$61+multiple_regression!$O$22*cleaned_data!$H$61+multiple_regression!$O$23*dummy_variables!$D$61+multiple_regression!$O$24*dummy_variables!$E$61+multiple_regression!$O$25*dummy_variables!$F$61+multiple_regression!$O$26*dummy_variables!$G$61+multiple_regression!$O$27*dummy_variables!$H$61+multiple_regression!$O$28*dummy_variables!$I$61</f>
        <v>535854.238727</v>
      </c>
      <c r="G61" s="27" t="n">
        <f aca="false">E61-F61</f>
        <v>-17804.9787270002</v>
      </c>
    </row>
    <row r="62" customFormat="false" ht="15" hidden="false" customHeight="true" outlineLevel="0" collapsed="false">
      <c r="A62" s="5" t="str">
        <f aca="false">cleaned_data!$A$62</f>
        <v>STR-1015</v>
      </c>
      <c r="B62" s="26" t="str">
        <f aca="false">cleaned_data!$B$62</f>
        <v>2025-02-01</v>
      </c>
      <c r="C62" s="5" t="str">
        <f aca="false">cleaned_data!$C$62</f>
        <v>East</v>
      </c>
      <c r="D62" s="5" t="str">
        <f aca="false">cleaned_data!$D$62</f>
        <v>Airport</v>
      </c>
      <c r="E62" s="27" t="n">
        <f aca="false">cleaned_data!$M$62</f>
        <v>500298.48</v>
      </c>
      <c r="F62" s="27" t="n">
        <f aca="false">multiple_regression!$O$18+multiple_regression!$O$19*cleaned_data!$F$62+multiple_regression!$O$20*cleaned_data!$E$62+multiple_regression!$O$21*cleaned_data!$I$62+multiple_regression!$O$22*cleaned_data!$H$62+multiple_regression!$O$23*dummy_variables!$D$62+multiple_regression!$O$24*dummy_variables!$E$62+multiple_regression!$O$25*dummy_variables!$F$62+multiple_regression!$O$26*dummy_variables!$G$62+multiple_regression!$O$27*dummy_variables!$H$62+multiple_regression!$O$28*dummy_variables!$I$62</f>
        <v>530333.674562864</v>
      </c>
      <c r="G62" s="27" t="n">
        <f aca="false">E62-F62</f>
        <v>-30035.1945628638</v>
      </c>
    </row>
    <row r="63" customFormat="false" ht="15" hidden="false" customHeight="true" outlineLevel="0" collapsed="false">
      <c r="A63" s="5" t="str">
        <f aca="false">cleaned_data!$A$63</f>
        <v>STR-1015</v>
      </c>
      <c r="B63" s="26" t="str">
        <f aca="false">cleaned_data!$B$63</f>
        <v>2025-03-01</v>
      </c>
      <c r="C63" s="5" t="str">
        <f aca="false">cleaned_data!$C$63</f>
        <v>East</v>
      </c>
      <c r="D63" s="5" t="str">
        <f aca="false">cleaned_data!$D$63</f>
        <v>Airport</v>
      </c>
      <c r="E63" s="27" t="n">
        <f aca="false">cleaned_data!$M$63</f>
        <v>617291.15</v>
      </c>
      <c r="F63" s="27" t="n">
        <f aca="false">multiple_regression!$O$18+multiple_regression!$O$19*cleaned_data!$F$63+multiple_regression!$O$20*cleaned_data!$E$63+multiple_regression!$O$21*cleaned_data!$I$63+multiple_regression!$O$22*cleaned_data!$H$63+multiple_regression!$O$23*dummy_variables!$D$63+multiple_regression!$O$24*dummy_variables!$E$63+multiple_regression!$O$25*dummy_variables!$F$63+multiple_regression!$O$26*dummy_variables!$G$63+multiple_regression!$O$27*dummy_variables!$H$63+multiple_regression!$O$28*dummy_variables!$I$63</f>
        <v>674161.616743918</v>
      </c>
      <c r="G63" s="27" t="n">
        <f aca="false">E63-F63</f>
        <v>-56870.466743918</v>
      </c>
    </row>
    <row r="64" customFormat="false" ht="15" hidden="false" customHeight="true" outlineLevel="0" collapsed="false">
      <c r="A64" s="5" t="str">
        <f aca="false">cleaned_data!$A$64</f>
        <v>STR-1015</v>
      </c>
      <c r="B64" s="26" t="str">
        <f aca="false">cleaned_data!$B$64</f>
        <v>2025-04-01</v>
      </c>
      <c r="C64" s="5" t="str">
        <f aca="false">cleaned_data!$C$64</f>
        <v>East</v>
      </c>
      <c r="D64" s="5" t="str">
        <f aca="false">cleaned_data!$D$64</f>
        <v>Airport</v>
      </c>
      <c r="E64" s="27" t="n">
        <f aca="false">cleaned_data!$M$64</f>
        <v>553756.43</v>
      </c>
      <c r="F64" s="27" t="n">
        <f aca="false">multiple_regression!$O$18+multiple_regression!$O$19*cleaned_data!$F$64+multiple_regression!$O$20*cleaned_data!$E$64+multiple_regression!$O$21*cleaned_data!$I$64+multiple_regression!$O$22*cleaned_data!$H$64+multiple_regression!$O$23*dummy_variables!$D$64+multiple_regression!$O$24*dummy_variables!$E$64+multiple_regression!$O$25*dummy_variables!$F$64+multiple_regression!$O$26*dummy_variables!$G$64+multiple_regression!$O$27*dummy_variables!$H$64+multiple_regression!$O$28*dummy_variables!$I$64</f>
        <v>619862.358047382</v>
      </c>
      <c r="G64" s="27" t="n">
        <f aca="false">E64-F64</f>
        <v>-66105.9280473823</v>
      </c>
    </row>
    <row r="65" customFormat="false" ht="15" hidden="false" customHeight="true" outlineLevel="0" collapsed="false">
      <c r="A65" s="5" t="str">
        <f aca="false">cleaned_data!$A$65</f>
        <v>STR-1016</v>
      </c>
      <c r="B65" s="26" t="str">
        <f aca="false">cleaned_data!$B$65</f>
        <v>2025-01-01</v>
      </c>
      <c r="C65" s="5" t="str">
        <f aca="false">cleaned_data!$C$65</f>
        <v>South</v>
      </c>
      <c r="D65" s="5" t="str">
        <f aca="false">cleaned_data!$D$65</f>
        <v>High Street</v>
      </c>
      <c r="E65" s="27" t="n">
        <f aca="false">cleaned_data!$M$65</f>
        <v>749559.71</v>
      </c>
      <c r="F65" s="27" t="n">
        <f aca="false">multiple_regression!$O$18+multiple_regression!$O$19*cleaned_data!$F$65+multiple_regression!$O$20*cleaned_data!$E$65+multiple_regression!$O$21*cleaned_data!$I$65+multiple_regression!$O$22*cleaned_data!$H$65+multiple_regression!$O$23*dummy_variables!$D$65+multiple_regression!$O$24*dummy_variables!$E$65+multiple_regression!$O$25*dummy_variables!$F$65+multiple_regression!$O$26*dummy_variables!$G$65+multiple_regression!$O$27*dummy_variables!$H$65+multiple_regression!$O$28*dummy_variables!$I$65</f>
        <v>697385.973601373</v>
      </c>
      <c r="G65" s="27" t="n">
        <f aca="false">E65-F65</f>
        <v>52173.7363986266</v>
      </c>
    </row>
    <row r="66" customFormat="false" ht="15" hidden="false" customHeight="true" outlineLevel="0" collapsed="false">
      <c r="A66" s="5" t="str">
        <f aca="false">cleaned_data!$A$66</f>
        <v>STR-1016</v>
      </c>
      <c r="B66" s="26" t="str">
        <f aca="false">cleaned_data!$B$66</f>
        <v>2025-02-01</v>
      </c>
      <c r="C66" s="5" t="str">
        <f aca="false">cleaned_data!$C$66</f>
        <v>South</v>
      </c>
      <c r="D66" s="5" t="str">
        <f aca="false">cleaned_data!$D$66</f>
        <v>High Street</v>
      </c>
      <c r="E66" s="27" t="n">
        <f aca="false">cleaned_data!$M$66</f>
        <v>615966.48</v>
      </c>
      <c r="F66" s="27" t="n">
        <f aca="false">multiple_regression!$O$18+multiple_regression!$O$19*cleaned_data!$F$66+multiple_regression!$O$20*cleaned_data!$E$66+multiple_regression!$O$21*cleaned_data!$I$66+multiple_regression!$O$22*cleaned_data!$H$66+multiple_regression!$O$23*dummy_variables!$D$66+multiple_regression!$O$24*dummy_variables!$E$66+multiple_regression!$O$25*dummy_variables!$F$66+multiple_regression!$O$26*dummy_variables!$G$66+multiple_regression!$O$27*dummy_variables!$H$66+multiple_regression!$O$28*dummy_variables!$I$66</f>
        <v>575011.732234853</v>
      </c>
      <c r="G66" s="27" t="n">
        <f aca="false">E66-F66</f>
        <v>40954.7477651472</v>
      </c>
    </row>
    <row r="67" customFormat="false" ht="15" hidden="false" customHeight="true" outlineLevel="0" collapsed="false">
      <c r="A67" s="5" t="str">
        <f aca="false">cleaned_data!$A$67</f>
        <v>STR-1016</v>
      </c>
      <c r="B67" s="26" t="str">
        <f aca="false">cleaned_data!$B$67</f>
        <v>2025-03-01</v>
      </c>
      <c r="C67" s="5" t="str">
        <f aca="false">cleaned_data!$C$67</f>
        <v>South</v>
      </c>
      <c r="D67" s="5" t="str">
        <f aca="false">cleaned_data!$D$67</f>
        <v>High Street</v>
      </c>
      <c r="E67" s="27" t="n">
        <f aca="false">cleaned_data!$M$67</f>
        <v>572011.2</v>
      </c>
      <c r="F67" s="27" t="n">
        <f aca="false">multiple_regression!$O$18+multiple_regression!$O$19*cleaned_data!$F$67+multiple_regression!$O$20*cleaned_data!$E$67+multiple_regression!$O$21*cleaned_data!$I$67+multiple_regression!$O$22*cleaned_data!$H$67+multiple_regression!$O$23*dummy_variables!$D$67+multiple_regression!$O$24*dummy_variables!$E$67+multiple_regression!$O$25*dummy_variables!$F$67+multiple_regression!$O$26*dummy_variables!$G$67+multiple_regression!$O$27*dummy_variables!$H$67+multiple_regression!$O$28*dummy_variables!$I$67</f>
        <v>586180.524959544</v>
      </c>
      <c r="G67" s="27" t="n">
        <f aca="false">E67-F67</f>
        <v>-14169.3249595439</v>
      </c>
    </row>
    <row r="68" customFormat="false" ht="15" hidden="false" customHeight="true" outlineLevel="0" collapsed="false">
      <c r="A68" s="5" t="str">
        <f aca="false">cleaned_data!$A$68</f>
        <v>STR-1016</v>
      </c>
      <c r="B68" s="26" t="str">
        <f aca="false">cleaned_data!$B$68</f>
        <v>2025-04-01</v>
      </c>
      <c r="C68" s="5" t="str">
        <f aca="false">cleaned_data!$C$68</f>
        <v>South</v>
      </c>
      <c r="D68" s="5" t="str">
        <f aca="false">cleaned_data!$D$68</f>
        <v>High Street</v>
      </c>
      <c r="E68" s="27" t="n">
        <f aca="false">cleaned_data!$M$68</f>
        <v>761860.19</v>
      </c>
      <c r="F68" s="27" t="n">
        <f aca="false">multiple_regression!$O$18+multiple_regression!$O$19*cleaned_data!$F$68+multiple_regression!$O$20*cleaned_data!$E$68+multiple_regression!$O$21*cleaned_data!$I$68+multiple_regression!$O$22*cleaned_data!$H$68+multiple_regression!$O$23*dummy_variables!$D$68+multiple_regression!$O$24*dummy_variables!$E$68+multiple_regression!$O$25*dummy_variables!$F$68+multiple_regression!$O$26*dummy_variables!$G$68+multiple_regression!$O$27*dummy_variables!$H$68+multiple_regression!$O$28*dummy_variables!$I$68</f>
        <v>724597.454844742</v>
      </c>
      <c r="G68" s="27" t="n">
        <f aca="false">E68-F68</f>
        <v>37262.7351552576</v>
      </c>
    </row>
    <row r="69" customFormat="false" ht="15" hidden="false" customHeight="true" outlineLevel="0" collapsed="false">
      <c r="A69" s="5" t="str">
        <f aca="false">cleaned_data!$A$69</f>
        <v>STR-1017</v>
      </c>
      <c r="B69" s="26" t="str">
        <f aca="false">cleaned_data!$B$69</f>
        <v>2025-01-01</v>
      </c>
      <c r="C69" s="5" t="str">
        <f aca="false">cleaned_data!$C$69</f>
        <v>West</v>
      </c>
      <c r="D69" s="5" t="str">
        <f aca="false">cleaned_data!$D$69</f>
        <v>High Street</v>
      </c>
      <c r="E69" s="27" t="n">
        <f aca="false">cleaned_data!$M$69</f>
        <v>784502.68</v>
      </c>
      <c r="F69" s="27" t="n">
        <f aca="false">multiple_regression!$O$18+multiple_regression!$O$19*cleaned_data!$F$69+multiple_regression!$O$20*cleaned_data!$E$69+multiple_regression!$O$21*cleaned_data!$I$69+multiple_regression!$O$22*cleaned_data!$H$69+multiple_regression!$O$23*dummy_variables!$D$69+multiple_regression!$O$24*dummy_variables!$E$69+multiple_regression!$O$25*dummy_variables!$F$69+multiple_regression!$O$26*dummy_variables!$G$69+multiple_regression!$O$27*dummy_variables!$H$69+multiple_regression!$O$28*dummy_variables!$I$69</f>
        <v>819236.720416169</v>
      </c>
      <c r="G69" s="27" t="n">
        <f aca="false">E69-F69</f>
        <v>-34734.040416169</v>
      </c>
    </row>
    <row r="70" customFormat="false" ht="15" hidden="false" customHeight="true" outlineLevel="0" collapsed="false">
      <c r="A70" s="5" t="str">
        <f aca="false">cleaned_data!$A$70</f>
        <v>STR-1017</v>
      </c>
      <c r="B70" s="26" t="str">
        <f aca="false">cleaned_data!$B$70</f>
        <v>2025-02-01</v>
      </c>
      <c r="C70" s="5" t="str">
        <f aca="false">cleaned_data!$C$70</f>
        <v>West</v>
      </c>
      <c r="D70" s="5" t="str">
        <f aca="false">cleaned_data!$D$70</f>
        <v>High Street</v>
      </c>
      <c r="E70" s="27" t="n">
        <f aca="false">cleaned_data!$M$70</f>
        <v>717141.55</v>
      </c>
      <c r="F70" s="27" t="n">
        <f aca="false">multiple_regression!$O$18+multiple_regression!$O$19*cleaned_data!$F$70+multiple_regression!$O$20*cleaned_data!$E$70+multiple_regression!$O$21*cleaned_data!$I$70+multiple_regression!$O$22*cleaned_data!$H$70+multiple_regression!$O$23*dummy_variables!$D$70+multiple_regression!$O$24*dummy_variables!$E$70+multiple_regression!$O$25*dummy_variables!$F$70+multiple_regression!$O$26*dummy_variables!$G$70+multiple_regression!$O$27*dummy_variables!$H$70+multiple_regression!$O$28*dummy_variables!$I$70</f>
        <v>742102.762562643</v>
      </c>
      <c r="G70" s="27" t="n">
        <f aca="false">E70-F70</f>
        <v>-24961.2125626424</v>
      </c>
    </row>
    <row r="71" customFormat="false" ht="15" hidden="false" customHeight="true" outlineLevel="0" collapsed="false">
      <c r="A71" s="5" t="str">
        <f aca="false">cleaned_data!$A$71</f>
        <v>STR-1017</v>
      </c>
      <c r="B71" s="26" t="str">
        <f aca="false">cleaned_data!$B$71</f>
        <v>2025-03-01</v>
      </c>
      <c r="C71" s="5" t="str">
        <f aca="false">cleaned_data!$C$71</f>
        <v>West</v>
      </c>
      <c r="D71" s="5" t="str">
        <f aca="false">cleaned_data!$D$71</f>
        <v>High Street</v>
      </c>
      <c r="E71" s="27" t="n">
        <f aca="false">cleaned_data!$M$71</f>
        <v>685379.08</v>
      </c>
      <c r="F71" s="27" t="n">
        <f aca="false">multiple_regression!$O$18+multiple_regression!$O$19*cleaned_data!$F$71+multiple_regression!$O$20*cleaned_data!$E$71+multiple_regression!$O$21*cleaned_data!$I$71+multiple_regression!$O$22*cleaned_data!$H$71+multiple_regression!$O$23*dummy_variables!$D$71+multiple_regression!$O$24*dummy_variables!$E$71+multiple_regression!$O$25*dummy_variables!$F$71+multiple_regression!$O$26*dummy_variables!$G$71+multiple_regression!$O$27*dummy_variables!$H$71+multiple_regression!$O$28*dummy_variables!$I$71</f>
        <v>846559.274647993</v>
      </c>
      <c r="G71" s="27" t="n">
        <f aca="false">E71-F71</f>
        <v>-161180.194647993</v>
      </c>
    </row>
    <row r="72" customFormat="false" ht="15" hidden="false" customHeight="true" outlineLevel="0" collapsed="false">
      <c r="A72" s="5" t="str">
        <f aca="false">cleaned_data!$A$72</f>
        <v>STR-1017</v>
      </c>
      <c r="B72" s="26" t="str">
        <f aca="false">cleaned_data!$B$72</f>
        <v>2025-04-01</v>
      </c>
      <c r="C72" s="5" t="str">
        <f aca="false">cleaned_data!$C$72</f>
        <v>West</v>
      </c>
      <c r="D72" s="5" t="str">
        <f aca="false">cleaned_data!$D$72</f>
        <v>High Street</v>
      </c>
      <c r="E72" s="27" t="n">
        <f aca="false">cleaned_data!$M$72</f>
        <v>740496.65</v>
      </c>
      <c r="F72" s="27" t="n">
        <f aca="false">multiple_regression!$O$18+multiple_regression!$O$19*cleaned_data!$F$72+multiple_regression!$O$20*cleaned_data!$E$72+multiple_regression!$O$21*cleaned_data!$I$72+multiple_regression!$O$22*cleaned_data!$H$72+multiple_regression!$O$23*dummy_variables!$D$72+multiple_regression!$O$24*dummy_variables!$E$72+multiple_regression!$O$25*dummy_variables!$F$72+multiple_regression!$O$26*dummy_variables!$G$72+multiple_regression!$O$27*dummy_variables!$H$72+multiple_regression!$O$28*dummy_variables!$I$72</f>
        <v>734354.937258496</v>
      </c>
      <c r="G72" s="27" t="n">
        <f aca="false">E72-F72</f>
        <v>6141.71274150407</v>
      </c>
    </row>
    <row r="73" customFormat="false" ht="15" hidden="false" customHeight="true" outlineLevel="0" collapsed="false">
      <c r="A73" s="5" t="str">
        <f aca="false">cleaned_data!$A$73</f>
        <v>STR-1018</v>
      </c>
      <c r="B73" s="26" t="str">
        <f aca="false">cleaned_data!$B$73</f>
        <v>2025-01-01</v>
      </c>
      <c r="C73" s="5" t="str">
        <f aca="false">cleaned_data!$C$73</f>
        <v>East</v>
      </c>
      <c r="D73" s="5" t="str">
        <f aca="false">cleaned_data!$D$73</f>
        <v>High Street</v>
      </c>
      <c r="E73" s="27" t="n">
        <f aca="false">cleaned_data!$M$73</f>
        <v>661927.14</v>
      </c>
      <c r="F73" s="27" t="n">
        <f aca="false">multiple_regression!$O$18+multiple_regression!$O$19*cleaned_data!$F$73+multiple_regression!$O$20*cleaned_data!$E$73+multiple_regression!$O$21*cleaned_data!$I$73+multiple_regression!$O$22*cleaned_data!$H$73+multiple_regression!$O$23*dummy_variables!$D$73+multiple_regression!$O$24*dummy_variables!$E$73+multiple_regression!$O$25*dummy_variables!$F$73+multiple_regression!$O$26*dummy_variables!$G$73+multiple_regression!$O$27*dummy_variables!$H$73+multiple_regression!$O$28*dummy_variables!$I$73</f>
        <v>588423.557262582</v>
      </c>
      <c r="G73" s="27" t="n">
        <f aca="false">E73-F73</f>
        <v>73503.5827374185</v>
      </c>
    </row>
    <row r="74" customFormat="false" ht="15" hidden="false" customHeight="true" outlineLevel="0" collapsed="false">
      <c r="A74" s="5" t="str">
        <f aca="false">cleaned_data!$A$74</f>
        <v>STR-1018</v>
      </c>
      <c r="B74" s="26" t="str">
        <f aca="false">cleaned_data!$B$74</f>
        <v>2025-02-01</v>
      </c>
      <c r="C74" s="5" t="str">
        <f aca="false">cleaned_data!$C$74</f>
        <v>East</v>
      </c>
      <c r="D74" s="5" t="str">
        <f aca="false">cleaned_data!$D$74</f>
        <v>High Street</v>
      </c>
      <c r="E74" s="27" t="n">
        <f aca="false">cleaned_data!$M$74</f>
        <v>479050.5</v>
      </c>
      <c r="F74" s="27" t="n">
        <f aca="false">multiple_regression!$O$18+multiple_regression!$O$19*cleaned_data!$F$74+multiple_regression!$O$20*cleaned_data!$E$74+multiple_regression!$O$21*cleaned_data!$I$74+multiple_regression!$O$22*cleaned_data!$H$74+multiple_regression!$O$23*dummy_variables!$D$74+multiple_regression!$O$24*dummy_variables!$E$74+multiple_regression!$O$25*dummy_variables!$F$74+multiple_regression!$O$26*dummy_variables!$G$74+multiple_regression!$O$27*dummy_variables!$H$74+multiple_regression!$O$28*dummy_variables!$I$74</f>
        <v>505112.608118522</v>
      </c>
      <c r="G74" s="27" t="n">
        <f aca="false">E74-F74</f>
        <v>-26062.1081185221</v>
      </c>
    </row>
    <row r="75" customFormat="false" ht="15" hidden="false" customHeight="true" outlineLevel="0" collapsed="false">
      <c r="A75" s="5" t="str">
        <f aca="false">cleaned_data!$A$75</f>
        <v>STR-1018</v>
      </c>
      <c r="B75" s="26" t="str">
        <f aca="false">cleaned_data!$B$75</f>
        <v>2025-03-01</v>
      </c>
      <c r="C75" s="5" t="str">
        <f aca="false">cleaned_data!$C$75</f>
        <v>East</v>
      </c>
      <c r="D75" s="5" t="str">
        <f aca="false">cleaned_data!$D$75</f>
        <v>High Street</v>
      </c>
      <c r="E75" s="27" t="n">
        <f aca="false">cleaned_data!$M$75</f>
        <v>605023.87</v>
      </c>
      <c r="F75" s="27" t="n">
        <f aca="false">multiple_regression!$O$18+multiple_regression!$O$19*cleaned_data!$F$75+multiple_regression!$O$20*cleaned_data!$E$75+multiple_regression!$O$21*cleaned_data!$I$75+multiple_regression!$O$22*cleaned_data!$H$75+multiple_regression!$O$23*dummy_variables!$D$75+multiple_regression!$O$24*dummy_variables!$E$75+multiple_regression!$O$25*dummy_variables!$F$75+multiple_regression!$O$26*dummy_variables!$G$75+multiple_regression!$O$27*dummy_variables!$H$75+multiple_regression!$O$28*dummy_variables!$I$75</f>
        <v>583840.877948706</v>
      </c>
      <c r="G75" s="27" t="n">
        <f aca="false">E75-F75</f>
        <v>21182.9920512941</v>
      </c>
    </row>
    <row r="76" customFormat="false" ht="15" hidden="false" customHeight="true" outlineLevel="0" collapsed="false">
      <c r="A76" s="5" t="str">
        <f aca="false">cleaned_data!$A$76</f>
        <v>STR-1018</v>
      </c>
      <c r="B76" s="26" t="str">
        <f aca="false">cleaned_data!$B$76</f>
        <v>2025-04-01</v>
      </c>
      <c r="C76" s="5" t="str">
        <f aca="false">cleaned_data!$C$76</f>
        <v>East</v>
      </c>
      <c r="D76" s="5" t="str">
        <f aca="false">cleaned_data!$D$76</f>
        <v>High Street</v>
      </c>
      <c r="E76" s="27" t="n">
        <f aca="false">cleaned_data!$M$76</f>
        <v>674774.09</v>
      </c>
      <c r="F76" s="27" t="n">
        <f aca="false">multiple_regression!$O$18+multiple_regression!$O$19*cleaned_data!$F$76+multiple_regression!$O$20*cleaned_data!$E$76+multiple_regression!$O$21*cleaned_data!$I$76+multiple_regression!$O$22*cleaned_data!$H$76+multiple_regression!$O$23*dummy_variables!$D$76+multiple_regression!$O$24*dummy_variables!$E$76+multiple_regression!$O$25*dummy_variables!$F$76+multiple_regression!$O$26*dummy_variables!$G$76+multiple_regression!$O$27*dummy_variables!$H$76+multiple_regression!$O$28*dummy_variables!$I$76</f>
        <v>624389.008131702</v>
      </c>
      <c r="G76" s="27" t="n">
        <f aca="false">E76-F76</f>
        <v>50385.0818682978</v>
      </c>
    </row>
    <row r="77" customFormat="false" ht="15" hidden="false" customHeight="true" outlineLevel="0" collapsed="false">
      <c r="A77" s="5" t="str">
        <f aca="false">cleaned_data!$A$77</f>
        <v>STR-1019</v>
      </c>
      <c r="B77" s="26" t="str">
        <f aca="false">cleaned_data!$B$77</f>
        <v>2025-01-01</v>
      </c>
      <c r="C77" s="5" t="str">
        <f aca="false">cleaned_data!$C$77</f>
        <v>East</v>
      </c>
      <c r="D77" s="5" t="str">
        <f aca="false">cleaned_data!$D$77</f>
        <v>Residential</v>
      </c>
      <c r="E77" s="27" t="n">
        <f aca="false">cleaned_data!$M$77</f>
        <v>616069.41</v>
      </c>
      <c r="F77" s="27" t="n">
        <f aca="false">multiple_regression!$O$18+multiple_regression!$O$19*cleaned_data!$F$77+multiple_regression!$O$20*cleaned_data!$E$77+multiple_regression!$O$21*cleaned_data!$I$77+multiple_regression!$O$22*cleaned_data!$H$77+multiple_regression!$O$23*dummy_variables!$D$77+multiple_regression!$O$24*dummy_variables!$E$77+multiple_regression!$O$25*dummy_variables!$F$77+multiple_regression!$O$26*dummy_variables!$G$77+multiple_regression!$O$27*dummy_variables!$H$77+multiple_regression!$O$28*dummy_variables!$I$77</f>
        <v>584208.105583627</v>
      </c>
      <c r="G77" s="27" t="n">
        <f aca="false">E77-F77</f>
        <v>31861.3044163735</v>
      </c>
    </row>
    <row r="78" customFormat="false" ht="15" hidden="false" customHeight="true" outlineLevel="0" collapsed="false">
      <c r="A78" s="5" t="str">
        <f aca="false">cleaned_data!$A$78</f>
        <v>STR-1019</v>
      </c>
      <c r="B78" s="26" t="str">
        <f aca="false">cleaned_data!$B$78</f>
        <v>2025-02-01</v>
      </c>
      <c r="C78" s="5" t="str">
        <f aca="false">cleaned_data!$C$78</f>
        <v>East</v>
      </c>
      <c r="D78" s="5" t="str">
        <f aca="false">cleaned_data!$D$78</f>
        <v>Residential</v>
      </c>
      <c r="E78" s="27" t="n">
        <f aca="false">cleaned_data!$M$78</f>
        <v>630829.94</v>
      </c>
      <c r="F78" s="27" t="n">
        <f aca="false">multiple_regression!$O$18+multiple_regression!$O$19*cleaned_data!$F$78+multiple_regression!$O$20*cleaned_data!$E$78+multiple_regression!$O$21*cleaned_data!$I$78+multiple_regression!$O$22*cleaned_data!$H$78+multiple_regression!$O$23*dummy_variables!$D$78+multiple_regression!$O$24*dummy_variables!$E$78+multiple_regression!$O$25*dummy_variables!$F$78+multiple_regression!$O$26*dummy_variables!$G$78+multiple_regression!$O$27*dummy_variables!$H$78+multiple_regression!$O$28*dummy_variables!$I$78</f>
        <v>683310.630367753</v>
      </c>
      <c r="G78" s="27" t="n">
        <f aca="false">E78-F78</f>
        <v>-52480.690367753</v>
      </c>
    </row>
    <row r="79" customFormat="false" ht="15" hidden="false" customHeight="true" outlineLevel="0" collapsed="false">
      <c r="A79" s="5" t="str">
        <f aca="false">cleaned_data!$A$79</f>
        <v>STR-1019</v>
      </c>
      <c r="B79" s="26" t="str">
        <f aca="false">cleaned_data!$B$79</f>
        <v>2025-03-01</v>
      </c>
      <c r="C79" s="5" t="str">
        <f aca="false">cleaned_data!$C$79</f>
        <v>East</v>
      </c>
      <c r="D79" s="5" t="str">
        <f aca="false">cleaned_data!$D$79</f>
        <v>Residential</v>
      </c>
      <c r="E79" s="27" t="n">
        <f aca="false">cleaned_data!$M$79</f>
        <v>788087.68</v>
      </c>
      <c r="F79" s="27" t="n">
        <f aca="false">multiple_regression!$O$18+multiple_regression!$O$19*cleaned_data!$F$79+multiple_regression!$O$20*cleaned_data!$E$79+multiple_regression!$O$21*cleaned_data!$I$79+multiple_regression!$O$22*cleaned_data!$H$79+multiple_regression!$O$23*dummy_variables!$D$79+multiple_regression!$O$24*dummy_variables!$E$79+multiple_regression!$O$25*dummy_variables!$F$79+multiple_regression!$O$26*dummy_variables!$G$79+multiple_regression!$O$27*dummy_variables!$H$79+multiple_regression!$O$28*dummy_variables!$I$79</f>
        <v>700389.768612566</v>
      </c>
      <c r="G79" s="27" t="n">
        <f aca="false">E79-F79</f>
        <v>87697.9113874342</v>
      </c>
    </row>
    <row r="80" customFormat="false" ht="15" hidden="false" customHeight="true" outlineLevel="0" collapsed="false">
      <c r="A80" s="5" t="str">
        <f aca="false">cleaned_data!$A$80</f>
        <v>STR-1019</v>
      </c>
      <c r="B80" s="26" t="str">
        <f aca="false">cleaned_data!$B$80</f>
        <v>2025-04-01</v>
      </c>
      <c r="C80" s="5" t="str">
        <f aca="false">cleaned_data!$C$80</f>
        <v>East</v>
      </c>
      <c r="D80" s="5" t="str">
        <f aca="false">cleaned_data!$D$80</f>
        <v>Residential</v>
      </c>
      <c r="E80" s="27" t="n">
        <f aca="false">cleaned_data!$M$80</f>
        <v>680840.36</v>
      </c>
      <c r="F80" s="27" t="n">
        <f aca="false">multiple_regression!$O$18+multiple_regression!$O$19*cleaned_data!$F$80+multiple_regression!$O$20*cleaned_data!$E$80+multiple_regression!$O$21*cleaned_data!$I$80+multiple_regression!$O$22*cleaned_data!$H$80+multiple_regression!$O$23*dummy_variables!$D$80+multiple_regression!$O$24*dummy_variables!$E$80+multiple_regression!$O$25*dummy_variables!$F$80+multiple_regression!$O$26*dummy_variables!$G$80+multiple_regression!$O$27*dummy_variables!$H$80+multiple_regression!$O$28*dummy_variables!$I$80</f>
        <v>704976.733698377</v>
      </c>
      <c r="G80" s="27" t="n">
        <f aca="false">E80-F80</f>
        <v>-24136.3736983773</v>
      </c>
    </row>
    <row r="81" customFormat="false" ht="15" hidden="false" customHeight="true" outlineLevel="0" collapsed="false">
      <c r="A81" s="5" t="str">
        <f aca="false">cleaned_data!$A$81</f>
        <v>STR-1020</v>
      </c>
      <c r="B81" s="26" t="str">
        <f aca="false">cleaned_data!$B$81</f>
        <v>2025-01-01</v>
      </c>
      <c r="C81" s="5" t="str">
        <f aca="false">cleaned_data!$C$81</f>
        <v>South</v>
      </c>
      <c r="D81" s="5" t="str">
        <f aca="false">cleaned_data!$D$81</f>
        <v>High Street</v>
      </c>
      <c r="E81" s="27" t="n">
        <f aca="false">cleaned_data!$M$81</f>
        <v>643657.47</v>
      </c>
      <c r="F81" s="27" t="n">
        <f aca="false">multiple_regression!$O$18+multiple_regression!$O$19*cleaned_data!$F$81+multiple_regression!$O$20*cleaned_data!$E$81+multiple_regression!$O$21*cleaned_data!$I$81+multiple_regression!$O$22*cleaned_data!$H$81+multiple_regression!$O$23*dummy_variables!$D$81+multiple_regression!$O$24*dummy_variables!$E$81+multiple_regression!$O$25*dummy_variables!$F$81+multiple_regression!$O$26*dummy_variables!$G$81+multiple_regression!$O$27*dummy_variables!$H$81+multiple_regression!$O$28*dummy_variables!$I$81</f>
        <v>658879.454426443</v>
      </c>
      <c r="G81" s="27" t="n">
        <f aca="false">E81-F81</f>
        <v>-15221.9844264427</v>
      </c>
    </row>
    <row r="82" customFormat="false" ht="15" hidden="false" customHeight="true" outlineLevel="0" collapsed="false">
      <c r="A82" s="5" t="str">
        <f aca="false">cleaned_data!$A$82</f>
        <v>STR-1020</v>
      </c>
      <c r="B82" s="26" t="str">
        <f aca="false">cleaned_data!$B$82</f>
        <v>2025-02-01</v>
      </c>
      <c r="C82" s="5" t="str">
        <f aca="false">cleaned_data!$C$82</f>
        <v>South</v>
      </c>
      <c r="D82" s="5" t="str">
        <f aca="false">cleaned_data!$D$82</f>
        <v>High Street</v>
      </c>
      <c r="E82" s="27" t="n">
        <f aca="false">cleaned_data!$M$82</f>
        <v>691112.6</v>
      </c>
      <c r="F82" s="27" t="n">
        <f aca="false">multiple_regression!$O$18+multiple_regression!$O$19*cleaned_data!$F$82+multiple_regression!$O$20*cleaned_data!$E$82+multiple_regression!$O$21*cleaned_data!$I$82+multiple_regression!$O$22*cleaned_data!$H$82+multiple_regression!$O$23*dummy_variables!$D$82+multiple_regression!$O$24*dummy_variables!$E$82+multiple_regression!$O$25*dummy_variables!$F$82+multiple_regression!$O$26*dummy_variables!$G$82+multiple_regression!$O$27*dummy_variables!$H$82+multiple_regression!$O$28*dummy_variables!$I$82</f>
        <v>650988.244916608</v>
      </c>
      <c r="G82" s="27" t="n">
        <f aca="false">E82-F82</f>
        <v>40124.3550833919</v>
      </c>
    </row>
    <row r="83" customFormat="false" ht="15" hidden="false" customHeight="true" outlineLevel="0" collapsed="false">
      <c r="A83" s="5" t="str">
        <f aca="false">cleaned_data!$A$83</f>
        <v>STR-1020</v>
      </c>
      <c r="B83" s="26" t="str">
        <f aca="false">cleaned_data!$B$83</f>
        <v>2025-03-01</v>
      </c>
      <c r="C83" s="5" t="str">
        <f aca="false">cleaned_data!$C$83</f>
        <v>South</v>
      </c>
      <c r="D83" s="5" t="str">
        <f aca="false">cleaned_data!$D$83</f>
        <v>High Street</v>
      </c>
      <c r="E83" s="27" t="n">
        <f aca="false">cleaned_data!$M$83</f>
        <v>776922.17</v>
      </c>
      <c r="F83" s="27" t="n">
        <f aca="false">multiple_regression!$O$18+multiple_regression!$O$19*cleaned_data!$F$83+multiple_regression!$O$20*cleaned_data!$E$83+multiple_regression!$O$21*cleaned_data!$I$83+multiple_regression!$O$22*cleaned_data!$H$83+multiple_regression!$O$23*dummy_variables!$D$83+multiple_regression!$O$24*dummy_variables!$E$83+multiple_regression!$O$25*dummy_variables!$F$83+multiple_regression!$O$26*dummy_variables!$G$83+multiple_regression!$O$27*dummy_variables!$H$83+multiple_regression!$O$28*dummy_variables!$I$83</f>
        <v>730068.430085991</v>
      </c>
      <c r="G83" s="27" t="n">
        <f aca="false">E83-F83</f>
        <v>46853.7399140091</v>
      </c>
    </row>
    <row r="84" customFormat="false" ht="15" hidden="false" customHeight="true" outlineLevel="0" collapsed="false">
      <c r="A84" s="5" t="str">
        <f aca="false">cleaned_data!$A$84</f>
        <v>STR-1020</v>
      </c>
      <c r="B84" s="26" t="str">
        <f aca="false">cleaned_data!$B$84</f>
        <v>2025-04-01</v>
      </c>
      <c r="C84" s="5" t="str">
        <f aca="false">cleaned_data!$C$84</f>
        <v>South</v>
      </c>
      <c r="D84" s="5" t="str">
        <f aca="false">cleaned_data!$D$84</f>
        <v>High Street</v>
      </c>
      <c r="E84" s="27" t="n">
        <f aca="false">cleaned_data!$M$84</f>
        <v>636561.34</v>
      </c>
      <c r="F84" s="27" t="n">
        <f aca="false">multiple_regression!$O$18+multiple_regression!$O$19*cleaned_data!$F$84+multiple_regression!$O$20*cleaned_data!$E$84+multiple_regression!$O$21*cleaned_data!$I$84+multiple_regression!$O$22*cleaned_data!$H$84+multiple_regression!$O$23*dummy_variables!$D$84+multiple_regression!$O$24*dummy_variables!$E$84+multiple_regression!$O$25*dummy_variables!$F$84+multiple_regression!$O$26*dummy_variables!$G$84+multiple_regression!$O$27*dummy_variables!$H$84+multiple_regression!$O$28*dummy_variables!$I$84</f>
        <v>671743.92472133</v>
      </c>
      <c r="G84" s="27" t="n">
        <f aca="false">E84-F84</f>
        <v>-35182.58472133</v>
      </c>
    </row>
    <row r="85" customFormat="false" ht="15" hidden="false" customHeight="true" outlineLevel="0" collapsed="false">
      <c r="A85" s="5" t="str">
        <f aca="false">cleaned_data!$A$85</f>
        <v>STR-1021</v>
      </c>
      <c r="B85" s="26" t="str">
        <f aca="false">cleaned_data!$B$85</f>
        <v>2025-01-01</v>
      </c>
      <c r="C85" s="5" t="str">
        <f aca="false">cleaned_data!$C$85</f>
        <v>West</v>
      </c>
      <c r="D85" s="5" t="str">
        <f aca="false">cleaned_data!$D$85</f>
        <v>Mall</v>
      </c>
      <c r="E85" s="27" t="n">
        <f aca="false">cleaned_data!$M$85</f>
        <v>621369.58</v>
      </c>
      <c r="F85" s="27" t="n">
        <f aca="false">multiple_regression!$O$18+multiple_regression!$O$19*cleaned_data!$F$85+multiple_regression!$O$20*cleaned_data!$E$85+multiple_regression!$O$21*cleaned_data!$I$85+multiple_regression!$O$22*cleaned_data!$H$85+multiple_regression!$O$23*dummy_variables!$D$85+multiple_regression!$O$24*dummy_variables!$E$85+multiple_regression!$O$25*dummy_variables!$F$85+multiple_regression!$O$26*dummy_variables!$G$85+multiple_regression!$O$27*dummy_variables!$H$85+multiple_regression!$O$28*dummy_variables!$I$85</f>
        <v>656175.978232148</v>
      </c>
      <c r="G85" s="27" t="n">
        <f aca="false">E85-F85</f>
        <v>-34806.3982321478</v>
      </c>
    </row>
    <row r="86" customFormat="false" ht="15" hidden="false" customHeight="true" outlineLevel="0" collapsed="false">
      <c r="A86" s="5" t="str">
        <f aca="false">cleaned_data!$A$86</f>
        <v>STR-1021</v>
      </c>
      <c r="B86" s="26" t="str">
        <f aca="false">cleaned_data!$B$86</f>
        <v>2025-02-01</v>
      </c>
      <c r="C86" s="5" t="str">
        <f aca="false">cleaned_data!$C$86</f>
        <v>West</v>
      </c>
      <c r="D86" s="5" t="str">
        <f aca="false">cleaned_data!$D$86</f>
        <v>Mall</v>
      </c>
      <c r="E86" s="27" t="n">
        <f aca="false">cleaned_data!$M$86</f>
        <v>682208.01</v>
      </c>
      <c r="F86" s="27" t="n">
        <f aca="false">multiple_regression!$O$18+multiple_regression!$O$19*cleaned_data!$F$86+multiple_regression!$O$20*cleaned_data!$E$86+multiple_regression!$O$21*cleaned_data!$I$86+multiple_regression!$O$22*cleaned_data!$H$86+multiple_regression!$O$23*dummy_variables!$D$86+multiple_regression!$O$24*dummy_variables!$E$86+multiple_regression!$O$25*dummy_variables!$F$86+multiple_regression!$O$26*dummy_variables!$G$86+multiple_regression!$O$27*dummy_variables!$H$86+multiple_regression!$O$28*dummy_variables!$I$86</f>
        <v>631398.923591512</v>
      </c>
      <c r="G86" s="27" t="n">
        <f aca="false">E86-F86</f>
        <v>50809.0864084885</v>
      </c>
    </row>
    <row r="87" customFormat="false" ht="15" hidden="false" customHeight="true" outlineLevel="0" collapsed="false">
      <c r="A87" s="5" t="str">
        <f aca="false">cleaned_data!$A$87</f>
        <v>STR-1021</v>
      </c>
      <c r="B87" s="26" t="str">
        <f aca="false">cleaned_data!$B$87</f>
        <v>2025-03-01</v>
      </c>
      <c r="C87" s="5" t="str">
        <f aca="false">cleaned_data!$C$87</f>
        <v>West</v>
      </c>
      <c r="D87" s="5" t="str">
        <f aca="false">cleaned_data!$D$87</f>
        <v>Mall</v>
      </c>
      <c r="E87" s="27" t="n">
        <f aca="false">cleaned_data!$M$87</f>
        <v>727241.86</v>
      </c>
      <c r="F87" s="27" t="n">
        <f aca="false">multiple_regression!$O$18+multiple_regression!$O$19*cleaned_data!$F$87+multiple_regression!$O$20*cleaned_data!$E$87+multiple_regression!$O$21*cleaned_data!$I$87+multiple_regression!$O$22*cleaned_data!$H$87+multiple_regression!$O$23*dummy_variables!$D$87+multiple_regression!$O$24*dummy_variables!$E$87+multiple_regression!$O$25*dummy_variables!$F$87+multiple_regression!$O$26*dummy_variables!$G$87+multiple_regression!$O$27*dummy_variables!$H$87+multiple_regression!$O$28*dummy_variables!$I$87</f>
        <v>657611.108745064</v>
      </c>
      <c r="G87" s="27" t="n">
        <f aca="false">E87-F87</f>
        <v>69630.751254936</v>
      </c>
    </row>
    <row r="88" customFormat="false" ht="15" hidden="false" customHeight="true" outlineLevel="0" collapsed="false">
      <c r="A88" s="5" t="str">
        <f aca="false">cleaned_data!$A$88</f>
        <v>STR-1021</v>
      </c>
      <c r="B88" s="26" t="str">
        <f aca="false">cleaned_data!$B$88</f>
        <v>2025-04-01</v>
      </c>
      <c r="C88" s="5" t="str">
        <f aca="false">cleaned_data!$C$88</f>
        <v>West</v>
      </c>
      <c r="D88" s="5" t="str">
        <f aca="false">cleaned_data!$D$88</f>
        <v>Mall</v>
      </c>
      <c r="E88" s="27" t="n">
        <f aca="false">cleaned_data!$M$88</f>
        <v>569100.78</v>
      </c>
      <c r="F88" s="27" t="n">
        <f aca="false">multiple_regression!$O$18+multiple_regression!$O$19*cleaned_data!$F$88+multiple_regression!$O$20*cleaned_data!$E$88+multiple_regression!$O$21*cleaned_data!$I$88+multiple_regression!$O$22*cleaned_data!$H$88+multiple_regression!$O$23*dummy_variables!$D$88+multiple_regression!$O$24*dummy_variables!$E$88+multiple_regression!$O$25*dummy_variables!$F$88+multiple_regression!$O$26*dummy_variables!$G$88+multiple_regression!$O$27*dummy_variables!$H$88+multiple_regression!$O$28*dummy_variables!$I$88</f>
        <v>553736.35204767</v>
      </c>
      <c r="G88" s="27" t="n">
        <f aca="false">E88-F88</f>
        <v>15364.4279523296</v>
      </c>
    </row>
    <row r="89" customFormat="false" ht="15" hidden="false" customHeight="true" outlineLevel="0" collapsed="false">
      <c r="A89" s="5" t="str">
        <f aca="false">cleaned_data!$A$89</f>
        <v>STR-1022</v>
      </c>
      <c r="B89" s="26" t="str">
        <f aca="false">cleaned_data!$B$89</f>
        <v>2025-01-01</v>
      </c>
      <c r="C89" s="5" t="str">
        <f aca="false">cleaned_data!$C$89</f>
        <v>West</v>
      </c>
      <c r="D89" s="5" t="str">
        <f aca="false">cleaned_data!$D$89</f>
        <v>High Street</v>
      </c>
      <c r="E89" s="27" t="n">
        <f aca="false">cleaned_data!$M$89</f>
        <v>574436.29</v>
      </c>
      <c r="F89" s="27" t="n">
        <f aca="false">multiple_regression!$O$18+multiple_regression!$O$19*cleaned_data!$F$89+multiple_regression!$O$20*cleaned_data!$E$89+multiple_regression!$O$21*cleaned_data!$I$89+multiple_regression!$O$22*cleaned_data!$H$89+multiple_regression!$O$23*dummy_variables!$D$89+multiple_regression!$O$24*dummy_variables!$E$89+multiple_regression!$O$25*dummy_variables!$F$89+multiple_regression!$O$26*dummy_variables!$G$89+multiple_regression!$O$27*dummy_variables!$H$89+multiple_regression!$O$28*dummy_variables!$I$89</f>
        <v>552864.275186155</v>
      </c>
      <c r="G89" s="27" t="n">
        <f aca="false">E89-F89</f>
        <v>21572.0148138454</v>
      </c>
    </row>
    <row r="90" customFormat="false" ht="15" hidden="false" customHeight="true" outlineLevel="0" collapsed="false">
      <c r="A90" s="5" t="str">
        <f aca="false">cleaned_data!$A$90</f>
        <v>STR-1022</v>
      </c>
      <c r="B90" s="26" t="str">
        <f aca="false">cleaned_data!$B$90</f>
        <v>2025-02-01</v>
      </c>
      <c r="C90" s="5" t="str">
        <f aca="false">cleaned_data!$C$90</f>
        <v>West</v>
      </c>
      <c r="D90" s="5" t="str">
        <f aca="false">cleaned_data!$D$90</f>
        <v>High Street</v>
      </c>
      <c r="E90" s="27" t="n">
        <f aca="false">cleaned_data!$M$90</f>
        <v>611766.72</v>
      </c>
      <c r="F90" s="27" t="n">
        <f aca="false">multiple_regression!$O$18+multiple_regression!$O$19*cleaned_data!$F$90+multiple_regression!$O$20*cleaned_data!$E$90+multiple_regression!$O$21*cleaned_data!$I$90+multiple_regression!$O$22*cleaned_data!$H$90+multiple_regression!$O$23*dummy_variables!$D$90+multiple_regression!$O$24*dummy_variables!$E$90+multiple_regression!$O$25*dummy_variables!$F$90+multiple_regression!$O$26*dummy_variables!$G$90+multiple_regression!$O$27*dummy_variables!$H$90+multiple_regression!$O$28*dummy_variables!$I$90</f>
        <v>648663.63372299</v>
      </c>
      <c r="G90" s="27" t="n">
        <f aca="false">E90-F90</f>
        <v>-36896.9137229902</v>
      </c>
    </row>
    <row r="91" customFormat="false" ht="15" hidden="false" customHeight="true" outlineLevel="0" collapsed="false">
      <c r="A91" s="5" t="str">
        <f aca="false">cleaned_data!$A$91</f>
        <v>STR-1022</v>
      </c>
      <c r="B91" s="26" t="str">
        <f aca="false">cleaned_data!$B$91</f>
        <v>2025-03-01</v>
      </c>
      <c r="C91" s="5" t="str">
        <f aca="false">cleaned_data!$C$91</f>
        <v>West</v>
      </c>
      <c r="D91" s="5" t="str">
        <f aca="false">cleaned_data!$D$91</f>
        <v>High Street</v>
      </c>
      <c r="E91" s="27" t="n">
        <f aca="false">cleaned_data!$M$91</f>
        <v>614596.32</v>
      </c>
      <c r="F91" s="27" t="n">
        <f aca="false">multiple_regression!$O$18+multiple_regression!$O$19*cleaned_data!$F$91+multiple_regression!$O$20*cleaned_data!$E$91+multiple_regression!$O$21*cleaned_data!$I$91+multiple_regression!$O$22*cleaned_data!$H$91+multiple_regression!$O$23*dummy_variables!$D$91+multiple_regression!$O$24*dummy_variables!$E$91+multiple_regression!$O$25*dummy_variables!$F$91+multiple_regression!$O$26*dummy_variables!$G$91+multiple_regression!$O$27*dummy_variables!$H$91+multiple_regression!$O$28*dummy_variables!$I$91</f>
        <v>620240.38187066</v>
      </c>
      <c r="G91" s="27" t="n">
        <f aca="false">E91-F91</f>
        <v>-5644.06187066005</v>
      </c>
    </row>
    <row r="92" customFormat="false" ht="15" hidden="false" customHeight="true" outlineLevel="0" collapsed="false">
      <c r="A92" s="5" t="str">
        <f aca="false">cleaned_data!$A$92</f>
        <v>STR-1022</v>
      </c>
      <c r="B92" s="26" t="str">
        <f aca="false">cleaned_data!$B$92</f>
        <v>2025-04-01</v>
      </c>
      <c r="C92" s="5" t="str">
        <f aca="false">cleaned_data!$C$92</f>
        <v>West</v>
      </c>
      <c r="D92" s="5" t="str">
        <f aca="false">cleaned_data!$D$92</f>
        <v>High Street</v>
      </c>
      <c r="E92" s="27" t="n">
        <f aca="false">cleaned_data!$M$92</f>
        <v>450711.92</v>
      </c>
      <c r="F92" s="27" t="n">
        <f aca="false">multiple_regression!$O$18+multiple_regression!$O$19*cleaned_data!$F$92+multiple_regression!$O$20*cleaned_data!$E$92+multiple_regression!$O$21*cleaned_data!$I$92+multiple_regression!$O$22*cleaned_data!$H$92+multiple_regression!$O$23*dummy_variables!$D$92+multiple_regression!$O$24*dummy_variables!$E$92+multiple_regression!$O$25*dummy_variables!$F$92+multiple_regression!$O$26*dummy_variables!$G$92+multiple_regression!$O$27*dummy_variables!$H$92+multiple_regression!$O$28*dummy_variables!$I$92</f>
        <v>465952.399115918</v>
      </c>
      <c r="G92" s="27" t="n">
        <f aca="false">E92-F92</f>
        <v>-15240.4791159179</v>
      </c>
    </row>
    <row r="93" customFormat="false" ht="15" hidden="false" customHeight="true" outlineLevel="0" collapsed="false">
      <c r="A93" s="5" t="str">
        <f aca="false">cleaned_data!$A$93</f>
        <v>STR-1023</v>
      </c>
      <c r="B93" s="26" t="str">
        <f aca="false">cleaned_data!$B$93</f>
        <v>2025-01-01</v>
      </c>
      <c r="C93" s="5" t="str">
        <f aca="false">cleaned_data!$C$93</f>
        <v>South</v>
      </c>
      <c r="D93" s="5" t="str">
        <f aca="false">cleaned_data!$D$93</f>
        <v>Mall</v>
      </c>
      <c r="E93" s="27" t="n">
        <f aca="false">cleaned_data!$M$93</f>
        <v>711213.46</v>
      </c>
      <c r="F93" s="27" t="n">
        <f aca="false">multiple_regression!$O$18+multiple_regression!$O$19*cleaned_data!$F$93+multiple_regression!$O$20*cleaned_data!$E$93+multiple_regression!$O$21*cleaned_data!$I$93+multiple_regression!$O$22*cleaned_data!$H$93+multiple_regression!$O$23*dummy_variables!$D$93+multiple_regression!$O$24*dummy_variables!$E$93+multiple_regression!$O$25*dummy_variables!$F$93+multiple_regression!$O$26*dummy_variables!$G$93+multiple_regression!$O$27*dummy_variables!$H$93+multiple_regression!$O$28*dummy_variables!$I$93</f>
        <v>686807.596676795</v>
      </c>
      <c r="G93" s="27" t="n">
        <f aca="false">E93-F93</f>
        <v>24405.8633232054</v>
      </c>
    </row>
    <row r="94" customFormat="false" ht="15" hidden="false" customHeight="true" outlineLevel="0" collapsed="false">
      <c r="A94" s="5" t="str">
        <f aca="false">cleaned_data!$A$94</f>
        <v>STR-1023</v>
      </c>
      <c r="B94" s="26" t="str">
        <f aca="false">cleaned_data!$B$94</f>
        <v>2025-02-01</v>
      </c>
      <c r="C94" s="5" t="str">
        <f aca="false">cleaned_data!$C$94</f>
        <v>South</v>
      </c>
      <c r="D94" s="5" t="str">
        <f aca="false">cleaned_data!$D$94</f>
        <v>Mall</v>
      </c>
      <c r="E94" s="27" t="n">
        <f aca="false">cleaned_data!$M$94</f>
        <v>627171.9</v>
      </c>
      <c r="F94" s="27" t="n">
        <f aca="false">multiple_regression!$O$18+multiple_regression!$O$19*cleaned_data!$F$94+multiple_regression!$O$20*cleaned_data!$E$94+multiple_regression!$O$21*cleaned_data!$I$94+multiple_regression!$O$22*cleaned_data!$H$94+multiple_regression!$O$23*dummy_variables!$D$94+multiple_regression!$O$24*dummy_variables!$E$94+multiple_regression!$O$25*dummy_variables!$F$94+multiple_regression!$O$26*dummy_variables!$G$94+multiple_regression!$O$27*dummy_variables!$H$94+multiple_regression!$O$28*dummy_variables!$I$94</f>
        <v>753497.852378947</v>
      </c>
      <c r="G94" s="27" t="n">
        <f aca="false">E94-F94</f>
        <v>-126325.952378947</v>
      </c>
    </row>
    <row r="95" customFormat="false" ht="15" hidden="false" customHeight="true" outlineLevel="0" collapsed="false">
      <c r="A95" s="5" t="str">
        <f aca="false">cleaned_data!$A$95</f>
        <v>STR-1023</v>
      </c>
      <c r="B95" s="26" t="str">
        <f aca="false">cleaned_data!$B$95</f>
        <v>2025-03-01</v>
      </c>
      <c r="C95" s="5" t="str">
        <f aca="false">cleaned_data!$C$95</f>
        <v>South</v>
      </c>
      <c r="D95" s="5" t="str">
        <f aca="false">cleaned_data!$D$95</f>
        <v>Mall</v>
      </c>
      <c r="E95" s="27" t="n">
        <f aca="false">cleaned_data!$M$95</f>
        <v>739852.58</v>
      </c>
      <c r="F95" s="27" t="n">
        <f aca="false">multiple_regression!$O$18+multiple_regression!$O$19*cleaned_data!$F$95+multiple_regression!$O$20*cleaned_data!$E$95+multiple_regression!$O$21*cleaned_data!$I$95+multiple_regression!$O$22*cleaned_data!$H$95+multiple_regression!$O$23*dummy_variables!$D$95+multiple_regression!$O$24*dummy_variables!$E$95+multiple_regression!$O$25*dummy_variables!$F$95+multiple_regression!$O$26*dummy_variables!$G$95+multiple_regression!$O$27*dummy_variables!$H$95+multiple_regression!$O$28*dummy_variables!$I$95</f>
        <v>729076.484655892</v>
      </c>
      <c r="G95" s="27" t="n">
        <f aca="false">E95-F95</f>
        <v>10776.0953441084</v>
      </c>
    </row>
    <row r="96" customFormat="false" ht="15" hidden="false" customHeight="true" outlineLevel="0" collapsed="false">
      <c r="A96" s="5" t="str">
        <f aca="false">cleaned_data!$A$96</f>
        <v>STR-1023</v>
      </c>
      <c r="B96" s="26" t="str">
        <f aca="false">cleaned_data!$B$96</f>
        <v>2025-04-01</v>
      </c>
      <c r="C96" s="5" t="str">
        <f aca="false">cleaned_data!$C$96</f>
        <v>South</v>
      </c>
      <c r="D96" s="5" t="str">
        <f aca="false">cleaned_data!$D$96</f>
        <v>Mall</v>
      </c>
      <c r="E96" s="27" t="n">
        <f aca="false">cleaned_data!$M$96</f>
        <v>586307.22</v>
      </c>
      <c r="F96" s="27" t="n">
        <f aca="false">multiple_regression!$O$18+multiple_regression!$O$19*cleaned_data!$F$96+multiple_regression!$O$20*cleaned_data!$E$96+multiple_regression!$O$21*cleaned_data!$I$96+multiple_regression!$O$22*cleaned_data!$H$96+multiple_regression!$O$23*dummy_variables!$D$96+multiple_regression!$O$24*dummy_variables!$E$96+multiple_regression!$O$25*dummy_variables!$F$96+multiple_regression!$O$26*dummy_variables!$G$96+multiple_regression!$O$27*dummy_variables!$H$96+multiple_regression!$O$28*dummy_variables!$I$96</f>
        <v>565330.318913461</v>
      </c>
      <c r="G96" s="27" t="n">
        <f aca="false">E96-F96</f>
        <v>20976.9010865395</v>
      </c>
    </row>
    <row r="97" customFormat="false" ht="15" hidden="false" customHeight="true" outlineLevel="0" collapsed="false">
      <c r="A97" s="5" t="str">
        <f aca="false">cleaned_data!$A$97</f>
        <v>STR-1024</v>
      </c>
      <c r="B97" s="26" t="str">
        <f aca="false">cleaned_data!$B$97</f>
        <v>2025-01-01</v>
      </c>
      <c r="C97" s="5" t="str">
        <f aca="false">cleaned_data!$C$97</f>
        <v>West</v>
      </c>
      <c r="D97" s="5" t="str">
        <f aca="false">cleaned_data!$D$97</f>
        <v>Residential</v>
      </c>
      <c r="E97" s="27" t="n">
        <f aca="false">cleaned_data!$M$97</f>
        <v>585937.48</v>
      </c>
      <c r="F97" s="27" t="n">
        <f aca="false">multiple_regression!$O$18+multiple_regression!$O$19*cleaned_data!$F$97+multiple_regression!$O$20*cleaned_data!$E$97+multiple_regression!$O$21*cleaned_data!$I$97+multiple_regression!$O$22*cleaned_data!$H$97+multiple_regression!$O$23*dummy_variables!$D$97+multiple_regression!$O$24*dummy_variables!$E$97+multiple_regression!$O$25*dummy_variables!$F$97+multiple_regression!$O$26*dummy_variables!$G$97+multiple_regression!$O$27*dummy_variables!$H$97+multiple_regression!$O$28*dummy_variables!$I$97</f>
        <v>593721.371949498</v>
      </c>
      <c r="G97" s="27" t="n">
        <f aca="false">E97-F97</f>
        <v>-7783.89194949798</v>
      </c>
    </row>
    <row r="98" customFormat="false" ht="15" hidden="false" customHeight="true" outlineLevel="0" collapsed="false">
      <c r="A98" s="5" t="str">
        <f aca="false">cleaned_data!$A$98</f>
        <v>STR-1024</v>
      </c>
      <c r="B98" s="26" t="str">
        <f aca="false">cleaned_data!$B$98</f>
        <v>2025-02-01</v>
      </c>
      <c r="C98" s="5" t="str">
        <f aca="false">cleaned_data!$C$98</f>
        <v>West</v>
      </c>
      <c r="D98" s="5" t="str">
        <f aca="false">cleaned_data!$D$98</f>
        <v>Residential</v>
      </c>
      <c r="E98" s="27" t="n">
        <f aca="false">cleaned_data!$M$98</f>
        <v>753473.55</v>
      </c>
      <c r="F98" s="27" t="n">
        <f aca="false">multiple_regression!$O$18+multiple_regression!$O$19*cleaned_data!$F$98+multiple_regression!$O$20*cleaned_data!$E$98+multiple_regression!$O$21*cleaned_data!$I$98+multiple_regression!$O$22*cleaned_data!$H$98+multiple_regression!$O$23*dummy_variables!$D$98+multiple_regression!$O$24*dummy_variables!$E$98+multiple_regression!$O$25*dummy_variables!$F$98+multiple_regression!$O$26*dummy_variables!$G$98+multiple_regression!$O$27*dummy_variables!$H$98+multiple_regression!$O$28*dummy_variables!$I$98</f>
        <v>688853.472218884</v>
      </c>
      <c r="G98" s="27" t="n">
        <f aca="false">E98-F98</f>
        <v>64620.0777811159</v>
      </c>
    </row>
    <row r="99" customFormat="false" ht="15" hidden="false" customHeight="true" outlineLevel="0" collapsed="false">
      <c r="A99" s="5" t="str">
        <f aca="false">cleaned_data!$A$99</f>
        <v>STR-1024</v>
      </c>
      <c r="B99" s="26" t="str">
        <f aca="false">cleaned_data!$B$99</f>
        <v>2025-03-01</v>
      </c>
      <c r="C99" s="5" t="str">
        <f aca="false">cleaned_data!$C$99</f>
        <v>West</v>
      </c>
      <c r="D99" s="5" t="str">
        <f aca="false">cleaned_data!$D$99</f>
        <v>Residential</v>
      </c>
      <c r="E99" s="27" t="n">
        <f aca="false">cleaned_data!$M$99</f>
        <v>838250.32</v>
      </c>
      <c r="F99" s="27" t="n">
        <f aca="false">multiple_regression!$O$18+multiple_regression!$O$19*cleaned_data!$F$99+multiple_regression!$O$20*cleaned_data!$E$99+multiple_regression!$O$21*cleaned_data!$I$99+multiple_regression!$O$22*cleaned_data!$H$99+multiple_regression!$O$23*dummy_variables!$D$99+multiple_regression!$O$24*dummy_variables!$E$99+multiple_regression!$O$25*dummy_variables!$F$99+multiple_regression!$O$26*dummy_variables!$G$99+multiple_regression!$O$27*dummy_variables!$H$99+multiple_regression!$O$28*dummy_variables!$I$99</f>
        <v>758165.457164921</v>
      </c>
      <c r="G99" s="27" t="n">
        <f aca="false">E99-F99</f>
        <v>80084.8628350785</v>
      </c>
    </row>
    <row r="100" customFormat="false" ht="15" hidden="false" customHeight="true" outlineLevel="0" collapsed="false">
      <c r="A100" s="5" t="str">
        <f aca="false">cleaned_data!$A$100</f>
        <v>STR-1024</v>
      </c>
      <c r="B100" s="26" t="str">
        <f aca="false">cleaned_data!$B$100</f>
        <v>2025-04-01</v>
      </c>
      <c r="C100" s="5" t="str">
        <f aca="false">cleaned_data!$C$100</f>
        <v>West</v>
      </c>
      <c r="D100" s="5" t="str">
        <f aca="false">cleaned_data!$D$100</f>
        <v>Residential</v>
      </c>
      <c r="E100" s="27" t="n">
        <f aca="false">cleaned_data!$M$100</f>
        <v>607898.12</v>
      </c>
      <c r="F100" s="27" t="n">
        <f aca="false">multiple_regression!$O$18+multiple_regression!$O$19*cleaned_data!$F$100+multiple_regression!$O$20*cleaned_data!$E$100+multiple_regression!$O$21*cleaned_data!$I$100+multiple_regression!$O$22*cleaned_data!$H$100+multiple_regression!$O$23*dummy_variables!$D$100+multiple_regression!$O$24*dummy_variables!$E$100+multiple_regression!$O$25*dummy_variables!$F$100+multiple_regression!$O$26*dummy_variables!$G$100+multiple_regression!$O$27*dummy_variables!$H$100+multiple_regression!$O$28*dummy_variables!$I$100</f>
        <v>615607.365090172</v>
      </c>
      <c r="G100" s="27" t="n">
        <f aca="false">E100-F100</f>
        <v>-7709.24509017181</v>
      </c>
    </row>
    <row r="101" customFormat="false" ht="15" hidden="false" customHeight="true" outlineLevel="0" collapsed="false">
      <c r="A101" s="5" t="str">
        <f aca="false">cleaned_data!$A$101</f>
        <v>STR-1025</v>
      </c>
      <c r="B101" s="26" t="str">
        <f aca="false">cleaned_data!$B$101</f>
        <v>2025-01-01</v>
      </c>
      <c r="C101" s="5" t="str">
        <f aca="false">cleaned_data!$C$101</f>
        <v>West</v>
      </c>
      <c r="D101" s="5" t="str">
        <f aca="false">cleaned_data!$D$101</f>
        <v>Mall</v>
      </c>
      <c r="E101" s="27" t="n">
        <f aca="false">cleaned_data!$M$101</f>
        <v>691113.62</v>
      </c>
      <c r="F101" s="27" t="n">
        <f aca="false">multiple_regression!$O$18+multiple_regression!$O$19*cleaned_data!$F$101+multiple_regression!$O$20*cleaned_data!$E$101+multiple_regression!$O$21*cleaned_data!$I$101+multiple_regression!$O$22*cleaned_data!$H$101+multiple_regression!$O$23*dummy_variables!$D$101+multiple_regression!$O$24*dummy_variables!$E$101+multiple_regression!$O$25*dummy_variables!$F$101+multiple_regression!$O$26*dummy_variables!$G$101+multiple_regression!$O$27*dummy_variables!$H$101+multiple_regression!$O$28*dummy_variables!$I$101</f>
        <v>717324.063571695</v>
      </c>
      <c r="G101" s="27" t="n">
        <f aca="false">E101-F101</f>
        <v>-26210.4435716951</v>
      </c>
    </row>
    <row r="102" customFormat="false" ht="15" hidden="false" customHeight="true" outlineLevel="0" collapsed="false">
      <c r="A102" s="5" t="str">
        <f aca="false">cleaned_data!$A$102</f>
        <v>STR-1025</v>
      </c>
      <c r="B102" s="26" t="str">
        <f aca="false">cleaned_data!$B$102</f>
        <v>2025-02-01</v>
      </c>
      <c r="C102" s="5" t="str">
        <f aca="false">cleaned_data!$C$102</f>
        <v>West</v>
      </c>
      <c r="D102" s="5" t="str">
        <f aca="false">cleaned_data!$D$102</f>
        <v>Mall</v>
      </c>
      <c r="E102" s="27" t="n">
        <f aca="false">cleaned_data!$M$102</f>
        <v>735509.4</v>
      </c>
      <c r="F102" s="27" t="n">
        <f aca="false">multiple_regression!$O$18+multiple_regression!$O$19*cleaned_data!$F$102+multiple_regression!$O$20*cleaned_data!$E$102+multiple_regression!$O$21*cleaned_data!$I$102+multiple_regression!$O$22*cleaned_data!$H$102+multiple_regression!$O$23*dummy_variables!$D$102+multiple_regression!$O$24*dummy_variables!$E$102+multiple_regression!$O$25*dummy_variables!$F$102+multiple_regression!$O$26*dummy_variables!$G$102+multiple_regression!$O$27*dummy_variables!$H$102+multiple_regression!$O$28*dummy_variables!$I$102</f>
        <v>669882.077316867</v>
      </c>
      <c r="G102" s="27" t="n">
        <f aca="false">E102-F102</f>
        <v>65627.3226831333</v>
      </c>
    </row>
    <row r="103" customFormat="false" ht="15" hidden="false" customHeight="true" outlineLevel="0" collapsed="false">
      <c r="A103" s="5" t="str">
        <f aca="false">cleaned_data!$A$103</f>
        <v>STR-1025</v>
      </c>
      <c r="B103" s="26" t="str">
        <f aca="false">cleaned_data!$B$103</f>
        <v>2025-03-01</v>
      </c>
      <c r="C103" s="5" t="str">
        <f aca="false">cleaned_data!$C$103</f>
        <v>West</v>
      </c>
      <c r="D103" s="5" t="str">
        <f aca="false">cleaned_data!$D$103</f>
        <v>Mall</v>
      </c>
      <c r="E103" s="27" t="n">
        <f aca="false">cleaned_data!$M$103</f>
        <v>605775.33</v>
      </c>
      <c r="F103" s="27" t="n">
        <f aca="false">multiple_regression!$O$18+multiple_regression!$O$19*cleaned_data!$F$103+multiple_regression!$O$20*cleaned_data!$E$103+multiple_regression!$O$21*cleaned_data!$I$103+multiple_regression!$O$22*cleaned_data!$H$103+multiple_regression!$O$23*dummy_variables!$D$103+multiple_regression!$O$24*dummy_variables!$E$103+multiple_regression!$O$25*dummy_variables!$F$103+multiple_regression!$O$26*dummy_variables!$G$103+multiple_regression!$O$27*dummy_variables!$H$103+multiple_regression!$O$28*dummy_variables!$I$103</f>
        <v>627502.485602005</v>
      </c>
      <c r="G103" s="27" t="n">
        <f aca="false">E103-F103</f>
        <v>-21727.1556020048</v>
      </c>
    </row>
    <row r="104" customFormat="false" ht="15" hidden="false" customHeight="true" outlineLevel="0" collapsed="false">
      <c r="A104" s="5" t="str">
        <f aca="false">cleaned_data!$A$104</f>
        <v>STR-1025</v>
      </c>
      <c r="B104" s="26" t="str">
        <f aca="false">cleaned_data!$B$104</f>
        <v>2025-04-01</v>
      </c>
      <c r="C104" s="5" t="str">
        <f aca="false">cleaned_data!$C$104</f>
        <v>West</v>
      </c>
      <c r="D104" s="5" t="str">
        <f aca="false">cleaned_data!$D$104</f>
        <v>Mall</v>
      </c>
      <c r="E104" s="27" t="n">
        <f aca="false">cleaned_data!$M$104</f>
        <v>675177.68</v>
      </c>
      <c r="F104" s="27" t="n">
        <f aca="false">multiple_regression!$O$18+multiple_regression!$O$19*cleaned_data!$F$104+multiple_regression!$O$20*cleaned_data!$E$104+multiple_regression!$O$21*cleaned_data!$I$104+multiple_regression!$O$22*cleaned_data!$H$104+multiple_regression!$O$23*dummy_variables!$D$104+multiple_regression!$O$24*dummy_variables!$E$104+multiple_regression!$O$25*dummy_variables!$F$104+multiple_regression!$O$26*dummy_variables!$G$104+multiple_regression!$O$27*dummy_variables!$H$104+multiple_regression!$O$28*dummy_variables!$I$104</f>
        <v>655835.292545971</v>
      </c>
      <c r="G104" s="27" t="n">
        <f aca="false">E104-F104</f>
        <v>19342.3874540288</v>
      </c>
    </row>
    <row r="105" customFormat="false" ht="15" hidden="false" customHeight="true" outlineLevel="0" collapsed="false">
      <c r="A105" s="5" t="str">
        <f aca="false">cleaned_data!$A$105</f>
        <v>STR-1026</v>
      </c>
      <c r="B105" s="26" t="str">
        <f aca="false">cleaned_data!$B$105</f>
        <v>2025-01-01</v>
      </c>
      <c r="C105" s="5" t="str">
        <f aca="false">cleaned_data!$C$105</f>
        <v>East</v>
      </c>
      <c r="D105" s="5" t="str">
        <f aca="false">cleaned_data!$D$105</f>
        <v>Mall</v>
      </c>
      <c r="E105" s="27" t="n">
        <f aca="false">cleaned_data!$M$105</f>
        <v>635181.35</v>
      </c>
      <c r="F105" s="27" t="n">
        <f aca="false">multiple_regression!$O$18+multiple_regression!$O$19*cleaned_data!$F$105+multiple_regression!$O$20*cleaned_data!$E$105+multiple_regression!$O$21*cleaned_data!$I$105+multiple_regression!$O$22*cleaned_data!$H$105+multiple_regression!$O$23*dummy_variables!$D$105+multiple_regression!$O$24*dummy_variables!$E$105+multiple_regression!$O$25*dummy_variables!$F$105+multiple_regression!$O$26*dummy_variables!$G$105+multiple_regression!$O$27*dummy_variables!$H$105+multiple_regression!$O$28*dummy_variables!$I$105</f>
        <v>591316.856210008</v>
      </c>
      <c r="G105" s="27" t="n">
        <f aca="false">E105-F105</f>
        <v>43864.4937899916</v>
      </c>
    </row>
    <row r="106" customFormat="false" ht="15" hidden="false" customHeight="true" outlineLevel="0" collapsed="false">
      <c r="A106" s="5" t="str">
        <f aca="false">cleaned_data!$A$106</f>
        <v>STR-1026</v>
      </c>
      <c r="B106" s="26" t="str">
        <f aca="false">cleaned_data!$B$106</f>
        <v>2025-02-01</v>
      </c>
      <c r="C106" s="5" t="str">
        <f aca="false">cleaned_data!$C$106</f>
        <v>East</v>
      </c>
      <c r="D106" s="5" t="str">
        <f aca="false">cleaned_data!$D$106</f>
        <v>Mall</v>
      </c>
      <c r="E106" s="27" t="n">
        <f aca="false">cleaned_data!$M$106</f>
        <v>586626.94</v>
      </c>
      <c r="F106" s="27" t="n">
        <f aca="false">multiple_regression!$O$18+multiple_regression!$O$19*cleaned_data!$F$106+multiple_regression!$O$20*cleaned_data!$E$106+multiple_regression!$O$21*cleaned_data!$I$106+multiple_regression!$O$22*cleaned_data!$H$106+multiple_regression!$O$23*dummy_variables!$D$106+multiple_regression!$O$24*dummy_variables!$E$106+multiple_regression!$O$25*dummy_variables!$F$106+multiple_regression!$O$26*dummy_variables!$G$106+multiple_regression!$O$27*dummy_variables!$H$106+multiple_regression!$O$28*dummy_variables!$I$106</f>
        <v>626724.522081798</v>
      </c>
      <c r="G106" s="27" t="n">
        <f aca="false">E106-F106</f>
        <v>-40097.5820817975</v>
      </c>
    </row>
    <row r="107" customFormat="false" ht="15" hidden="false" customHeight="true" outlineLevel="0" collapsed="false">
      <c r="A107" s="5" t="str">
        <f aca="false">cleaned_data!$A$107</f>
        <v>STR-1026</v>
      </c>
      <c r="B107" s="26" t="str">
        <f aca="false">cleaned_data!$B$107</f>
        <v>2025-03-01</v>
      </c>
      <c r="C107" s="5" t="str">
        <f aca="false">cleaned_data!$C$107</f>
        <v>East</v>
      </c>
      <c r="D107" s="5" t="str">
        <f aca="false">cleaned_data!$D$107</f>
        <v>Mall</v>
      </c>
      <c r="E107" s="27" t="n">
        <f aca="false">cleaned_data!$M$107</f>
        <v>740102.64</v>
      </c>
      <c r="F107" s="27" t="n">
        <f aca="false">multiple_regression!$O$18+multiple_regression!$O$19*cleaned_data!$F$107+multiple_regression!$O$20*cleaned_data!$E$107+multiple_regression!$O$21*cleaned_data!$I$107+multiple_regression!$O$22*cleaned_data!$H$107+multiple_regression!$O$23*dummy_variables!$D$107+multiple_regression!$O$24*dummy_variables!$E$107+multiple_regression!$O$25*dummy_variables!$F$107+multiple_regression!$O$26*dummy_variables!$G$107+multiple_regression!$O$27*dummy_variables!$H$107+multiple_regression!$O$28*dummy_variables!$I$107</f>
        <v>699549.832384446</v>
      </c>
      <c r="G107" s="27" t="n">
        <f aca="false">E107-F107</f>
        <v>40552.8076155542</v>
      </c>
    </row>
    <row r="108" customFormat="false" ht="15" hidden="false" customHeight="true" outlineLevel="0" collapsed="false">
      <c r="A108" s="5" t="str">
        <f aca="false">cleaned_data!$A$108</f>
        <v>STR-1026</v>
      </c>
      <c r="B108" s="26" t="str">
        <f aca="false">cleaned_data!$B$108</f>
        <v>2025-04-01</v>
      </c>
      <c r="C108" s="5" t="str">
        <f aca="false">cleaned_data!$C$108</f>
        <v>East</v>
      </c>
      <c r="D108" s="5" t="str">
        <f aca="false">cleaned_data!$D$108</f>
        <v>Mall</v>
      </c>
      <c r="E108" s="27" t="n">
        <f aca="false">cleaned_data!$M$108</f>
        <v>625514.04</v>
      </c>
      <c r="F108" s="27" t="n">
        <f aca="false">multiple_regression!$O$18+multiple_regression!$O$19*cleaned_data!$F$108+multiple_regression!$O$20*cleaned_data!$E$108+multiple_regression!$O$21*cleaned_data!$I$108+multiple_regression!$O$22*cleaned_data!$H$108+multiple_regression!$O$23*dummy_variables!$D$108+multiple_regression!$O$24*dummy_variables!$E$108+multiple_regression!$O$25*dummy_variables!$F$108+multiple_regression!$O$26*dummy_variables!$G$108+multiple_regression!$O$27*dummy_variables!$H$108+multiple_regression!$O$28*dummy_variables!$I$108</f>
        <v>519632.050552492</v>
      </c>
      <c r="G108" s="27" t="n">
        <f aca="false">E108-F108</f>
        <v>105881.989447509</v>
      </c>
    </row>
    <row r="109" customFormat="false" ht="15" hidden="false" customHeight="true" outlineLevel="0" collapsed="false">
      <c r="A109" s="5" t="str">
        <f aca="false">cleaned_data!$A$109</f>
        <v>STR-1027</v>
      </c>
      <c r="B109" s="26" t="str">
        <f aca="false">cleaned_data!$B$109</f>
        <v>2025-01-01</v>
      </c>
      <c r="C109" s="5" t="str">
        <f aca="false">cleaned_data!$C$109</f>
        <v>West</v>
      </c>
      <c r="D109" s="5" t="str">
        <f aca="false">cleaned_data!$D$109</f>
        <v>High Street</v>
      </c>
      <c r="E109" s="27" t="n">
        <f aca="false">cleaned_data!$M$109</f>
        <v>727227.2</v>
      </c>
      <c r="F109" s="27" t="n">
        <f aca="false">multiple_regression!$O$18+multiple_regression!$O$19*cleaned_data!$F$109+multiple_regression!$O$20*cleaned_data!$E$109+multiple_regression!$O$21*cleaned_data!$I$109+multiple_regression!$O$22*cleaned_data!$H$109+multiple_regression!$O$23*dummy_variables!$D$109+multiple_regression!$O$24*dummy_variables!$E$109+multiple_regression!$O$25*dummy_variables!$F$109+multiple_regression!$O$26*dummy_variables!$G$109+multiple_regression!$O$27*dummy_variables!$H$109+multiple_regression!$O$28*dummy_variables!$I$109</f>
        <v>709066.186875769</v>
      </c>
      <c r="G109" s="27" t="n">
        <f aca="false">E109-F109</f>
        <v>18161.013124231</v>
      </c>
    </row>
    <row r="110" customFormat="false" ht="15" hidden="false" customHeight="true" outlineLevel="0" collapsed="false">
      <c r="A110" s="5" t="str">
        <f aca="false">cleaned_data!$A$110</f>
        <v>STR-1027</v>
      </c>
      <c r="B110" s="26" t="str">
        <f aca="false">cleaned_data!$B$110</f>
        <v>2025-02-01</v>
      </c>
      <c r="C110" s="5" t="str">
        <f aca="false">cleaned_data!$C$110</f>
        <v>West</v>
      </c>
      <c r="D110" s="5" t="str">
        <f aca="false">cleaned_data!$D$110</f>
        <v>High Street</v>
      </c>
      <c r="E110" s="27" t="n">
        <f aca="false">cleaned_data!$M$110</f>
        <v>783797.89</v>
      </c>
      <c r="F110" s="27" t="n">
        <f aca="false">multiple_regression!$O$18+multiple_regression!$O$19*cleaned_data!$F$110+multiple_regression!$O$20*cleaned_data!$E$110+multiple_regression!$O$21*cleaned_data!$I$110+multiple_regression!$O$22*cleaned_data!$H$110+multiple_regression!$O$23*dummy_variables!$D$110+multiple_regression!$O$24*dummy_variables!$E$110+multiple_regression!$O$25*dummy_variables!$F$110+multiple_regression!$O$26*dummy_variables!$G$110+multiple_regression!$O$27*dummy_variables!$H$110+multiple_regression!$O$28*dummy_variables!$I$110</f>
        <v>796619.734252015</v>
      </c>
      <c r="G110" s="27" t="n">
        <f aca="false">E110-F110</f>
        <v>-12821.8442520147</v>
      </c>
    </row>
    <row r="111" customFormat="false" ht="15" hidden="false" customHeight="true" outlineLevel="0" collapsed="false">
      <c r="A111" s="5" t="str">
        <f aca="false">cleaned_data!$A$111</f>
        <v>STR-1027</v>
      </c>
      <c r="B111" s="26" t="str">
        <f aca="false">cleaned_data!$B$111</f>
        <v>2025-03-01</v>
      </c>
      <c r="C111" s="5" t="str">
        <f aca="false">cleaned_data!$C$111</f>
        <v>West</v>
      </c>
      <c r="D111" s="5" t="str">
        <f aca="false">cleaned_data!$D$111</f>
        <v>High Street</v>
      </c>
      <c r="E111" s="27" t="n">
        <f aca="false">cleaned_data!$M$111</f>
        <v>795153.84</v>
      </c>
      <c r="F111" s="27" t="n">
        <f aca="false">multiple_regression!$O$18+multiple_regression!$O$19*cleaned_data!$F$111+multiple_regression!$O$20*cleaned_data!$E$111+multiple_regression!$O$21*cleaned_data!$I$111+multiple_regression!$O$22*cleaned_data!$H$111+multiple_regression!$O$23*dummy_variables!$D$111+multiple_regression!$O$24*dummy_variables!$E$111+multiple_regression!$O$25*dummy_variables!$F$111+multiple_regression!$O$26*dummy_variables!$G$111+multiple_regression!$O$27*dummy_variables!$H$111+multiple_regression!$O$28*dummy_variables!$I$111</f>
        <v>721441.358302712</v>
      </c>
      <c r="G111" s="27" t="n">
        <f aca="false">E111-F111</f>
        <v>73712.481697288</v>
      </c>
    </row>
    <row r="112" customFormat="false" ht="15" hidden="false" customHeight="true" outlineLevel="0" collapsed="false">
      <c r="A112" s="5" t="str">
        <f aca="false">cleaned_data!$A$112</f>
        <v>STR-1027</v>
      </c>
      <c r="B112" s="26" t="str">
        <f aca="false">cleaned_data!$B$112</f>
        <v>2025-04-01</v>
      </c>
      <c r="C112" s="5" t="str">
        <f aca="false">cleaned_data!$C$112</f>
        <v>West</v>
      </c>
      <c r="D112" s="5" t="str">
        <f aca="false">cleaned_data!$D$112</f>
        <v>High Street</v>
      </c>
      <c r="E112" s="27" t="n">
        <f aca="false">cleaned_data!$M$112</f>
        <v>665594.94</v>
      </c>
      <c r="F112" s="27" t="n">
        <f aca="false">multiple_regression!$O$18+multiple_regression!$O$19*cleaned_data!$F$112+multiple_regression!$O$20*cleaned_data!$E$112+multiple_regression!$O$21*cleaned_data!$I$112+multiple_regression!$O$22*cleaned_data!$H$112+multiple_regression!$O$23*dummy_variables!$D$112+multiple_regression!$O$24*dummy_variables!$E$112+multiple_regression!$O$25*dummy_variables!$F$112+multiple_regression!$O$26*dummy_variables!$G$112+multiple_regression!$O$27*dummy_variables!$H$112+multiple_regression!$O$28*dummy_variables!$I$112</f>
        <v>667198.094787844</v>
      </c>
      <c r="G112" s="27" t="n">
        <f aca="false">E112-F112</f>
        <v>-1603.1547878437</v>
      </c>
    </row>
    <row r="113" customFormat="false" ht="15" hidden="false" customHeight="true" outlineLevel="0" collapsed="false">
      <c r="A113" s="5" t="str">
        <f aca="false">cleaned_data!$A$113</f>
        <v>STR-1028</v>
      </c>
      <c r="B113" s="26" t="str">
        <f aca="false">cleaned_data!$B$113</f>
        <v>2025-01-01</v>
      </c>
      <c r="C113" s="5" t="str">
        <f aca="false">cleaned_data!$C$113</f>
        <v>East</v>
      </c>
      <c r="D113" s="5" t="str">
        <f aca="false">cleaned_data!$D$113</f>
        <v>Mall</v>
      </c>
      <c r="E113" s="27" t="n">
        <f aca="false">cleaned_data!$M$113</f>
        <v>709478.39</v>
      </c>
      <c r="F113" s="27" t="n">
        <f aca="false">multiple_regression!$O$18+multiple_regression!$O$19*cleaned_data!$F$113+multiple_regression!$O$20*cleaned_data!$E$113+multiple_regression!$O$21*cleaned_data!$I$113+multiple_regression!$O$22*cleaned_data!$H$113+multiple_regression!$O$23*dummy_variables!$D$113+multiple_regression!$O$24*dummy_variables!$E$113+multiple_regression!$O$25*dummy_variables!$F$113+multiple_regression!$O$26*dummy_variables!$G$113+multiple_regression!$O$27*dummy_variables!$H$113+multiple_regression!$O$28*dummy_variables!$I$113</f>
        <v>682900.700498263</v>
      </c>
      <c r="G113" s="27" t="n">
        <f aca="false">E113-F113</f>
        <v>26577.6895017371</v>
      </c>
    </row>
    <row r="114" customFormat="false" ht="15" hidden="false" customHeight="true" outlineLevel="0" collapsed="false">
      <c r="A114" s="5" t="str">
        <f aca="false">cleaned_data!$A$114</f>
        <v>STR-1028</v>
      </c>
      <c r="B114" s="26" t="str">
        <f aca="false">cleaned_data!$B$114</f>
        <v>2025-02-01</v>
      </c>
      <c r="C114" s="5" t="str">
        <f aca="false">cleaned_data!$C$114</f>
        <v>East</v>
      </c>
      <c r="D114" s="5" t="str">
        <f aca="false">cleaned_data!$D$114</f>
        <v>Mall</v>
      </c>
      <c r="E114" s="27" t="n">
        <f aca="false">cleaned_data!$M$114</f>
        <v>664162.49</v>
      </c>
      <c r="F114" s="27" t="n">
        <f aca="false">multiple_regression!$O$18+multiple_regression!$O$19*cleaned_data!$F$114+multiple_regression!$O$20*cleaned_data!$E$114+multiple_regression!$O$21*cleaned_data!$I$114+multiple_regression!$O$22*cleaned_data!$H$114+multiple_regression!$O$23*dummy_variables!$D$114+multiple_regression!$O$24*dummy_variables!$E$114+multiple_regression!$O$25*dummy_variables!$F$114+multiple_regression!$O$26*dummy_variables!$G$114+multiple_regression!$O$27*dummy_variables!$H$114+multiple_regression!$O$28*dummy_variables!$I$114</f>
        <v>651915.286622606</v>
      </c>
      <c r="G114" s="27" t="n">
        <f aca="false">E114-F114</f>
        <v>12247.2033773942</v>
      </c>
    </row>
    <row r="115" customFormat="false" ht="15" hidden="false" customHeight="true" outlineLevel="0" collapsed="false">
      <c r="A115" s="5" t="str">
        <f aca="false">cleaned_data!$A$115</f>
        <v>STR-1028</v>
      </c>
      <c r="B115" s="26" t="str">
        <f aca="false">cleaned_data!$B$115</f>
        <v>2025-03-01</v>
      </c>
      <c r="C115" s="5" t="str">
        <f aca="false">cleaned_data!$C$115</f>
        <v>East</v>
      </c>
      <c r="D115" s="5" t="str">
        <f aca="false">cleaned_data!$D$115</f>
        <v>Mall</v>
      </c>
      <c r="E115" s="27" t="n">
        <f aca="false">cleaned_data!$M$115</f>
        <v>633494.21</v>
      </c>
      <c r="F115" s="27" t="n">
        <f aca="false">multiple_regression!$O$18+multiple_regression!$O$19*cleaned_data!$F$115+multiple_regression!$O$20*cleaned_data!$E$115+multiple_regression!$O$21*cleaned_data!$I$115+multiple_regression!$O$22*cleaned_data!$H$115+multiple_regression!$O$23*dummy_variables!$D$115+multiple_regression!$O$24*dummy_variables!$E$115+multiple_regression!$O$25*dummy_variables!$F$115+multiple_regression!$O$26*dummy_variables!$G$115+multiple_regression!$O$27*dummy_variables!$H$115+multiple_regression!$O$28*dummy_variables!$I$115</f>
        <v>646148.18384572</v>
      </c>
      <c r="G115" s="27" t="n">
        <f aca="false">E115-F115</f>
        <v>-12653.9738457196</v>
      </c>
    </row>
    <row r="116" customFormat="false" ht="15" hidden="false" customHeight="true" outlineLevel="0" collapsed="false">
      <c r="A116" s="5" t="str">
        <f aca="false">cleaned_data!$A$116</f>
        <v>STR-1028</v>
      </c>
      <c r="B116" s="26" t="str">
        <f aca="false">cleaned_data!$B$116</f>
        <v>2025-04-01</v>
      </c>
      <c r="C116" s="5" t="str">
        <f aca="false">cleaned_data!$C$116</f>
        <v>East</v>
      </c>
      <c r="D116" s="5" t="str">
        <f aca="false">cleaned_data!$D$116</f>
        <v>Mall</v>
      </c>
      <c r="E116" s="27" t="n">
        <f aca="false">cleaned_data!$M$116</f>
        <v>713611.16</v>
      </c>
      <c r="F116" s="27" t="n">
        <f aca="false">multiple_regression!$O$18+multiple_regression!$O$19*cleaned_data!$F$116+multiple_regression!$O$20*cleaned_data!$E$116+multiple_regression!$O$21*cleaned_data!$I$116+multiple_regression!$O$22*cleaned_data!$H$116+multiple_regression!$O$23*dummy_variables!$D$116+multiple_regression!$O$24*dummy_variables!$E$116+multiple_regression!$O$25*dummy_variables!$F$116+multiple_regression!$O$26*dummy_variables!$G$116+multiple_regression!$O$27*dummy_variables!$H$116+multiple_regression!$O$28*dummy_variables!$I$116</f>
        <v>603971.420045151</v>
      </c>
      <c r="G116" s="27" t="n">
        <f aca="false">E116-F116</f>
        <v>109639.739954849</v>
      </c>
    </row>
    <row r="117" customFormat="false" ht="15" hidden="false" customHeight="true" outlineLevel="0" collapsed="false">
      <c r="A117" s="5" t="str">
        <f aca="false">cleaned_data!$A$117</f>
        <v>STR-1029</v>
      </c>
      <c r="B117" s="26" t="str">
        <f aca="false">cleaned_data!$B$117</f>
        <v>2025-01-01</v>
      </c>
      <c r="C117" s="5" t="str">
        <f aca="false">cleaned_data!$C$117</f>
        <v>West</v>
      </c>
      <c r="D117" s="5" t="str">
        <f aca="false">cleaned_data!$D$117</f>
        <v>Mall</v>
      </c>
      <c r="E117" s="27" t="n">
        <f aca="false">cleaned_data!$M$117</f>
        <v>778397.97</v>
      </c>
      <c r="F117" s="27" t="n">
        <f aca="false">multiple_regression!$O$18+multiple_regression!$O$19*cleaned_data!$F$117+multiple_regression!$O$20*cleaned_data!$E$117+multiple_regression!$O$21*cleaned_data!$I$117+multiple_regression!$O$22*cleaned_data!$H$117+multiple_regression!$O$23*dummy_variables!$D$117+multiple_regression!$O$24*dummy_variables!$E$117+multiple_regression!$O$25*dummy_variables!$F$117+multiple_regression!$O$26*dummy_variables!$G$117+multiple_regression!$O$27*dummy_variables!$H$117+multiple_regression!$O$28*dummy_variables!$I$117</f>
        <v>756340.320694897</v>
      </c>
      <c r="G117" s="27" t="n">
        <f aca="false">E117-F117</f>
        <v>22057.6493051035</v>
      </c>
    </row>
    <row r="118" customFormat="false" ht="15" hidden="false" customHeight="true" outlineLevel="0" collapsed="false">
      <c r="A118" s="5" t="str">
        <f aca="false">cleaned_data!$A$118</f>
        <v>STR-1029</v>
      </c>
      <c r="B118" s="26" t="str">
        <f aca="false">cleaned_data!$B$118</f>
        <v>2025-02-01</v>
      </c>
      <c r="C118" s="5" t="str">
        <f aca="false">cleaned_data!$C$118</f>
        <v>West</v>
      </c>
      <c r="D118" s="5" t="str">
        <f aca="false">cleaned_data!$D$118</f>
        <v>Mall</v>
      </c>
      <c r="E118" s="27" t="n">
        <f aca="false">cleaned_data!$M$118</f>
        <v>873380.02</v>
      </c>
      <c r="F118" s="27" t="n">
        <f aca="false">multiple_regression!$O$18+multiple_regression!$O$19*cleaned_data!$F$118+multiple_regression!$O$20*cleaned_data!$E$118+multiple_regression!$O$21*cleaned_data!$I$118+multiple_regression!$O$22*cleaned_data!$H$118+multiple_regression!$O$23*dummy_variables!$D$118+multiple_regression!$O$24*dummy_variables!$E$118+multiple_regression!$O$25*dummy_variables!$F$118+multiple_regression!$O$26*dummy_variables!$G$118+multiple_regression!$O$27*dummy_variables!$H$118+multiple_regression!$O$28*dummy_variables!$I$118</f>
        <v>847183.286672867</v>
      </c>
      <c r="G118" s="27" t="n">
        <f aca="false">E118-F118</f>
        <v>26196.7333271331</v>
      </c>
    </row>
    <row r="119" customFormat="false" ht="15" hidden="false" customHeight="true" outlineLevel="0" collapsed="false">
      <c r="A119" s="5" t="str">
        <f aca="false">cleaned_data!$A$119</f>
        <v>STR-1029</v>
      </c>
      <c r="B119" s="26" t="str">
        <f aca="false">cleaned_data!$B$119</f>
        <v>2025-03-01</v>
      </c>
      <c r="C119" s="5" t="str">
        <f aca="false">cleaned_data!$C$119</f>
        <v>West</v>
      </c>
      <c r="D119" s="5" t="str">
        <f aca="false">cleaned_data!$D$119</f>
        <v>Mall</v>
      </c>
      <c r="E119" s="27" t="n">
        <f aca="false">cleaned_data!$M$119</f>
        <v>697287.9</v>
      </c>
      <c r="F119" s="27" t="n">
        <f aca="false">multiple_regression!$O$18+multiple_regression!$O$19*cleaned_data!$F$119+multiple_regression!$O$20*cleaned_data!$E$119+multiple_regression!$O$21*cleaned_data!$I$119+multiple_regression!$O$22*cleaned_data!$H$119+multiple_regression!$O$23*dummy_variables!$D$119+multiple_regression!$O$24*dummy_variables!$E$119+multiple_regression!$O$25*dummy_variables!$F$119+multiple_regression!$O$26*dummy_variables!$G$119+multiple_regression!$O$27*dummy_variables!$H$119+multiple_regression!$O$28*dummy_variables!$I$119</f>
        <v>769986.39839872</v>
      </c>
      <c r="G119" s="27" t="n">
        <f aca="false">E119-F119</f>
        <v>-72698.4983987201</v>
      </c>
    </row>
    <row r="120" customFormat="false" ht="15" hidden="false" customHeight="true" outlineLevel="0" collapsed="false">
      <c r="A120" s="5" t="str">
        <f aca="false">cleaned_data!$A$120</f>
        <v>STR-1029</v>
      </c>
      <c r="B120" s="26" t="str">
        <f aca="false">cleaned_data!$B$120</f>
        <v>2025-04-01</v>
      </c>
      <c r="C120" s="5" t="str">
        <f aca="false">cleaned_data!$C$120</f>
        <v>West</v>
      </c>
      <c r="D120" s="5" t="str">
        <f aca="false">cleaned_data!$D$120</f>
        <v>Mall</v>
      </c>
      <c r="E120" s="27" t="n">
        <f aca="false">cleaned_data!$M$120</f>
        <v>718074.79</v>
      </c>
      <c r="F120" s="27" t="n">
        <f aca="false">multiple_regression!$O$18+multiple_regression!$O$19*cleaned_data!$F$120+multiple_regression!$O$20*cleaned_data!$E$120+multiple_regression!$O$21*cleaned_data!$I$120+multiple_regression!$O$22*cleaned_data!$H$120+multiple_regression!$O$23*dummy_variables!$D$120+multiple_regression!$O$24*dummy_variables!$E$120+multiple_regression!$O$25*dummy_variables!$F$120+multiple_regression!$O$26*dummy_variables!$G$120+multiple_regression!$O$27*dummy_variables!$H$120+multiple_regression!$O$28*dummy_variables!$I$120</f>
        <v>774055.259492035</v>
      </c>
      <c r="G120" s="27" t="n">
        <f aca="false">E120-F120</f>
        <v>-55980.4694920353</v>
      </c>
    </row>
    <row r="121" customFormat="false" ht="15" hidden="false" customHeight="true" outlineLevel="0" collapsed="false">
      <c r="A121" s="5" t="str">
        <f aca="false">cleaned_data!$A$121</f>
        <v>STR-1030</v>
      </c>
      <c r="B121" s="26" t="str">
        <f aca="false">cleaned_data!$B$121</f>
        <v>2025-01-01</v>
      </c>
      <c r="C121" s="5" t="str">
        <f aca="false">cleaned_data!$C$121</f>
        <v>West</v>
      </c>
      <c r="D121" s="5" t="str">
        <f aca="false">cleaned_data!$D$121</f>
        <v>Residential</v>
      </c>
      <c r="E121" s="27" t="n">
        <f aca="false">cleaned_data!$M$121</f>
        <v>714942.43</v>
      </c>
      <c r="F121" s="27" t="n">
        <f aca="false">multiple_regression!$O$18+multiple_regression!$O$19*cleaned_data!$F$121+multiple_regression!$O$20*cleaned_data!$E$121+multiple_regression!$O$21*cleaned_data!$I$121+multiple_regression!$O$22*cleaned_data!$H$121+multiple_regression!$O$23*dummy_variables!$D$121+multiple_regression!$O$24*dummy_variables!$E$121+multiple_regression!$O$25*dummy_variables!$F$121+multiple_regression!$O$26*dummy_variables!$G$121+multiple_regression!$O$27*dummy_variables!$H$121+multiple_regression!$O$28*dummy_variables!$I$121</f>
        <v>702812.228440636</v>
      </c>
      <c r="G121" s="27" t="n">
        <f aca="false">E121-F121</f>
        <v>12130.2015593639</v>
      </c>
    </row>
    <row r="122" customFormat="false" ht="15" hidden="false" customHeight="true" outlineLevel="0" collapsed="false">
      <c r="A122" s="5" t="str">
        <f aca="false">cleaned_data!$A$122</f>
        <v>STR-1030</v>
      </c>
      <c r="B122" s="26" t="str">
        <f aca="false">cleaned_data!$B$122</f>
        <v>2025-02-01</v>
      </c>
      <c r="C122" s="5" t="str">
        <f aca="false">cleaned_data!$C$122</f>
        <v>West</v>
      </c>
      <c r="D122" s="5" t="str">
        <f aca="false">cleaned_data!$D$122</f>
        <v>Residential</v>
      </c>
      <c r="E122" s="27" t="n">
        <f aca="false">cleaned_data!$M$122</f>
        <v>820519.04</v>
      </c>
      <c r="F122" s="27" t="n">
        <f aca="false">multiple_regression!$O$18+multiple_regression!$O$19*cleaned_data!$F$122+multiple_regression!$O$20*cleaned_data!$E$122+multiple_regression!$O$21*cleaned_data!$I$122+multiple_regression!$O$22*cleaned_data!$H$122+multiple_regression!$O$23*dummy_variables!$D$122+multiple_regression!$O$24*dummy_variables!$E$122+multiple_regression!$O$25*dummy_variables!$F$122+multiple_regression!$O$26*dummy_variables!$G$122+multiple_regression!$O$27*dummy_variables!$H$122+multiple_regression!$O$28*dummy_variables!$I$122</f>
        <v>721391.558132306</v>
      </c>
      <c r="G122" s="27" t="n">
        <f aca="false">E122-F122</f>
        <v>99127.4818676944</v>
      </c>
    </row>
    <row r="123" customFormat="false" ht="15" hidden="false" customHeight="true" outlineLevel="0" collapsed="false">
      <c r="A123" s="5" t="str">
        <f aca="false">cleaned_data!$A$123</f>
        <v>STR-1030</v>
      </c>
      <c r="B123" s="26" t="str">
        <f aca="false">cleaned_data!$B$123</f>
        <v>2025-03-01</v>
      </c>
      <c r="C123" s="5" t="str">
        <f aca="false">cleaned_data!$C$123</f>
        <v>West</v>
      </c>
      <c r="D123" s="5" t="str">
        <f aca="false">cleaned_data!$D$123</f>
        <v>Residential</v>
      </c>
      <c r="E123" s="27" t="n">
        <f aca="false">cleaned_data!$M$123</f>
        <v>684217.32</v>
      </c>
      <c r="F123" s="27" t="n">
        <f aca="false">multiple_regression!$O$18+multiple_regression!$O$19*cleaned_data!$F$123+multiple_regression!$O$20*cleaned_data!$E$123+multiple_regression!$O$21*cleaned_data!$I$123+multiple_regression!$O$22*cleaned_data!$H$123+multiple_regression!$O$23*dummy_variables!$D$123+multiple_regression!$O$24*dummy_variables!$E$123+multiple_regression!$O$25*dummy_variables!$F$123+multiple_regression!$O$26*dummy_variables!$G$123+multiple_regression!$O$27*dummy_variables!$H$123+multiple_regression!$O$28*dummy_variables!$I$123</f>
        <v>741452.827771988</v>
      </c>
      <c r="G123" s="27" t="n">
        <f aca="false">E123-F123</f>
        <v>-57235.5077719878</v>
      </c>
    </row>
    <row r="124" customFormat="false" ht="15" hidden="false" customHeight="true" outlineLevel="0" collapsed="false">
      <c r="A124" s="5" t="str">
        <f aca="false">cleaned_data!$A$124</f>
        <v>STR-1030</v>
      </c>
      <c r="B124" s="26" t="str">
        <f aca="false">cleaned_data!$B$124</f>
        <v>2025-04-01</v>
      </c>
      <c r="C124" s="5" t="str">
        <f aca="false">cleaned_data!$C$124</f>
        <v>West</v>
      </c>
      <c r="D124" s="5" t="str">
        <f aca="false">cleaned_data!$D$124</f>
        <v>Residential</v>
      </c>
      <c r="E124" s="27" t="n">
        <f aca="false">cleaned_data!$M$124</f>
        <v>735480.19</v>
      </c>
      <c r="F124" s="27" t="n">
        <f aca="false">multiple_regression!$O$18+multiple_regression!$O$19*cleaned_data!$F$124+multiple_regression!$O$20*cleaned_data!$E$124+multiple_regression!$O$21*cleaned_data!$I$124+multiple_regression!$O$22*cleaned_data!$H$124+multiple_regression!$O$23*dummy_variables!$D$124+multiple_regression!$O$24*dummy_variables!$E$124+multiple_regression!$O$25*dummy_variables!$F$124+multiple_regression!$O$26*dummy_variables!$G$124+multiple_regression!$O$27*dummy_variables!$H$124+multiple_regression!$O$28*dummy_variables!$I$124</f>
        <v>735607.663027321</v>
      </c>
      <c r="G124" s="27" t="n">
        <f aca="false">E124-F124</f>
        <v>-127.473027320928</v>
      </c>
    </row>
    <row r="125" customFormat="false" ht="15" hidden="false" customHeight="true" outlineLevel="0" collapsed="false">
      <c r="A125" s="5" t="str">
        <f aca="false">cleaned_data!$A$125</f>
        <v>STR-1031</v>
      </c>
      <c r="B125" s="26" t="str">
        <f aca="false">cleaned_data!$B$125</f>
        <v>2025-01-01</v>
      </c>
      <c r="C125" s="5" t="str">
        <f aca="false">cleaned_data!$C$125</f>
        <v>North</v>
      </c>
      <c r="D125" s="5" t="str">
        <f aca="false">cleaned_data!$D$125</f>
        <v>High Street</v>
      </c>
      <c r="E125" s="27" t="n">
        <f aca="false">cleaned_data!$M$125</f>
        <v>509484.81</v>
      </c>
      <c r="F125" s="27" t="n">
        <f aca="false">multiple_regression!$O$18+multiple_regression!$O$19*cleaned_data!$F$125+multiple_regression!$O$20*cleaned_data!$E$125+multiple_regression!$O$21*cleaned_data!$I$125+multiple_regression!$O$22*cleaned_data!$H$125+multiple_regression!$O$23*dummy_variables!$D$125+multiple_regression!$O$24*dummy_variables!$E$125+multiple_regression!$O$25*dummy_variables!$F$125+multiple_regression!$O$26*dummy_variables!$G$125+multiple_regression!$O$27*dummy_variables!$H$125+multiple_regression!$O$28*dummy_variables!$I$125</f>
        <v>559588.031698709</v>
      </c>
      <c r="G125" s="27" t="n">
        <f aca="false">E125-F125</f>
        <v>-50103.221698709</v>
      </c>
    </row>
    <row r="126" customFormat="false" ht="15" hidden="false" customHeight="true" outlineLevel="0" collapsed="false">
      <c r="A126" s="5" t="str">
        <f aca="false">cleaned_data!$A$126</f>
        <v>STR-1031</v>
      </c>
      <c r="B126" s="26" t="str">
        <f aca="false">cleaned_data!$B$126</f>
        <v>2025-02-01</v>
      </c>
      <c r="C126" s="5" t="str">
        <f aca="false">cleaned_data!$C$126</f>
        <v>North</v>
      </c>
      <c r="D126" s="5" t="str">
        <f aca="false">cleaned_data!$D$126</f>
        <v>High Street</v>
      </c>
      <c r="E126" s="27" t="n">
        <f aca="false">cleaned_data!$M$126</f>
        <v>654317.09</v>
      </c>
      <c r="F126" s="27" t="n">
        <f aca="false">multiple_regression!$O$18+multiple_regression!$O$19*cleaned_data!$F$126+multiple_regression!$O$20*cleaned_data!$E$126+multiple_regression!$O$21*cleaned_data!$I$126+multiple_regression!$O$22*cleaned_data!$H$126+multiple_regression!$O$23*dummy_variables!$D$126+multiple_regression!$O$24*dummy_variables!$E$126+multiple_regression!$O$25*dummy_variables!$F$126+multiple_regression!$O$26*dummy_variables!$G$126+multiple_regression!$O$27*dummy_variables!$H$126+multiple_regression!$O$28*dummy_variables!$I$126</f>
        <v>622960.94280306</v>
      </c>
      <c r="G126" s="27" t="n">
        <f aca="false">E126-F126</f>
        <v>31356.1471969401</v>
      </c>
    </row>
    <row r="127" customFormat="false" ht="15" hidden="false" customHeight="true" outlineLevel="0" collapsed="false">
      <c r="A127" s="5" t="str">
        <f aca="false">cleaned_data!$A$127</f>
        <v>STR-1031</v>
      </c>
      <c r="B127" s="26" t="str">
        <f aca="false">cleaned_data!$B$127</f>
        <v>2025-03-01</v>
      </c>
      <c r="C127" s="5" t="str">
        <f aca="false">cleaned_data!$C$127</f>
        <v>North</v>
      </c>
      <c r="D127" s="5" t="str">
        <f aca="false">cleaned_data!$D$127</f>
        <v>High Street</v>
      </c>
      <c r="E127" s="27" t="n">
        <f aca="false">cleaned_data!$M$127</f>
        <v>557487.26</v>
      </c>
      <c r="F127" s="27" t="n">
        <f aca="false">multiple_regression!$O$18+multiple_regression!$O$19*cleaned_data!$F$127+multiple_regression!$O$20*cleaned_data!$E$127+multiple_regression!$O$21*cleaned_data!$I$127+multiple_regression!$O$22*cleaned_data!$H$127+multiple_regression!$O$23*dummy_variables!$D$127+multiple_regression!$O$24*dummy_variables!$E$127+multiple_regression!$O$25*dummy_variables!$F$127+multiple_regression!$O$26*dummy_variables!$G$127+multiple_regression!$O$27*dummy_variables!$H$127+multiple_regression!$O$28*dummy_variables!$I$127</f>
        <v>594991.877389425</v>
      </c>
      <c r="G127" s="27" t="n">
        <f aca="false">E127-F127</f>
        <v>-37504.6173894253</v>
      </c>
    </row>
    <row r="128" customFormat="false" ht="15" hidden="false" customHeight="true" outlineLevel="0" collapsed="false">
      <c r="A128" s="5" t="str">
        <f aca="false">cleaned_data!$A$128</f>
        <v>STR-1031</v>
      </c>
      <c r="B128" s="26" t="str">
        <f aca="false">cleaned_data!$B$128</f>
        <v>2025-04-01</v>
      </c>
      <c r="C128" s="5" t="str">
        <f aca="false">cleaned_data!$C$128</f>
        <v>North</v>
      </c>
      <c r="D128" s="5" t="str">
        <f aca="false">cleaned_data!$D$128</f>
        <v>High Street</v>
      </c>
      <c r="E128" s="27" t="n">
        <f aca="false">cleaned_data!$M$128</f>
        <v>441275.42</v>
      </c>
      <c r="F128" s="27" t="n">
        <f aca="false">multiple_regression!$O$18+multiple_regression!$O$19*cleaned_data!$F$128+multiple_regression!$O$20*cleaned_data!$E$128+multiple_regression!$O$21*cleaned_data!$I$128+multiple_regression!$O$22*cleaned_data!$H$128+multiple_regression!$O$23*dummy_variables!$D$128+multiple_regression!$O$24*dummy_variables!$E$128+multiple_regression!$O$25*dummy_variables!$F$128+multiple_regression!$O$26*dummy_variables!$G$128+multiple_regression!$O$27*dummy_variables!$H$128+multiple_regression!$O$28*dummy_variables!$I$128</f>
        <v>510391.531751683</v>
      </c>
      <c r="G128" s="27" t="n">
        <f aca="false">E128-F128</f>
        <v>-69116.1117516827</v>
      </c>
    </row>
    <row r="129" customFormat="false" ht="15" hidden="false" customHeight="true" outlineLevel="0" collapsed="false">
      <c r="A129" s="5" t="str">
        <f aca="false">cleaned_data!$A$129</f>
        <v>STR-1032</v>
      </c>
      <c r="B129" s="26" t="str">
        <f aca="false">cleaned_data!$B$129</f>
        <v>2025-01-01</v>
      </c>
      <c r="C129" s="5" t="str">
        <f aca="false">cleaned_data!$C$129</f>
        <v>South</v>
      </c>
      <c r="D129" s="5" t="str">
        <f aca="false">cleaned_data!$D$129</f>
        <v>High Street</v>
      </c>
      <c r="E129" s="27" t="n">
        <f aca="false">cleaned_data!$M$129</f>
        <v>914544.17</v>
      </c>
      <c r="F129" s="27" t="n">
        <f aca="false">multiple_regression!$O$18+multiple_regression!$O$19*cleaned_data!$F$129+multiple_regression!$O$20*cleaned_data!$E$129+multiple_regression!$O$21*cleaned_data!$I$129+multiple_regression!$O$22*cleaned_data!$H$129+multiple_regression!$O$23*dummy_variables!$D$129+multiple_regression!$O$24*dummy_variables!$E$129+multiple_regression!$O$25*dummy_variables!$F$129+multiple_regression!$O$26*dummy_variables!$G$129+multiple_regression!$O$27*dummy_variables!$H$129+multiple_regression!$O$28*dummy_variables!$I$129</f>
        <v>831027.948053308</v>
      </c>
      <c r="G129" s="27" t="n">
        <f aca="false">E129-F129</f>
        <v>83516.2219466917</v>
      </c>
    </row>
    <row r="130" customFormat="false" ht="15" hidden="false" customHeight="true" outlineLevel="0" collapsed="false">
      <c r="A130" s="5" t="str">
        <f aca="false">cleaned_data!$A$130</f>
        <v>STR-1032</v>
      </c>
      <c r="B130" s="26" t="str">
        <f aca="false">cleaned_data!$B$130</f>
        <v>2025-02-01</v>
      </c>
      <c r="C130" s="5" t="str">
        <f aca="false">cleaned_data!$C$130</f>
        <v>South</v>
      </c>
      <c r="D130" s="5" t="str">
        <f aca="false">cleaned_data!$D$130</f>
        <v>High Street</v>
      </c>
      <c r="E130" s="27" t="n">
        <f aca="false">cleaned_data!$M$130</f>
        <v>842439.67</v>
      </c>
      <c r="F130" s="27" t="n">
        <f aca="false">multiple_regression!$O$18+multiple_regression!$O$19*cleaned_data!$F$130+multiple_regression!$O$20*cleaned_data!$E$130+multiple_regression!$O$21*cleaned_data!$I$130+multiple_regression!$O$22*cleaned_data!$H$130+multiple_regression!$O$23*dummy_variables!$D$130+multiple_regression!$O$24*dummy_variables!$E$130+multiple_regression!$O$25*dummy_variables!$F$130+multiple_regression!$O$26*dummy_variables!$G$130+multiple_regression!$O$27*dummy_variables!$H$130+multiple_regression!$O$28*dummy_variables!$I$130</f>
        <v>867136.663909057</v>
      </c>
      <c r="G130" s="27" t="n">
        <f aca="false">E130-F130</f>
        <v>-24696.9939090566</v>
      </c>
    </row>
    <row r="131" customFormat="false" ht="15" hidden="false" customHeight="true" outlineLevel="0" collapsed="false">
      <c r="A131" s="5" t="str">
        <f aca="false">cleaned_data!$A$131</f>
        <v>STR-1032</v>
      </c>
      <c r="B131" s="26" t="str">
        <f aca="false">cleaned_data!$B$131</f>
        <v>2025-03-01</v>
      </c>
      <c r="C131" s="5" t="str">
        <f aca="false">cleaned_data!$C$131</f>
        <v>South</v>
      </c>
      <c r="D131" s="5" t="str">
        <f aca="false">cleaned_data!$D$131</f>
        <v>High Street</v>
      </c>
      <c r="E131" s="27" t="n">
        <f aca="false">cleaned_data!$M$131</f>
        <v>842157.92</v>
      </c>
      <c r="F131" s="27" t="n">
        <f aca="false">multiple_regression!$O$18+multiple_regression!$O$19*cleaned_data!$F$131+multiple_regression!$O$20*cleaned_data!$E$131+multiple_regression!$O$21*cleaned_data!$I$131+multiple_regression!$O$22*cleaned_data!$H$131+multiple_regression!$O$23*dummy_variables!$D$131+multiple_regression!$O$24*dummy_variables!$E$131+multiple_regression!$O$25*dummy_variables!$F$131+multiple_regression!$O$26*dummy_variables!$G$131+multiple_regression!$O$27*dummy_variables!$H$131+multiple_regression!$O$28*dummy_variables!$I$131</f>
        <v>787782.858339879</v>
      </c>
      <c r="G131" s="27" t="n">
        <f aca="false">E131-F131</f>
        <v>54375.0616601213</v>
      </c>
    </row>
    <row r="132" customFormat="false" ht="15" hidden="false" customHeight="true" outlineLevel="0" collapsed="false">
      <c r="A132" s="5" t="str">
        <f aca="false">cleaned_data!$A$132</f>
        <v>STR-1032</v>
      </c>
      <c r="B132" s="26" t="str">
        <f aca="false">cleaned_data!$B$132</f>
        <v>2025-04-01</v>
      </c>
      <c r="C132" s="5" t="str">
        <f aca="false">cleaned_data!$C$132</f>
        <v>South</v>
      </c>
      <c r="D132" s="5" t="str">
        <f aca="false">cleaned_data!$D$132</f>
        <v>High Street</v>
      </c>
      <c r="E132" s="27" t="n">
        <f aca="false">cleaned_data!$M$132</f>
        <v>697155.3</v>
      </c>
      <c r="F132" s="27" t="n">
        <f aca="false">multiple_regression!$O$18+multiple_regression!$O$19*cleaned_data!$F$132+multiple_regression!$O$20*cleaned_data!$E$132+multiple_regression!$O$21*cleaned_data!$I$132+multiple_regression!$O$22*cleaned_data!$H$132+multiple_regression!$O$23*dummy_variables!$D$132+multiple_regression!$O$24*dummy_variables!$E$132+multiple_regression!$O$25*dummy_variables!$F$132+multiple_regression!$O$26*dummy_variables!$G$132+multiple_regression!$O$27*dummy_variables!$H$132+multiple_regression!$O$28*dummy_variables!$I$132</f>
        <v>703930.04154968</v>
      </c>
      <c r="G132" s="27" t="n">
        <f aca="false">E132-F132</f>
        <v>-6774.74154968001</v>
      </c>
    </row>
    <row r="133" customFormat="false" ht="15" hidden="false" customHeight="true" outlineLevel="0" collapsed="false">
      <c r="A133" s="5" t="str">
        <f aca="false">cleaned_data!$A$133</f>
        <v>STR-1033</v>
      </c>
      <c r="B133" s="26" t="str">
        <f aca="false">cleaned_data!$B$133</f>
        <v>2025-01-01</v>
      </c>
      <c r="C133" s="5" t="str">
        <f aca="false">cleaned_data!$C$133</f>
        <v>East</v>
      </c>
      <c r="D133" s="5" t="str">
        <f aca="false">cleaned_data!$D$133</f>
        <v>High Street</v>
      </c>
      <c r="E133" s="27" t="n">
        <f aca="false">cleaned_data!$M$133</f>
        <v>849018.3</v>
      </c>
      <c r="F133" s="27" t="n">
        <f aca="false">multiple_regression!$O$18+multiple_regression!$O$19*cleaned_data!$F$133+multiple_regression!$O$20*cleaned_data!$E$133+multiple_regression!$O$21*cleaned_data!$I$133+multiple_regression!$O$22*cleaned_data!$H$133+multiple_regression!$O$23*dummy_variables!$D$133+multiple_regression!$O$24*dummy_variables!$E$133+multiple_regression!$O$25*dummy_variables!$F$133+multiple_regression!$O$26*dummy_variables!$G$133+multiple_regression!$O$27*dummy_variables!$H$133+multiple_regression!$O$28*dummy_variables!$I$133</f>
        <v>828235.670670906</v>
      </c>
      <c r="G133" s="27" t="n">
        <f aca="false">E133-F133</f>
        <v>20782.629329094</v>
      </c>
    </row>
    <row r="134" customFormat="false" ht="15" hidden="false" customHeight="true" outlineLevel="0" collapsed="false">
      <c r="A134" s="5" t="str">
        <f aca="false">cleaned_data!$A$134</f>
        <v>STR-1033</v>
      </c>
      <c r="B134" s="26" t="str">
        <f aca="false">cleaned_data!$B$134</f>
        <v>2025-02-01</v>
      </c>
      <c r="C134" s="5" t="str">
        <f aca="false">cleaned_data!$C$134</f>
        <v>East</v>
      </c>
      <c r="D134" s="5" t="str">
        <f aca="false">cleaned_data!$D$134</f>
        <v>High Street</v>
      </c>
      <c r="E134" s="27" t="n">
        <f aca="false">cleaned_data!$M$134</f>
        <v>801830.35</v>
      </c>
      <c r="F134" s="27" t="n">
        <f aca="false">multiple_regression!$O$18+multiple_regression!$O$19*cleaned_data!$F$134+multiple_regression!$O$20*cleaned_data!$E$134+multiple_regression!$O$21*cleaned_data!$I$134+multiple_regression!$O$22*cleaned_data!$H$134+multiple_regression!$O$23*dummy_variables!$D$134+multiple_regression!$O$24*dummy_variables!$E$134+multiple_regression!$O$25*dummy_variables!$F$134+multiple_regression!$O$26*dummy_variables!$G$134+multiple_regression!$O$27*dummy_variables!$H$134+multiple_regression!$O$28*dummy_variables!$I$134</f>
        <v>803232.286093517</v>
      </c>
      <c r="G134" s="27" t="n">
        <f aca="false">E134-F134</f>
        <v>-1401.93609351746</v>
      </c>
    </row>
    <row r="135" customFormat="false" ht="15" hidden="false" customHeight="true" outlineLevel="0" collapsed="false">
      <c r="A135" s="5" t="str">
        <f aca="false">cleaned_data!$A$135</f>
        <v>STR-1033</v>
      </c>
      <c r="B135" s="26" t="str">
        <f aca="false">cleaned_data!$B$135</f>
        <v>2025-03-01</v>
      </c>
      <c r="C135" s="5" t="str">
        <f aca="false">cleaned_data!$C$135</f>
        <v>East</v>
      </c>
      <c r="D135" s="5" t="str">
        <f aca="false">cleaned_data!$D$135</f>
        <v>High Street</v>
      </c>
      <c r="E135" s="27" t="n">
        <f aca="false">cleaned_data!$M$135</f>
        <v>725235.28</v>
      </c>
      <c r="F135" s="27" t="n">
        <f aca="false">multiple_regression!$O$18+multiple_regression!$O$19*cleaned_data!$F$135+multiple_regression!$O$20*cleaned_data!$E$135+multiple_regression!$O$21*cleaned_data!$I$135+multiple_regression!$O$22*cleaned_data!$H$135+multiple_regression!$O$23*dummy_variables!$D$135+multiple_regression!$O$24*dummy_variables!$E$135+multiple_regression!$O$25*dummy_variables!$F$135+multiple_regression!$O$26*dummy_variables!$G$135+multiple_regression!$O$27*dummy_variables!$H$135+multiple_regression!$O$28*dummy_variables!$I$135</f>
        <v>775421.205640255</v>
      </c>
      <c r="G135" s="27" t="n">
        <f aca="false">E135-F135</f>
        <v>-50185.9256402545</v>
      </c>
    </row>
    <row r="136" customFormat="false" ht="15" hidden="false" customHeight="true" outlineLevel="0" collapsed="false">
      <c r="A136" s="5" t="str">
        <f aca="false">cleaned_data!$A$136</f>
        <v>STR-1033</v>
      </c>
      <c r="B136" s="26" t="str">
        <f aca="false">cleaned_data!$B$136</f>
        <v>2025-04-01</v>
      </c>
      <c r="C136" s="5" t="str">
        <f aca="false">cleaned_data!$C$136</f>
        <v>East</v>
      </c>
      <c r="D136" s="5" t="str">
        <f aca="false">cleaned_data!$D$136</f>
        <v>High Street</v>
      </c>
      <c r="E136" s="27" t="n">
        <f aca="false">cleaned_data!$M$136</f>
        <v>811452.72</v>
      </c>
      <c r="F136" s="27" t="n">
        <f aca="false">multiple_regression!$O$18+multiple_regression!$O$19*cleaned_data!$F$136+multiple_regression!$O$20*cleaned_data!$E$136+multiple_regression!$O$21*cleaned_data!$I$136+multiple_regression!$O$22*cleaned_data!$H$136+multiple_regression!$O$23*dummy_variables!$D$136+multiple_regression!$O$24*dummy_variables!$E$136+multiple_regression!$O$25*dummy_variables!$F$136+multiple_regression!$O$26*dummy_variables!$G$136+multiple_regression!$O$27*dummy_variables!$H$136+multiple_regression!$O$28*dummy_variables!$I$136</f>
        <v>819269.344784315</v>
      </c>
      <c r="G136" s="27" t="n">
        <f aca="false">E136-F136</f>
        <v>-7816.62478431501</v>
      </c>
    </row>
    <row r="137" customFormat="false" ht="15" hidden="false" customHeight="true" outlineLevel="0" collapsed="false">
      <c r="A137" s="5" t="str">
        <f aca="false">cleaned_data!$A$137</f>
        <v>STR-1034</v>
      </c>
      <c r="B137" s="26" t="str">
        <f aca="false">cleaned_data!$B$137</f>
        <v>2025-01-01</v>
      </c>
      <c r="C137" s="5" t="str">
        <f aca="false">cleaned_data!$C$137</f>
        <v>North</v>
      </c>
      <c r="D137" s="5" t="str">
        <f aca="false">cleaned_data!$D$137</f>
        <v>High Street</v>
      </c>
      <c r="E137" s="27" t="n">
        <f aca="false">cleaned_data!$M$137</f>
        <v>527300.13</v>
      </c>
      <c r="F137" s="27" t="n">
        <f aca="false">multiple_regression!$O$18+multiple_regression!$O$19*cleaned_data!$F$137+multiple_regression!$O$20*cleaned_data!$E$137+multiple_regression!$O$21*cleaned_data!$I$137+multiple_regression!$O$22*cleaned_data!$H$137+multiple_regression!$O$23*dummy_variables!$D$137+multiple_regression!$O$24*dummy_variables!$E$137+multiple_regression!$O$25*dummy_variables!$F$137+multiple_regression!$O$26*dummy_variables!$G$137+multiple_regression!$O$27*dummy_variables!$H$137+multiple_regression!$O$28*dummy_variables!$I$137</f>
        <v>570751.102450612</v>
      </c>
      <c r="G137" s="27" t="n">
        <f aca="false">E137-F137</f>
        <v>-43450.972450612</v>
      </c>
    </row>
    <row r="138" customFormat="false" ht="15" hidden="false" customHeight="true" outlineLevel="0" collapsed="false">
      <c r="A138" s="5" t="str">
        <f aca="false">cleaned_data!$A$138</f>
        <v>STR-1034</v>
      </c>
      <c r="B138" s="26" t="str">
        <f aca="false">cleaned_data!$B$138</f>
        <v>2025-02-01</v>
      </c>
      <c r="C138" s="5" t="str">
        <f aca="false">cleaned_data!$C$138</f>
        <v>North</v>
      </c>
      <c r="D138" s="5" t="str">
        <f aca="false">cleaned_data!$D$138</f>
        <v>High Street</v>
      </c>
      <c r="E138" s="27" t="n">
        <f aca="false">cleaned_data!$M$138</f>
        <v>400831.65</v>
      </c>
      <c r="F138" s="27" t="n">
        <f aca="false">multiple_regression!$O$18+multiple_regression!$O$19*cleaned_data!$F$138+multiple_regression!$O$20*cleaned_data!$E$138+multiple_regression!$O$21*cleaned_data!$I$138+multiple_regression!$O$22*cleaned_data!$H$138+multiple_regression!$O$23*dummy_variables!$D$138+multiple_regression!$O$24*dummy_variables!$E$138+multiple_regression!$O$25*dummy_variables!$F$138+multiple_regression!$O$26*dummy_variables!$G$138+multiple_regression!$O$27*dummy_variables!$H$138+multiple_regression!$O$28*dummy_variables!$I$138</f>
        <v>455533.081141392</v>
      </c>
      <c r="G138" s="27" t="n">
        <f aca="false">E138-F138</f>
        <v>-54701.431141392</v>
      </c>
    </row>
    <row r="139" customFormat="false" ht="15" hidden="false" customHeight="true" outlineLevel="0" collapsed="false">
      <c r="A139" s="5" t="str">
        <f aca="false">cleaned_data!$A$139</f>
        <v>STR-1034</v>
      </c>
      <c r="B139" s="26" t="str">
        <f aca="false">cleaned_data!$B$139</f>
        <v>2025-03-01</v>
      </c>
      <c r="C139" s="5" t="str">
        <f aca="false">cleaned_data!$C$139</f>
        <v>North</v>
      </c>
      <c r="D139" s="5" t="str">
        <f aca="false">cleaned_data!$D$139</f>
        <v>High Street</v>
      </c>
      <c r="E139" s="27" t="n">
        <f aca="false">cleaned_data!$M$139</f>
        <v>593247.25</v>
      </c>
      <c r="F139" s="27" t="n">
        <f aca="false">multiple_regression!$O$18+multiple_regression!$O$19*cleaned_data!$F$139+multiple_regression!$O$20*cleaned_data!$E$139+multiple_regression!$O$21*cleaned_data!$I$139+multiple_regression!$O$22*cleaned_data!$H$139+multiple_regression!$O$23*dummy_variables!$D$139+multiple_regression!$O$24*dummy_variables!$E$139+multiple_regression!$O$25*dummy_variables!$F$139+multiple_regression!$O$26*dummy_variables!$G$139+multiple_regression!$O$27*dummy_variables!$H$139+multiple_regression!$O$28*dummy_variables!$I$139</f>
        <v>594920.059452783</v>
      </c>
      <c r="G139" s="27" t="n">
        <f aca="false">E139-F139</f>
        <v>-1672.80945278297</v>
      </c>
    </row>
    <row r="140" customFormat="false" ht="15" hidden="false" customHeight="true" outlineLevel="0" collapsed="false">
      <c r="A140" s="5" t="str">
        <f aca="false">cleaned_data!$A$140</f>
        <v>STR-1034</v>
      </c>
      <c r="B140" s="26" t="str">
        <f aca="false">cleaned_data!$B$140</f>
        <v>2025-04-01</v>
      </c>
      <c r="C140" s="5" t="str">
        <f aca="false">cleaned_data!$C$140</f>
        <v>North</v>
      </c>
      <c r="D140" s="5" t="str">
        <f aca="false">cleaned_data!$D$140</f>
        <v>High Street</v>
      </c>
      <c r="E140" s="27" t="n">
        <f aca="false">cleaned_data!$M$140</f>
        <v>529075.95</v>
      </c>
      <c r="F140" s="27" t="n">
        <f aca="false">multiple_regression!$O$18+multiple_regression!$O$19*cleaned_data!$F$140+multiple_regression!$O$20*cleaned_data!$E$140+multiple_regression!$O$21*cleaned_data!$I$140+multiple_regression!$O$22*cleaned_data!$H$140+multiple_regression!$O$23*dummy_variables!$D$140+multiple_regression!$O$24*dummy_variables!$E$140+multiple_regression!$O$25*dummy_variables!$F$140+multiple_regression!$O$26*dummy_variables!$G$140+multiple_regression!$O$27*dummy_variables!$H$140+multiple_regression!$O$28*dummy_variables!$I$140</f>
        <v>542637.717119788</v>
      </c>
      <c r="G140" s="27" t="n">
        <f aca="false">E140-F140</f>
        <v>-13561.7671197876</v>
      </c>
    </row>
    <row r="141" customFormat="false" ht="15" hidden="false" customHeight="true" outlineLevel="0" collapsed="false">
      <c r="A141" s="5" t="str">
        <f aca="false">cleaned_data!$A$141</f>
        <v>STR-1035</v>
      </c>
      <c r="B141" s="26" t="str">
        <f aca="false">cleaned_data!$B$141</f>
        <v>2025-01-01</v>
      </c>
      <c r="C141" s="5" t="str">
        <f aca="false">cleaned_data!$C$141</f>
        <v>South</v>
      </c>
      <c r="D141" s="5" t="str">
        <f aca="false">cleaned_data!$D$141</f>
        <v>Residential</v>
      </c>
      <c r="E141" s="27" t="n">
        <f aca="false">cleaned_data!$M$141</f>
        <v>633638.03</v>
      </c>
      <c r="F141" s="27" t="n">
        <f aca="false">multiple_regression!$O$18+multiple_regression!$O$19*cleaned_data!$F$141+multiple_regression!$O$20*cleaned_data!$E$141+multiple_regression!$O$21*cleaned_data!$I$141+multiple_regression!$O$22*cleaned_data!$H$141+multiple_regression!$O$23*dummy_variables!$D$141+multiple_regression!$O$24*dummy_variables!$E$141+multiple_regression!$O$25*dummy_variables!$F$141+multiple_regression!$O$26*dummy_variables!$G$141+multiple_regression!$O$27*dummy_variables!$H$141+multiple_regression!$O$28*dummy_variables!$I$141</f>
        <v>708813.845122549</v>
      </c>
      <c r="G141" s="27" t="n">
        <f aca="false">E141-F141</f>
        <v>-75175.8151225488</v>
      </c>
    </row>
    <row r="142" customFormat="false" ht="15" hidden="false" customHeight="true" outlineLevel="0" collapsed="false">
      <c r="A142" s="5" t="str">
        <f aca="false">cleaned_data!$A$142</f>
        <v>STR-1035</v>
      </c>
      <c r="B142" s="26" t="str">
        <f aca="false">cleaned_data!$B$142</f>
        <v>2025-02-01</v>
      </c>
      <c r="C142" s="5" t="str">
        <f aca="false">cleaned_data!$C$142</f>
        <v>South</v>
      </c>
      <c r="D142" s="5" t="str">
        <f aca="false">cleaned_data!$D$142</f>
        <v>Residential</v>
      </c>
      <c r="E142" s="27" t="n">
        <f aca="false">cleaned_data!$M$142</f>
        <v>743348.84</v>
      </c>
      <c r="F142" s="27" t="n">
        <f aca="false">multiple_regression!$O$18+multiple_regression!$O$19*cleaned_data!$F$142+multiple_regression!$O$20*cleaned_data!$E$142+multiple_regression!$O$21*cleaned_data!$I$142+multiple_regression!$O$22*cleaned_data!$H$142+multiple_regression!$O$23*dummy_variables!$D$142+multiple_regression!$O$24*dummy_variables!$E$142+multiple_regression!$O$25*dummy_variables!$F$142+multiple_regression!$O$26*dummy_variables!$G$142+multiple_regression!$O$27*dummy_variables!$H$142+multiple_regression!$O$28*dummy_variables!$I$142</f>
        <v>706573.855229178</v>
      </c>
      <c r="G142" s="27" t="n">
        <f aca="false">E142-F142</f>
        <v>36774.9847708215</v>
      </c>
    </row>
    <row r="143" customFormat="false" ht="15" hidden="false" customHeight="true" outlineLevel="0" collapsed="false">
      <c r="A143" s="5" t="str">
        <f aca="false">cleaned_data!$A$143</f>
        <v>STR-1035</v>
      </c>
      <c r="B143" s="26" t="str">
        <f aca="false">cleaned_data!$B$143</f>
        <v>2025-03-01</v>
      </c>
      <c r="C143" s="5" t="str">
        <f aca="false">cleaned_data!$C$143</f>
        <v>South</v>
      </c>
      <c r="D143" s="5" t="str">
        <f aca="false">cleaned_data!$D$143</f>
        <v>Residential</v>
      </c>
      <c r="E143" s="27" t="n">
        <f aca="false">cleaned_data!$M$143</f>
        <v>758827.64</v>
      </c>
      <c r="F143" s="27" t="n">
        <f aca="false">multiple_regression!$O$18+multiple_regression!$O$19*cleaned_data!$F$143+multiple_regression!$O$20*cleaned_data!$E$143+multiple_regression!$O$21*cleaned_data!$I$143+multiple_regression!$O$22*cleaned_data!$H$143+multiple_regression!$O$23*dummy_variables!$D$143+multiple_regression!$O$24*dummy_variables!$E$143+multiple_regression!$O$25*dummy_variables!$F$143+multiple_regression!$O$26*dummy_variables!$G$143+multiple_regression!$O$27*dummy_variables!$H$143+multiple_regression!$O$28*dummy_variables!$I$143</f>
        <v>699017.554423575</v>
      </c>
      <c r="G143" s="27" t="n">
        <f aca="false">E143-F143</f>
        <v>59810.0855764254</v>
      </c>
    </row>
    <row r="144" customFormat="false" ht="15" hidden="false" customHeight="true" outlineLevel="0" collapsed="false">
      <c r="A144" s="5" t="str">
        <f aca="false">cleaned_data!$A$144</f>
        <v>STR-1035</v>
      </c>
      <c r="B144" s="26" t="str">
        <f aca="false">cleaned_data!$B$144</f>
        <v>2025-04-01</v>
      </c>
      <c r="C144" s="5" t="str">
        <f aca="false">cleaned_data!$C$144</f>
        <v>South</v>
      </c>
      <c r="D144" s="5" t="str">
        <f aca="false">cleaned_data!$D$144</f>
        <v>Residential</v>
      </c>
      <c r="E144" s="27" t="n">
        <f aca="false">cleaned_data!$M$144</f>
        <v>646559.71</v>
      </c>
      <c r="F144" s="27" t="n">
        <f aca="false">multiple_regression!$O$18+multiple_regression!$O$19*cleaned_data!$F$144+multiple_regression!$O$20*cleaned_data!$E$144+multiple_regression!$O$21*cleaned_data!$I$144+multiple_regression!$O$22*cleaned_data!$H$144+multiple_regression!$O$23*dummy_variables!$D$144+multiple_regression!$O$24*dummy_variables!$E$144+multiple_regression!$O$25*dummy_variables!$F$144+multiple_regression!$O$26*dummy_variables!$G$144+multiple_regression!$O$27*dummy_variables!$H$144+multiple_regression!$O$28*dummy_variables!$I$144</f>
        <v>620561.353483699</v>
      </c>
      <c r="G144" s="27" t="n">
        <f aca="false">E144-F144</f>
        <v>25998.3565163007</v>
      </c>
    </row>
    <row r="145" customFormat="false" ht="15" hidden="false" customHeight="true" outlineLevel="0" collapsed="false">
      <c r="A145" s="5" t="str">
        <f aca="false">cleaned_data!$A$145</f>
        <v>STR-1036</v>
      </c>
      <c r="B145" s="26" t="str">
        <f aca="false">cleaned_data!$B$145</f>
        <v>2025-01-01</v>
      </c>
      <c r="C145" s="5" t="str">
        <f aca="false">cleaned_data!$C$145</f>
        <v>West</v>
      </c>
      <c r="D145" s="5" t="str">
        <f aca="false">cleaned_data!$D$145</f>
        <v>High Street</v>
      </c>
      <c r="E145" s="27" t="n">
        <f aca="false">cleaned_data!$M$145</f>
        <v>715890.53</v>
      </c>
      <c r="F145" s="27" t="n">
        <f aca="false">multiple_regression!$O$18+multiple_regression!$O$19*cleaned_data!$F$145+multiple_regression!$O$20*cleaned_data!$E$145+multiple_regression!$O$21*cleaned_data!$I$145+multiple_regression!$O$22*cleaned_data!$H$145+multiple_regression!$O$23*dummy_variables!$D$145+multiple_regression!$O$24*dummy_variables!$E$145+multiple_regression!$O$25*dummy_variables!$F$145+multiple_regression!$O$26*dummy_variables!$G$145+multiple_regression!$O$27*dummy_variables!$H$145+multiple_regression!$O$28*dummy_variables!$I$145</f>
        <v>674137.915852412</v>
      </c>
      <c r="G145" s="27" t="n">
        <f aca="false">E145-F145</f>
        <v>41752.6141475883</v>
      </c>
    </row>
    <row r="146" customFormat="false" ht="15" hidden="false" customHeight="true" outlineLevel="0" collapsed="false">
      <c r="A146" s="5" t="str">
        <f aca="false">cleaned_data!$A$146</f>
        <v>STR-1036</v>
      </c>
      <c r="B146" s="26" t="str">
        <f aca="false">cleaned_data!$B$146</f>
        <v>2025-02-01</v>
      </c>
      <c r="C146" s="5" t="str">
        <f aca="false">cleaned_data!$C$146</f>
        <v>West</v>
      </c>
      <c r="D146" s="5" t="str">
        <f aca="false">cleaned_data!$D$146</f>
        <v>High Street</v>
      </c>
      <c r="E146" s="27" t="n">
        <f aca="false">cleaned_data!$M$146</f>
        <v>715097.57</v>
      </c>
      <c r="F146" s="27" t="n">
        <f aca="false">multiple_regression!$O$18+multiple_regression!$O$19*cleaned_data!$F$146+multiple_regression!$O$20*cleaned_data!$E$146+multiple_regression!$O$21*cleaned_data!$I$146+multiple_regression!$O$22*cleaned_data!$H$146+multiple_regression!$O$23*dummy_variables!$D$146+multiple_regression!$O$24*dummy_variables!$E$146+multiple_regression!$O$25*dummy_variables!$F$146+multiple_regression!$O$26*dummy_variables!$G$146+multiple_regression!$O$27*dummy_variables!$H$146+multiple_regression!$O$28*dummy_variables!$I$146</f>
        <v>694414.461655117</v>
      </c>
      <c r="G146" s="27" t="n">
        <f aca="false">E146-F146</f>
        <v>20683.108344883</v>
      </c>
    </row>
    <row r="147" customFormat="false" ht="15" hidden="false" customHeight="true" outlineLevel="0" collapsed="false">
      <c r="A147" s="5" t="str">
        <f aca="false">cleaned_data!$A$147</f>
        <v>STR-1036</v>
      </c>
      <c r="B147" s="26" t="str">
        <f aca="false">cleaned_data!$B$147</f>
        <v>2025-03-01</v>
      </c>
      <c r="C147" s="5" t="str">
        <f aca="false">cleaned_data!$C$147</f>
        <v>West</v>
      </c>
      <c r="D147" s="5" t="str">
        <f aca="false">cleaned_data!$D$147</f>
        <v>High Street</v>
      </c>
      <c r="E147" s="27" t="n">
        <f aca="false">cleaned_data!$M$147</f>
        <v>682639.28</v>
      </c>
      <c r="F147" s="27" t="n">
        <f aca="false">multiple_regression!$O$18+multiple_regression!$O$19*cleaned_data!$F$147+multiple_regression!$O$20*cleaned_data!$E$147+multiple_regression!$O$21*cleaned_data!$I$147+multiple_regression!$O$22*cleaned_data!$H$147+multiple_regression!$O$23*dummy_variables!$D$147+multiple_regression!$O$24*dummy_variables!$E$147+multiple_regression!$O$25*dummy_variables!$F$147+multiple_regression!$O$26*dummy_variables!$G$147+multiple_regression!$O$27*dummy_variables!$H$147+multiple_regression!$O$28*dummy_variables!$I$147</f>
        <v>653174.784108556</v>
      </c>
      <c r="G147" s="27" t="n">
        <f aca="false">E147-F147</f>
        <v>29464.495891444</v>
      </c>
    </row>
    <row r="148" customFormat="false" ht="15" hidden="false" customHeight="true" outlineLevel="0" collapsed="false">
      <c r="A148" s="5" t="str">
        <f aca="false">cleaned_data!$A$148</f>
        <v>STR-1036</v>
      </c>
      <c r="B148" s="26" t="str">
        <f aca="false">cleaned_data!$B$148</f>
        <v>2025-04-01</v>
      </c>
      <c r="C148" s="5" t="str">
        <f aca="false">cleaned_data!$C$148</f>
        <v>West</v>
      </c>
      <c r="D148" s="5" t="str">
        <f aca="false">cleaned_data!$D$148</f>
        <v>High Street</v>
      </c>
      <c r="E148" s="27" t="n">
        <f aca="false">cleaned_data!$M$148</f>
        <v>695098.51</v>
      </c>
      <c r="F148" s="27" t="n">
        <f aca="false">multiple_regression!$O$18+multiple_regression!$O$19*cleaned_data!$F$148+multiple_regression!$O$20*cleaned_data!$E$148+multiple_regression!$O$21*cleaned_data!$I$148+multiple_regression!$O$22*cleaned_data!$H$148+multiple_regression!$O$23*dummy_variables!$D$148+multiple_regression!$O$24*dummy_variables!$E$148+multiple_regression!$O$25*dummy_variables!$F$148+multiple_regression!$O$26*dummy_variables!$G$148+multiple_regression!$O$27*dummy_variables!$H$148+multiple_regression!$O$28*dummy_variables!$I$148</f>
        <v>692517.341027868</v>
      </c>
      <c r="G148" s="27" t="n">
        <f aca="false">E148-F148</f>
        <v>2581.16897213203</v>
      </c>
    </row>
    <row r="149" customFormat="false" ht="15" hidden="false" customHeight="true" outlineLevel="0" collapsed="false">
      <c r="A149" s="5" t="str">
        <f aca="false">cleaned_data!$A$149</f>
        <v>STR-1037</v>
      </c>
      <c r="B149" s="26" t="str">
        <f aca="false">cleaned_data!$B$149</f>
        <v>2025-01-01</v>
      </c>
      <c r="C149" s="5" t="str">
        <f aca="false">cleaned_data!$C$149</f>
        <v>North</v>
      </c>
      <c r="D149" s="5" t="str">
        <f aca="false">cleaned_data!$D$149</f>
        <v>Residential</v>
      </c>
      <c r="E149" s="27" t="n">
        <f aca="false">cleaned_data!$M$149</f>
        <v>577732.57</v>
      </c>
      <c r="F149" s="27" t="n">
        <f aca="false">multiple_regression!$O$18+multiple_regression!$O$19*cleaned_data!$F$149+multiple_regression!$O$20*cleaned_data!$E$149+multiple_regression!$O$21*cleaned_data!$I$149+multiple_regression!$O$22*cleaned_data!$H$149+multiple_regression!$O$23*dummy_variables!$D$149+multiple_regression!$O$24*dummy_variables!$E$149+multiple_regression!$O$25*dummy_variables!$F$149+multiple_regression!$O$26*dummy_variables!$G$149+multiple_regression!$O$27*dummy_variables!$H$149+multiple_regression!$O$28*dummy_variables!$I$149</f>
        <v>605460.713001718</v>
      </c>
      <c r="G149" s="27" t="n">
        <f aca="false">E149-F149</f>
        <v>-27728.1430017175</v>
      </c>
    </row>
    <row r="150" customFormat="false" ht="15" hidden="false" customHeight="true" outlineLevel="0" collapsed="false">
      <c r="A150" s="5" t="str">
        <f aca="false">cleaned_data!$A$150</f>
        <v>STR-1037</v>
      </c>
      <c r="B150" s="26" t="str">
        <f aca="false">cleaned_data!$B$150</f>
        <v>2025-02-01</v>
      </c>
      <c r="C150" s="5" t="str">
        <f aca="false">cleaned_data!$C$150</f>
        <v>North</v>
      </c>
      <c r="D150" s="5" t="str">
        <f aca="false">cleaned_data!$D$150</f>
        <v>Residential</v>
      </c>
      <c r="E150" s="27" t="n">
        <f aca="false">cleaned_data!$M$150</f>
        <v>537058.33</v>
      </c>
      <c r="F150" s="27" t="n">
        <f aca="false">multiple_regression!$O$18+multiple_regression!$O$19*cleaned_data!$F$150+multiple_regression!$O$20*cleaned_data!$E$150+multiple_regression!$O$21*cleaned_data!$I$150+multiple_regression!$O$22*cleaned_data!$H$150+multiple_regression!$O$23*dummy_variables!$D$150+multiple_regression!$O$24*dummy_variables!$E$150+multiple_regression!$O$25*dummy_variables!$F$150+multiple_regression!$O$26*dummy_variables!$G$150+multiple_regression!$O$27*dummy_variables!$H$150+multiple_regression!$O$28*dummy_variables!$I$150</f>
        <v>562342.899194926</v>
      </c>
      <c r="G150" s="27" t="n">
        <f aca="false">E150-F150</f>
        <v>-25284.5691949262</v>
      </c>
    </row>
    <row r="151" customFormat="false" ht="15" hidden="false" customHeight="true" outlineLevel="0" collapsed="false">
      <c r="A151" s="5" t="str">
        <f aca="false">cleaned_data!$A$151</f>
        <v>STR-1037</v>
      </c>
      <c r="B151" s="26" t="str">
        <f aca="false">cleaned_data!$B$151</f>
        <v>2025-03-01</v>
      </c>
      <c r="C151" s="5" t="str">
        <f aca="false">cleaned_data!$C$151</f>
        <v>North</v>
      </c>
      <c r="D151" s="5" t="str">
        <f aca="false">cleaned_data!$D$151</f>
        <v>Residential</v>
      </c>
      <c r="E151" s="27" t="n">
        <f aca="false">cleaned_data!$M$151</f>
        <v>601568.87</v>
      </c>
      <c r="F151" s="27" t="n">
        <f aca="false">multiple_regression!$O$18+multiple_regression!$O$19*cleaned_data!$F$151+multiple_regression!$O$20*cleaned_data!$E$151+multiple_regression!$O$21*cleaned_data!$I$151+multiple_regression!$O$22*cleaned_data!$H$151+multiple_regression!$O$23*dummy_variables!$D$151+multiple_regression!$O$24*dummy_variables!$E$151+multiple_regression!$O$25*dummy_variables!$F$151+multiple_regression!$O$26*dummy_variables!$G$151+multiple_regression!$O$27*dummy_variables!$H$151+multiple_regression!$O$28*dummy_variables!$I$151</f>
        <v>602704.164325939</v>
      </c>
      <c r="G151" s="27" t="n">
        <f aca="false">E151-F151</f>
        <v>-1135.29432593868</v>
      </c>
    </row>
    <row r="152" customFormat="false" ht="15" hidden="false" customHeight="true" outlineLevel="0" collapsed="false">
      <c r="A152" s="5" t="str">
        <f aca="false">cleaned_data!$A$152</f>
        <v>STR-1037</v>
      </c>
      <c r="B152" s="26" t="str">
        <f aca="false">cleaned_data!$B$152</f>
        <v>2025-04-01</v>
      </c>
      <c r="C152" s="5" t="str">
        <f aca="false">cleaned_data!$C$152</f>
        <v>North</v>
      </c>
      <c r="D152" s="5" t="str">
        <f aca="false">cleaned_data!$D$152</f>
        <v>Residential</v>
      </c>
      <c r="E152" s="27" t="n">
        <f aca="false">cleaned_data!$M$152</f>
        <v>570964.84</v>
      </c>
      <c r="F152" s="27" t="n">
        <f aca="false">multiple_regression!$O$18+multiple_regression!$O$19*cleaned_data!$F$152+multiple_regression!$O$20*cleaned_data!$E$152+multiple_regression!$O$21*cleaned_data!$I$152+multiple_regression!$O$22*cleaned_data!$H$152+multiple_regression!$O$23*dummy_variables!$D$152+multiple_regression!$O$24*dummy_variables!$E$152+multiple_regression!$O$25*dummy_variables!$F$152+multiple_regression!$O$26*dummy_variables!$G$152+multiple_regression!$O$27*dummy_variables!$H$152+multiple_regression!$O$28*dummy_variables!$I$152</f>
        <v>563393.681290757</v>
      </c>
      <c r="G152" s="27" t="n">
        <f aca="false">E152-F152</f>
        <v>7571.15870924329</v>
      </c>
    </row>
    <row r="153" customFormat="false" ht="15" hidden="false" customHeight="true" outlineLevel="0" collapsed="false">
      <c r="A153" s="5" t="str">
        <f aca="false">cleaned_data!$A$153</f>
        <v>STR-1038</v>
      </c>
      <c r="B153" s="26" t="str">
        <f aca="false">cleaned_data!$B$153</f>
        <v>2025-01-01</v>
      </c>
      <c r="C153" s="5" t="str">
        <f aca="false">cleaned_data!$C$153</f>
        <v>South</v>
      </c>
      <c r="D153" s="5" t="str">
        <f aca="false">cleaned_data!$D$153</f>
        <v>Mall</v>
      </c>
      <c r="E153" s="27" t="n">
        <f aca="false">cleaned_data!$M$153</f>
        <v>614024.91</v>
      </c>
      <c r="F153" s="27" t="n">
        <f aca="false">multiple_regression!$O$18+multiple_regression!$O$19*cleaned_data!$F$153+multiple_regression!$O$20*cleaned_data!$E$153+multiple_regression!$O$21*cleaned_data!$I$153+multiple_regression!$O$22*cleaned_data!$H$153+multiple_regression!$O$23*dummy_variables!$D$153+multiple_regression!$O$24*dummy_variables!$E$153+multiple_regression!$O$25*dummy_variables!$F$153+multiple_regression!$O$26*dummy_variables!$G$153+multiple_regression!$O$27*dummy_variables!$H$153+multiple_regression!$O$28*dummy_variables!$I$153</f>
        <v>663122.837139354</v>
      </c>
      <c r="G153" s="27" t="n">
        <f aca="false">E153-F153</f>
        <v>-49097.9271393536</v>
      </c>
    </row>
    <row r="154" customFormat="false" ht="15" hidden="false" customHeight="true" outlineLevel="0" collapsed="false">
      <c r="A154" s="5" t="str">
        <f aca="false">cleaned_data!$A$154</f>
        <v>STR-1038</v>
      </c>
      <c r="B154" s="26" t="str">
        <f aca="false">cleaned_data!$B$154</f>
        <v>2025-02-01</v>
      </c>
      <c r="C154" s="5" t="str">
        <f aca="false">cleaned_data!$C$154</f>
        <v>South</v>
      </c>
      <c r="D154" s="5" t="str">
        <f aca="false">cleaned_data!$D$154</f>
        <v>Mall</v>
      </c>
      <c r="E154" s="27" t="n">
        <f aca="false">cleaned_data!$M$154</f>
        <v>712868.35</v>
      </c>
      <c r="F154" s="27" t="n">
        <f aca="false">multiple_regression!$O$18+multiple_regression!$O$19*cleaned_data!$F$154+multiple_regression!$O$20*cleaned_data!$E$154+multiple_regression!$O$21*cleaned_data!$I$154+multiple_regression!$O$22*cleaned_data!$H$154+multiple_regression!$O$23*dummy_variables!$D$154+multiple_regression!$O$24*dummy_variables!$E$154+multiple_regression!$O$25*dummy_variables!$F$154+multiple_regression!$O$26*dummy_variables!$G$154+multiple_regression!$O$27*dummy_variables!$H$154+multiple_regression!$O$28*dummy_variables!$I$154</f>
        <v>710237.219842025</v>
      </c>
      <c r="G154" s="27" t="n">
        <f aca="false">E154-F154</f>
        <v>2631.13015797536</v>
      </c>
    </row>
    <row r="155" customFormat="false" ht="15" hidden="false" customHeight="true" outlineLevel="0" collapsed="false">
      <c r="A155" s="5" t="str">
        <f aca="false">cleaned_data!$A$155</f>
        <v>STR-1038</v>
      </c>
      <c r="B155" s="26" t="str">
        <f aca="false">cleaned_data!$B$155</f>
        <v>2025-03-01</v>
      </c>
      <c r="C155" s="5" t="str">
        <f aca="false">cleaned_data!$C$155</f>
        <v>South</v>
      </c>
      <c r="D155" s="5" t="str">
        <f aca="false">cleaned_data!$D$155</f>
        <v>Mall</v>
      </c>
      <c r="E155" s="27" t="n">
        <f aca="false">cleaned_data!$M$155</f>
        <v>696744.15</v>
      </c>
      <c r="F155" s="27" t="n">
        <f aca="false">multiple_regression!$O$18+multiple_regression!$O$19*cleaned_data!$F$155+multiple_regression!$O$20*cleaned_data!$E$155+multiple_regression!$O$21*cleaned_data!$I$155+multiple_regression!$O$22*cleaned_data!$H$155+multiple_regression!$O$23*dummy_variables!$D$155+multiple_regression!$O$24*dummy_variables!$E$155+multiple_regression!$O$25*dummy_variables!$F$155+multiple_regression!$O$26*dummy_variables!$G$155+multiple_regression!$O$27*dummy_variables!$H$155+multiple_regression!$O$28*dummy_variables!$I$155</f>
        <v>671004.274244816</v>
      </c>
      <c r="G155" s="27" t="n">
        <f aca="false">E155-F155</f>
        <v>25739.8757551839</v>
      </c>
    </row>
    <row r="156" customFormat="false" ht="15" hidden="false" customHeight="true" outlineLevel="0" collapsed="false">
      <c r="A156" s="5" t="str">
        <f aca="false">cleaned_data!$A$156</f>
        <v>STR-1038</v>
      </c>
      <c r="B156" s="26" t="str">
        <f aca="false">cleaned_data!$B$156</f>
        <v>2025-04-01</v>
      </c>
      <c r="C156" s="5" t="str">
        <f aca="false">cleaned_data!$C$156</f>
        <v>South</v>
      </c>
      <c r="D156" s="5" t="str">
        <f aca="false">cleaned_data!$D$156</f>
        <v>Mall</v>
      </c>
      <c r="E156" s="27" t="n">
        <f aca="false">cleaned_data!$M$156</f>
        <v>725847.99</v>
      </c>
      <c r="F156" s="27" t="n">
        <f aca="false">multiple_regression!$O$18+multiple_regression!$O$19*cleaned_data!$F$156+multiple_regression!$O$20*cleaned_data!$E$156+multiple_regression!$O$21*cleaned_data!$I$156+multiple_regression!$O$22*cleaned_data!$H$156+multiple_regression!$O$23*dummy_variables!$D$156+multiple_regression!$O$24*dummy_variables!$E$156+multiple_regression!$O$25*dummy_variables!$F$156+multiple_regression!$O$26*dummy_variables!$G$156+multiple_regression!$O$27*dummy_variables!$H$156+multiple_regression!$O$28*dummy_variables!$I$156</f>
        <v>716741.35693337</v>
      </c>
      <c r="G156" s="27" t="n">
        <f aca="false">E156-F156</f>
        <v>9106.63306663011</v>
      </c>
    </row>
    <row r="157" customFormat="false" ht="15" hidden="false" customHeight="true" outlineLevel="0" collapsed="false">
      <c r="A157" s="5" t="str">
        <f aca="false">cleaned_data!$A$157</f>
        <v>STR-1039</v>
      </c>
      <c r="B157" s="26" t="str">
        <f aca="false">cleaned_data!$B$157</f>
        <v>2025-01-01</v>
      </c>
      <c r="C157" s="5" t="str">
        <f aca="false">cleaned_data!$C$157</f>
        <v>East</v>
      </c>
      <c r="D157" s="5" t="str">
        <f aca="false">cleaned_data!$D$157</f>
        <v>High Street</v>
      </c>
      <c r="E157" s="27" t="n">
        <f aca="false">cleaned_data!$M$157</f>
        <v>785028.25</v>
      </c>
      <c r="F157" s="27" t="n">
        <f aca="false">multiple_regression!$O$18+multiple_regression!$O$19*cleaned_data!$F$157+multiple_regression!$O$20*cleaned_data!$E$157+multiple_regression!$O$21*cleaned_data!$I$157+multiple_regression!$O$22*cleaned_data!$H$157+multiple_regression!$O$23*dummy_variables!$D$157+multiple_regression!$O$24*dummy_variables!$E$157+multiple_regression!$O$25*dummy_variables!$F$157+multiple_regression!$O$26*dummy_variables!$G$157+multiple_regression!$O$27*dummy_variables!$H$157+multiple_regression!$O$28*dummy_variables!$I$157</f>
        <v>792600.875904885</v>
      </c>
      <c r="G157" s="27" t="n">
        <f aca="false">E157-F157</f>
        <v>-7572.62590488454</v>
      </c>
    </row>
    <row r="158" customFormat="false" ht="15" hidden="false" customHeight="true" outlineLevel="0" collapsed="false">
      <c r="A158" s="5" t="str">
        <f aca="false">cleaned_data!$A$158</f>
        <v>STR-1039</v>
      </c>
      <c r="B158" s="26" t="str">
        <f aca="false">cleaned_data!$B$158</f>
        <v>2025-02-01</v>
      </c>
      <c r="C158" s="5" t="str">
        <f aca="false">cleaned_data!$C$158</f>
        <v>East</v>
      </c>
      <c r="D158" s="5" t="str">
        <f aca="false">cleaned_data!$D$158</f>
        <v>High Street</v>
      </c>
      <c r="E158" s="27" t="n">
        <f aca="false">cleaned_data!$M$158</f>
        <v>698492.67</v>
      </c>
      <c r="F158" s="27" t="n">
        <f aca="false">multiple_regression!$O$18+multiple_regression!$O$19*cleaned_data!$F$158+multiple_regression!$O$20*cleaned_data!$E$158+multiple_regression!$O$21*cleaned_data!$I$158+multiple_regression!$O$22*cleaned_data!$H$158+multiple_regression!$O$23*dummy_variables!$D$158+multiple_regression!$O$24*dummy_variables!$E$158+multiple_regression!$O$25*dummy_variables!$F$158+multiple_regression!$O$26*dummy_variables!$G$158+multiple_regression!$O$27*dummy_variables!$H$158+multiple_regression!$O$28*dummy_variables!$I$158</f>
        <v>685216.271557976</v>
      </c>
      <c r="G158" s="27" t="n">
        <f aca="false">E158-F158</f>
        <v>13276.3984420244</v>
      </c>
    </row>
    <row r="159" customFormat="false" ht="15" hidden="false" customHeight="true" outlineLevel="0" collapsed="false">
      <c r="A159" s="5" t="str">
        <f aca="false">cleaned_data!$A$159</f>
        <v>STR-1039</v>
      </c>
      <c r="B159" s="26" t="str">
        <f aca="false">cleaned_data!$B$159</f>
        <v>2025-03-01</v>
      </c>
      <c r="C159" s="5" t="str">
        <f aca="false">cleaned_data!$C$159</f>
        <v>East</v>
      </c>
      <c r="D159" s="5" t="str">
        <f aca="false">cleaned_data!$D$159</f>
        <v>High Street</v>
      </c>
      <c r="E159" s="27" t="n">
        <f aca="false">cleaned_data!$M$159</f>
        <v>685830.24</v>
      </c>
      <c r="F159" s="27" t="n">
        <f aca="false">multiple_regression!$O$18+multiple_regression!$O$19*cleaned_data!$F$159+multiple_regression!$O$20*cleaned_data!$E$159+multiple_regression!$O$21*cleaned_data!$I$159+multiple_regression!$O$22*cleaned_data!$H$159+multiple_regression!$O$23*dummy_variables!$D$159+multiple_regression!$O$24*dummy_variables!$E$159+multiple_regression!$O$25*dummy_variables!$F$159+multiple_regression!$O$26*dummy_variables!$G$159+multiple_regression!$O$27*dummy_variables!$H$159+multiple_regression!$O$28*dummy_variables!$I$159</f>
        <v>715668.666982424</v>
      </c>
      <c r="G159" s="27" t="n">
        <f aca="false">E159-F159</f>
        <v>-29838.4269824235</v>
      </c>
    </row>
    <row r="160" customFormat="false" ht="15" hidden="false" customHeight="true" outlineLevel="0" collapsed="false">
      <c r="A160" s="5" t="str">
        <f aca="false">cleaned_data!$A$160</f>
        <v>STR-1039</v>
      </c>
      <c r="B160" s="26" t="str">
        <f aca="false">cleaned_data!$B$160</f>
        <v>2025-04-01</v>
      </c>
      <c r="C160" s="5" t="str">
        <f aca="false">cleaned_data!$C$160</f>
        <v>East</v>
      </c>
      <c r="D160" s="5" t="str">
        <f aca="false">cleaned_data!$D$160</f>
        <v>High Street</v>
      </c>
      <c r="E160" s="27" t="n">
        <f aca="false">cleaned_data!$M$160</f>
        <v>702318.94</v>
      </c>
      <c r="F160" s="27" t="n">
        <f aca="false">multiple_regression!$O$18+multiple_regression!$O$19*cleaned_data!$F$160+multiple_regression!$O$20*cleaned_data!$E$160+multiple_regression!$O$21*cleaned_data!$I$160+multiple_regression!$O$22*cleaned_data!$H$160+multiple_regression!$O$23*dummy_variables!$D$160+multiple_regression!$O$24*dummy_variables!$E$160+multiple_regression!$O$25*dummy_variables!$F$160+multiple_regression!$O$26*dummy_variables!$G$160+multiple_regression!$O$27*dummy_variables!$H$160+multiple_regression!$O$28*dummy_variables!$I$160</f>
        <v>699351.103028233</v>
      </c>
      <c r="G160" s="27" t="n">
        <f aca="false">E160-F160</f>
        <v>2967.83697176678</v>
      </c>
    </row>
    <row r="161" customFormat="false" ht="15" hidden="false" customHeight="true" outlineLevel="0" collapsed="false">
      <c r="A161" s="5" t="str">
        <f aca="false">cleaned_data!$A$161</f>
        <v>STR-1040</v>
      </c>
      <c r="B161" s="26" t="str">
        <f aca="false">cleaned_data!$B$161</f>
        <v>2025-01-01</v>
      </c>
      <c r="C161" s="5" t="str">
        <f aca="false">cleaned_data!$C$161</f>
        <v>North</v>
      </c>
      <c r="D161" s="5" t="str">
        <f aca="false">cleaned_data!$D$161</f>
        <v>Mall</v>
      </c>
      <c r="E161" s="27" t="n">
        <f aca="false">cleaned_data!$M$161</f>
        <v>700078.32</v>
      </c>
      <c r="F161" s="27" t="n">
        <f aca="false">multiple_regression!$O$18+multiple_regression!$O$19*cleaned_data!$F$161+multiple_regression!$O$20*cleaned_data!$E$161+multiple_regression!$O$21*cleaned_data!$I$161+multiple_regression!$O$22*cleaned_data!$H$161+multiple_regression!$O$23*dummy_variables!$D$161+multiple_regression!$O$24*dummy_variables!$E$161+multiple_regression!$O$25*dummy_variables!$F$161+multiple_regression!$O$26*dummy_variables!$G$161+multiple_regression!$O$27*dummy_variables!$H$161+multiple_regression!$O$28*dummy_variables!$I$161</f>
        <v>719700.045660524</v>
      </c>
      <c r="G161" s="27" t="n">
        <f aca="false">E161-F161</f>
        <v>-19621.7256605235</v>
      </c>
    </row>
    <row r="162" customFormat="false" ht="15" hidden="false" customHeight="true" outlineLevel="0" collapsed="false">
      <c r="A162" s="5" t="str">
        <f aca="false">cleaned_data!$A$162</f>
        <v>STR-1040</v>
      </c>
      <c r="B162" s="26" t="str">
        <f aca="false">cleaned_data!$B$162</f>
        <v>2025-02-01</v>
      </c>
      <c r="C162" s="5" t="str">
        <f aca="false">cleaned_data!$C$162</f>
        <v>North</v>
      </c>
      <c r="D162" s="5" t="str">
        <f aca="false">cleaned_data!$D$162</f>
        <v>Mall</v>
      </c>
      <c r="E162" s="27" t="n">
        <f aca="false">cleaned_data!$M$162</f>
        <v>602002.32</v>
      </c>
      <c r="F162" s="27" t="n">
        <f aca="false">multiple_regression!$O$18+multiple_regression!$O$19*cleaned_data!$F$162+multiple_regression!$O$20*cleaned_data!$E$162+multiple_regression!$O$21*cleaned_data!$I$162+multiple_regression!$O$22*cleaned_data!$H$162+multiple_regression!$O$23*dummy_variables!$D$162+multiple_regression!$O$24*dummy_variables!$E$162+multiple_regression!$O$25*dummy_variables!$F$162+multiple_regression!$O$26*dummy_variables!$G$162+multiple_regression!$O$27*dummy_variables!$H$162+multiple_regression!$O$28*dummy_variables!$I$162</f>
        <v>634239.804053833</v>
      </c>
      <c r="G162" s="27" t="n">
        <f aca="false">E162-F162</f>
        <v>-32237.4840538329</v>
      </c>
    </row>
    <row r="163" customFormat="false" ht="15" hidden="false" customHeight="true" outlineLevel="0" collapsed="false">
      <c r="A163" s="5" t="str">
        <f aca="false">cleaned_data!$A$163</f>
        <v>STR-1040</v>
      </c>
      <c r="B163" s="26" t="str">
        <f aca="false">cleaned_data!$B$163</f>
        <v>2025-03-01</v>
      </c>
      <c r="C163" s="5" t="str">
        <f aca="false">cleaned_data!$C$163</f>
        <v>North</v>
      </c>
      <c r="D163" s="5" t="str">
        <f aca="false">cleaned_data!$D$163</f>
        <v>Mall</v>
      </c>
      <c r="E163" s="27" t="n">
        <f aca="false">cleaned_data!$M$163</f>
        <v>724216.07</v>
      </c>
      <c r="F163" s="27" t="n">
        <f aca="false">multiple_regression!$O$18+multiple_regression!$O$19*cleaned_data!$F$163+multiple_regression!$O$20*cleaned_data!$E$163+multiple_regression!$O$21*cleaned_data!$I$163+multiple_regression!$O$22*cleaned_data!$H$163+multiple_regression!$O$23*dummy_variables!$D$163+multiple_regression!$O$24*dummy_variables!$E$163+multiple_regression!$O$25*dummy_variables!$F$163+multiple_regression!$O$26*dummy_variables!$G$163+multiple_regression!$O$27*dummy_variables!$H$163+multiple_regression!$O$28*dummy_variables!$I$163</f>
        <v>665743.200457927</v>
      </c>
      <c r="G163" s="27" t="n">
        <f aca="false">E163-F163</f>
        <v>58472.869542073</v>
      </c>
    </row>
    <row r="164" customFormat="false" ht="15" hidden="false" customHeight="true" outlineLevel="0" collapsed="false">
      <c r="A164" s="5" t="str">
        <f aca="false">cleaned_data!$A$164</f>
        <v>STR-1040</v>
      </c>
      <c r="B164" s="26" t="str">
        <f aca="false">cleaned_data!$B$164</f>
        <v>2025-04-01</v>
      </c>
      <c r="C164" s="5" t="str">
        <f aca="false">cleaned_data!$C$164</f>
        <v>North</v>
      </c>
      <c r="D164" s="5" t="str">
        <f aca="false">cleaned_data!$D$164</f>
        <v>Mall</v>
      </c>
      <c r="E164" s="27" t="n">
        <f aca="false">cleaned_data!$M$164</f>
        <v>620973.03</v>
      </c>
      <c r="F164" s="27" t="n">
        <f aca="false">multiple_regression!$O$18+multiple_regression!$O$19*cleaned_data!$F$164+multiple_regression!$O$20*cleaned_data!$E$164+multiple_regression!$O$21*cleaned_data!$I$164+multiple_regression!$O$22*cleaned_data!$H$164+multiple_regression!$O$23*dummy_variables!$D$164+multiple_regression!$O$24*dummy_variables!$E$164+multiple_regression!$O$25*dummy_variables!$F$164+multiple_regression!$O$26*dummy_variables!$G$164+multiple_regression!$O$27*dummy_variables!$H$164+multiple_regression!$O$28*dummy_variables!$I$164</f>
        <v>574624.068911266</v>
      </c>
      <c r="G164" s="27" t="n">
        <f aca="false">E164-F164</f>
        <v>46348.9610887338</v>
      </c>
    </row>
    <row r="165" customFormat="false" ht="15" hidden="false" customHeight="true" outlineLevel="0" collapsed="false">
      <c r="A165" s="5" t="str">
        <f aca="false">cleaned_data!$A$165</f>
        <v>STR-1041</v>
      </c>
      <c r="B165" s="26" t="str">
        <f aca="false">cleaned_data!$B$165</f>
        <v>2025-01-01</v>
      </c>
      <c r="C165" s="5" t="str">
        <f aca="false">cleaned_data!$C$165</f>
        <v>South</v>
      </c>
      <c r="D165" s="5" t="str">
        <f aca="false">cleaned_data!$D$165</f>
        <v>High Street</v>
      </c>
      <c r="E165" s="27" t="n">
        <f aca="false">cleaned_data!$M$165</f>
        <v>650480.06</v>
      </c>
      <c r="F165" s="27" t="n">
        <f aca="false">multiple_regression!$O$18+multiple_regression!$O$19*cleaned_data!$F$165+multiple_regression!$O$20*cleaned_data!$E$165+multiple_regression!$O$21*cleaned_data!$I$165+multiple_regression!$O$22*cleaned_data!$H$165+multiple_regression!$O$23*dummy_variables!$D$165+multiple_regression!$O$24*dummy_variables!$E$165+multiple_regression!$O$25*dummy_variables!$F$165+multiple_regression!$O$26*dummy_variables!$G$165+multiple_regression!$O$27*dummy_variables!$H$165+multiple_regression!$O$28*dummy_variables!$I$165</f>
        <v>703546.665940456</v>
      </c>
      <c r="G165" s="27" t="n">
        <f aca="false">E165-F165</f>
        <v>-53066.6059404558</v>
      </c>
    </row>
    <row r="166" customFormat="false" ht="15" hidden="false" customHeight="true" outlineLevel="0" collapsed="false">
      <c r="A166" s="5" t="str">
        <f aca="false">cleaned_data!$A$166</f>
        <v>STR-1041</v>
      </c>
      <c r="B166" s="26" t="str">
        <f aca="false">cleaned_data!$B$166</f>
        <v>2025-02-01</v>
      </c>
      <c r="C166" s="5" t="str">
        <f aca="false">cleaned_data!$C$166</f>
        <v>South</v>
      </c>
      <c r="D166" s="5" t="str">
        <f aca="false">cleaned_data!$D$166</f>
        <v>High Street</v>
      </c>
      <c r="E166" s="27" t="n">
        <f aca="false">cleaned_data!$M$166</f>
        <v>778298.88</v>
      </c>
      <c r="F166" s="27" t="n">
        <f aca="false">multiple_regression!$O$18+multiple_regression!$O$19*cleaned_data!$F$166+multiple_regression!$O$20*cleaned_data!$E$166+multiple_regression!$O$21*cleaned_data!$I$166+multiple_regression!$O$22*cleaned_data!$H$166+multiple_regression!$O$23*dummy_variables!$D$166+multiple_regression!$O$24*dummy_variables!$E$166+multiple_regression!$O$25*dummy_variables!$F$166+multiple_regression!$O$26*dummy_variables!$G$166+multiple_regression!$O$27*dummy_variables!$H$166+multiple_regression!$O$28*dummy_variables!$I$166</f>
        <v>712273.752098424</v>
      </c>
      <c r="G166" s="27" t="n">
        <f aca="false">E166-F166</f>
        <v>66025.1279015763</v>
      </c>
    </row>
    <row r="167" customFormat="false" ht="15" hidden="false" customHeight="true" outlineLevel="0" collapsed="false">
      <c r="A167" s="5" t="str">
        <f aca="false">cleaned_data!$A$167</f>
        <v>STR-1041</v>
      </c>
      <c r="B167" s="26" t="str">
        <f aca="false">cleaned_data!$B$167</f>
        <v>2025-03-01</v>
      </c>
      <c r="C167" s="5" t="str">
        <f aca="false">cleaned_data!$C$167</f>
        <v>South</v>
      </c>
      <c r="D167" s="5" t="str">
        <f aca="false">cleaned_data!$D$167</f>
        <v>High Street</v>
      </c>
      <c r="E167" s="27" t="n">
        <f aca="false">cleaned_data!$M$167</f>
        <v>677096.71</v>
      </c>
      <c r="F167" s="27" t="n">
        <f aca="false">multiple_regression!$O$18+multiple_regression!$O$19*cleaned_data!$F$167+multiple_regression!$O$20*cleaned_data!$E$167+multiple_regression!$O$21*cleaned_data!$I$167+multiple_regression!$O$22*cleaned_data!$H$167+multiple_regression!$O$23*dummy_variables!$D$167+multiple_regression!$O$24*dummy_variables!$E$167+multiple_regression!$O$25*dummy_variables!$F$167+multiple_regression!$O$26*dummy_variables!$G$167+multiple_regression!$O$27*dummy_variables!$H$167+multiple_regression!$O$28*dummy_variables!$I$167</f>
        <v>689011.926433949</v>
      </c>
      <c r="G167" s="27" t="n">
        <f aca="false">E167-F167</f>
        <v>-11915.216433949</v>
      </c>
    </row>
    <row r="168" customFormat="false" ht="15" hidden="false" customHeight="true" outlineLevel="0" collapsed="false">
      <c r="A168" s="5" t="str">
        <f aca="false">cleaned_data!$A$168</f>
        <v>STR-1041</v>
      </c>
      <c r="B168" s="26" t="str">
        <f aca="false">cleaned_data!$B$168</f>
        <v>2025-04-01</v>
      </c>
      <c r="C168" s="5" t="str">
        <f aca="false">cleaned_data!$C$168</f>
        <v>South</v>
      </c>
      <c r="D168" s="5" t="str">
        <f aca="false">cleaned_data!$D$168</f>
        <v>High Street</v>
      </c>
      <c r="E168" s="27" t="n">
        <f aca="false">cleaned_data!$M$168</f>
        <v>692008.64</v>
      </c>
      <c r="F168" s="27" t="n">
        <f aca="false">multiple_regression!$O$18+multiple_regression!$O$19*cleaned_data!$F$168+multiple_regression!$O$20*cleaned_data!$E$168+multiple_regression!$O$21*cleaned_data!$I$168+multiple_regression!$O$22*cleaned_data!$H$168+multiple_regression!$O$23*dummy_variables!$D$168+multiple_regression!$O$24*dummy_variables!$E$168+multiple_regression!$O$25*dummy_variables!$F$168+multiple_regression!$O$26*dummy_variables!$G$168+multiple_regression!$O$27*dummy_variables!$H$168+multiple_regression!$O$28*dummy_variables!$I$168</f>
        <v>712511.629929076</v>
      </c>
      <c r="G168" s="27" t="n">
        <f aca="false">E168-F168</f>
        <v>-20502.9899290755</v>
      </c>
    </row>
    <row r="169" customFormat="false" ht="15" hidden="false" customHeight="true" outlineLevel="0" collapsed="false">
      <c r="A169" s="5" t="str">
        <f aca="false">cleaned_data!$A$169</f>
        <v>STR-1042</v>
      </c>
      <c r="B169" s="26" t="str">
        <f aca="false">cleaned_data!$B$169</f>
        <v>2025-01-01</v>
      </c>
      <c r="C169" s="5" t="str">
        <f aca="false">cleaned_data!$C$169</f>
        <v>North</v>
      </c>
      <c r="D169" s="5" t="str">
        <f aca="false">cleaned_data!$D$169</f>
        <v>Mall</v>
      </c>
      <c r="E169" s="27" t="n">
        <f aca="false">cleaned_data!$M$169</f>
        <v>825797.91</v>
      </c>
      <c r="F169" s="27" t="n">
        <f aca="false">multiple_regression!$O$18+multiple_regression!$O$19*cleaned_data!$F$169+multiple_regression!$O$20*cleaned_data!$E$169+multiple_regression!$O$21*cleaned_data!$I$169+multiple_regression!$O$22*cleaned_data!$H$169+multiple_regression!$O$23*dummy_variables!$D$169+multiple_regression!$O$24*dummy_variables!$E$169+multiple_regression!$O$25*dummy_variables!$F$169+multiple_regression!$O$26*dummy_variables!$G$169+multiple_regression!$O$27*dummy_variables!$H$169+multiple_regression!$O$28*dummy_variables!$I$169</f>
        <v>787448.690379721</v>
      </c>
      <c r="G169" s="27" t="n">
        <f aca="false">E169-F169</f>
        <v>38349.2196202794</v>
      </c>
    </row>
    <row r="170" customFormat="false" ht="15" hidden="false" customHeight="true" outlineLevel="0" collapsed="false">
      <c r="A170" s="5" t="str">
        <f aca="false">cleaned_data!$A$170</f>
        <v>STR-1042</v>
      </c>
      <c r="B170" s="26" t="str">
        <f aca="false">cleaned_data!$B$170</f>
        <v>2025-02-01</v>
      </c>
      <c r="C170" s="5" t="str">
        <f aca="false">cleaned_data!$C$170</f>
        <v>North</v>
      </c>
      <c r="D170" s="5" t="str">
        <f aca="false">cleaned_data!$D$170</f>
        <v>Mall</v>
      </c>
      <c r="E170" s="27" t="n">
        <f aca="false">cleaned_data!$M$170</f>
        <v>706285.52</v>
      </c>
      <c r="F170" s="27" t="n">
        <f aca="false">multiple_regression!$O$18+multiple_regression!$O$19*cleaned_data!$F$170+multiple_regression!$O$20*cleaned_data!$E$170+multiple_regression!$O$21*cleaned_data!$I$170+multiple_regression!$O$22*cleaned_data!$H$170+multiple_regression!$O$23*dummy_variables!$D$170+multiple_regression!$O$24*dummy_variables!$E$170+multiple_regression!$O$25*dummy_variables!$F$170+multiple_regression!$O$26*dummy_variables!$G$170+multiple_regression!$O$27*dummy_variables!$H$170+multiple_regression!$O$28*dummy_variables!$I$170</f>
        <v>738419.969702104</v>
      </c>
      <c r="G170" s="27" t="n">
        <f aca="false">E170-F170</f>
        <v>-32134.4497021037</v>
      </c>
    </row>
    <row r="171" customFormat="false" ht="15" hidden="false" customHeight="true" outlineLevel="0" collapsed="false">
      <c r="A171" s="5" t="str">
        <f aca="false">cleaned_data!$A$171</f>
        <v>STR-1042</v>
      </c>
      <c r="B171" s="26" t="str">
        <f aca="false">cleaned_data!$B$171</f>
        <v>2025-03-01</v>
      </c>
      <c r="C171" s="5" t="str">
        <f aca="false">cleaned_data!$C$171</f>
        <v>North</v>
      </c>
      <c r="D171" s="5" t="str">
        <f aca="false">cleaned_data!$D$171</f>
        <v>Mall</v>
      </c>
      <c r="E171" s="27" t="n">
        <f aca="false">cleaned_data!$M$171</f>
        <v>665534.7</v>
      </c>
      <c r="F171" s="27" t="n">
        <f aca="false">multiple_regression!$O$18+multiple_regression!$O$19*cleaned_data!$F$171+multiple_regression!$O$20*cleaned_data!$E$171+multiple_regression!$O$21*cleaned_data!$I$171+multiple_regression!$O$22*cleaned_data!$H$171+multiple_regression!$O$23*dummy_variables!$D$171+multiple_regression!$O$24*dummy_variables!$E$171+multiple_regression!$O$25*dummy_variables!$F$171+multiple_regression!$O$26*dummy_variables!$G$171+multiple_regression!$O$27*dummy_variables!$H$171+multiple_regression!$O$28*dummy_variables!$I$171</f>
        <v>675087.413357297</v>
      </c>
      <c r="G171" s="27" t="n">
        <f aca="false">E171-F171</f>
        <v>-9552.71335729712</v>
      </c>
    </row>
    <row r="172" customFormat="false" ht="15" hidden="false" customHeight="true" outlineLevel="0" collapsed="false">
      <c r="A172" s="5" t="str">
        <f aca="false">cleaned_data!$A$172</f>
        <v>STR-1042</v>
      </c>
      <c r="B172" s="26" t="str">
        <f aca="false">cleaned_data!$B$172</f>
        <v>2025-04-01</v>
      </c>
      <c r="C172" s="5" t="str">
        <f aca="false">cleaned_data!$C$172</f>
        <v>North</v>
      </c>
      <c r="D172" s="5" t="str">
        <f aca="false">cleaned_data!$D$172</f>
        <v>Mall</v>
      </c>
      <c r="E172" s="27" t="n">
        <f aca="false">cleaned_data!$M$172</f>
        <v>820729.29</v>
      </c>
      <c r="F172" s="27" t="n">
        <f aca="false">multiple_regression!$O$18+multiple_regression!$O$19*cleaned_data!$F$172+multiple_regression!$O$20*cleaned_data!$E$172+multiple_regression!$O$21*cleaned_data!$I$172+multiple_regression!$O$22*cleaned_data!$H$172+multiple_regression!$O$23*dummy_variables!$D$172+multiple_regression!$O$24*dummy_variables!$E$172+multiple_regression!$O$25*dummy_variables!$F$172+multiple_regression!$O$26*dummy_variables!$G$172+multiple_regression!$O$27*dummy_variables!$H$172+multiple_regression!$O$28*dummy_variables!$I$172</f>
        <v>819905.394080872</v>
      </c>
      <c r="G172" s="27" t="n">
        <f aca="false">E172-F172</f>
        <v>823.895919127972</v>
      </c>
    </row>
    <row r="173" customFormat="false" ht="15" hidden="false" customHeight="true" outlineLevel="0" collapsed="false">
      <c r="A173" s="5" t="str">
        <f aca="false">cleaned_data!$A$173</f>
        <v>STR-1043</v>
      </c>
      <c r="B173" s="26" t="str">
        <f aca="false">cleaned_data!$B$173</f>
        <v>2025-01-01</v>
      </c>
      <c r="C173" s="5" t="str">
        <f aca="false">cleaned_data!$C$173</f>
        <v>East</v>
      </c>
      <c r="D173" s="5" t="str">
        <f aca="false">cleaned_data!$D$173</f>
        <v>Residential</v>
      </c>
      <c r="E173" s="27" t="n">
        <f aca="false">cleaned_data!$M$173</f>
        <v>739831.73</v>
      </c>
      <c r="F173" s="27" t="n">
        <f aca="false">multiple_regression!$O$18+multiple_regression!$O$19*cleaned_data!$F$173+multiple_regression!$O$20*cleaned_data!$E$173+multiple_regression!$O$21*cleaned_data!$I$173+multiple_regression!$O$22*cleaned_data!$H$173+multiple_regression!$O$23*dummy_variables!$D$173+multiple_regression!$O$24*dummy_variables!$E$173+multiple_regression!$O$25*dummy_variables!$F$173+multiple_regression!$O$26*dummy_variables!$G$173+multiple_regression!$O$27*dummy_variables!$H$173+multiple_regression!$O$28*dummy_variables!$I$173</f>
        <v>760865.907975275</v>
      </c>
      <c r="G173" s="27" t="n">
        <f aca="false">E173-F173</f>
        <v>-21034.1779752752</v>
      </c>
    </row>
    <row r="174" customFormat="false" ht="15" hidden="false" customHeight="true" outlineLevel="0" collapsed="false">
      <c r="A174" s="5" t="str">
        <f aca="false">cleaned_data!$A$174</f>
        <v>STR-1043</v>
      </c>
      <c r="B174" s="26" t="str">
        <f aca="false">cleaned_data!$B$174</f>
        <v>2025-02-01</v>
      </c>
      <c r="C174" s="5" t="str">
        <f aca="false">cleaned_data!$C$174</f>
        <v>East</v>
      </c>
      <c r="D174" s="5" t="str">
        <f aca="false">cleaned_data!$D$174</f>
        <v>Residential</v>
      </c>
      <c r="E174" s="27" t="n">
        <f aca="false">cleaned_data!$M$174</f>
        <v>593637.14</v>
      </c>
      <c r="F174" s="27" t="n">
        <f aca="false">multiple_regression!$O$18+multiple_regression!$O$19*cleaned_data!$F$174+multiple_regression!$O$20*cleaned_data!$E$174+multiple_regression!$O$21*cleaned_data!$I$174+multiple_regression!$O$22*cleaned_data!$H$174+multiple_regression!$O$23*dummy_variables!$D$174+multiple_regression!$O$24*dummy_variables!$E$174+multiple_regression!$O$25*dummy_variables!$F$174+multiple_regression!$O$26*dummy_variables!$G$174+multiple_regression!$O$27*dummy_variables!$H$174+multiple_regression!$O$28*dummy_variables!$I$174</f>
        <v>637817.610464994</v>
      </c>
      <c r="G174" s="27" t="n">
        <f aca="false">E174-F174</f>
        <v>-44180.4704649942</v>
      </c>
    </row>
    <row r="175" customFormat="false" ht="15" hidden="false" customHeight="true" outlineLevel="0" collapsed="false">
      <c r="A175" s="5" t="str">
        <f aca="false">cleaned_data!$A$175</f>
        <v>STR-1043</v>
      </c>
      <c r="B175" s="26" t="str">
        <f aca="false">cleaned_data!$B$175</f>
        <v>2025-03-01</v>
      </c>
      <c r="C175" s="5" t="str">
        <f aca="false">cleaned_data!$C$175</f>
        <v>East</v>
      </c>
      <c r="D175" s="5" t="str">
        <f aca="false">cleaned_data!$D$175</f>
        <v>Residential</v>
      </c>
      <c r="E175" s="27" t="n">
        <f aca="false">cleaned_data!$M$175</f>
        <v>769702.76</v>
      </c>
      <c r="F175" s="27" t="n">
        <f aca="false">multiple_regression!$O$18+multiple_regression!$O$19*cleaned_data!$F$175+multiple_regression!$O$20*cleaned_data!$E$175+multiple_regression!$O$21*cleaned_data!$I$175+multiple_regression!$O$22*cleaned_data!$H$175+multiple_regression!$O$23*dummy_variables!$D$175+multiple_regression!$O$24*dummy_variables!$E$175+multiple_regression!$O$25*dummy_variables!$F$175+multiple_regression!$O$26*dummy_variables!$G$175+multiple_regression!$O$27*dummy_variables!$H$175+multiple_regression!$O$28*dummy_variables!$I$175</f>
        <v>717059.021117219</v>
      </c>
      <c r="G175" s="27" t="n">
        <f aca="false">E175-F175</f>
        <v>52643.7388827808</v>
      </c>
    </row>
    <row r="176" customFormat="false" ht="15" hidden="false" customHeight="true" outlineLevel="0" collapsed="false">
      <c r="A176" s="5" t="str">
        <f aca="false">cleaned_data!$A$176</f>
        <v>STR-1043</v>
      </c>
      <c r="B176" s="26" t="str">
        <f aca="false">cleaned_data!$B$176</f>
        <v>2025-04-01</v>
      </c>
      <c r="C176" s="5" t="str">
        <f aca="false">cleaned_data!$C$176</f>
        <v>East</v>
      </c>
      <c r="D176" s="5" t="str">
        <f aca="false">cleaned_data!$D$176</f>
        <v>Residential</v>
      </c>
      <c r="E176" s="27" t="n">
        <f aca="false">cleaned_data!$M$176</f>
        <v>679731.57</v>
      </c>
      <c r="F176" s="27" t="n">
        <f aca="false">multiple_regression!$O$18+multiple_regression!$O$19*cleaned_data!$F$176+multiple_regression!$O$20*cleaned_data!$E$176+multiple_regression!$O$21*cleaned_data!$I$176+multiple_regression!$O$22*cleaned_data!$H$176+multiple_regression!$O$23*dummy_variables!$D$176+multiple_regression!$O$24*dummy_variables!$E$176+multiple_regression!$O$25*dummy_variables!$F$176+multiple_regression!$O$26*dummy_variables!$G$176+multiple_regression!$O$27*dummy_variables!$H$176+multiple_regression!$O$28*dummy_variables!$I$176</f>
        <v>670473.765143922</v>
      </c>
      <c r="G176" s="27" t="n">
        <f aca="false">E176-F176</f>
        <v>9257.80485607812</v>
      </c>
    </row>
    <row r="177" customFormat="false" ht="15" hidden="false" customHeight="true" outlineLevel="0" collapsed="false">
      <c r="A177" s="5" t="str">
        <f aca="false">cleaned_data!$A$177</f>
        <v>STR-1044</v>
      </c>
      <c r="B177" s="26" t="str">
        <f aca="false">cleaned_data!$B$177</f>
        <v>2025-01-01</v>
      </c>
      <c r="C177" s="5" t="str">
        <f aca="false">cleaned_data!$C$177</f>
        <v>East</v>
      </c>
      <c r="D177" s="5" t="str">
        <f aca="false">cleaned_data!$D$177</f>
        <v>Residential</v>
      </c>
      <c r="E177" s="27" t="n">
        <f aca="false">cleaned_data!$M$177</f>
        <v>780344.18</v>
      </c>
      <c r="F177" s="27" t="n">
        <f aca="false">multiple_regression!$O$18+multiple_regression!$O$19*cleaned_data!$F$177+multiple_regression!$O$20*cleaned_data!$E$177+multiple_regression!$O$21*cleaned_data!$I$177+multiple_regression!$O$22*cleaned_data!$H$177+multiple_regression!$O$23*dummy_variables!$D$177+multiple_regression!$O$24*dummy_variables!$E$177+multiple_regression!$O$25*dummy_variables!$F$177+multiple_regression!$O$26*dummy_variables!$G$177+multiple_regression!$O$27*dummy_variables!$H$177+multiple_regression!$O$28*dummy_variables!$I$177</f>
        <v>754319.436938165</v>
      </c>
      <c r="G177" s="27" t="n">
        <f aca="false">E177-F177</f>
        <v>26024.7430618352</v>
      </c>
    </row>
    <row r="178" customFormat="false" ht="15" hidden="false" customHeight="true" outlineLevel="0" collapsed="false">
      <c r="A178" s="5" t="str">
        <f aca="false">cleaned_data!$A$178</f>
        <v>STR-1044</v>
      </c>
      <c r="B178" s="26" t="str">
        <f aca="false">cleaned_data!$B$178</f>
        <v>2025-02-01</v>
      </c>
      <c r="C178" s="5" t="str">
        <f aca="false">cleaned_data!$C$178</f>
        <v>East</v>
      </c>
      <c r="D178" s="5" t="str">
        <f aca="false">cleaned_data!$D$178</f>
        <v>Residential</v>
      </c>
      <c r="E178" s="27" t="n">
        <f aca="false">cleaned_data!$M$178</f>
        <v>721364.11</v>
      </c>
      <c r="F178" s="27" t="n">
        <f aca="false">multiple_regression!$O$18+multiple_regression!$O$19*cleaned_data!$F$178+multiple_regression!$O$20*cleaned_data!$E$178+multiple_regression!$O$21*cleaned_data!$I$178+multiple_regression!$O$22*cleaned_data!$H$178+multiple_regression!$O$23*dummy_variables!$D$178+multiple_regression!$O$24*dummy_variables!$E$178+multiple_regression!$O$25*dummy_variables!$F$178+multiple_regression!$O$26*dummy_variables!$G$178+multiple_regression!$O$27*dummy_variables!$H$178+multiple_regression!$O$28*dummy_variables!$I$178</f>
        <v>739646.54457967</v>
      </c>
      <c r="G178" s="27" t="n">
        <f aca="false">E178-F178</f>
        <v>-18282.4345796695</v>
      </c>
    </row>
    <row r="179" customFormat="false" ht="15" hidden="false" customHeight="true" outlineLevel="0" collapsed="false">
      <c r="A179" s="5" t="str">
        <f aca="false">cleaned_data!$A$179</f>
        <v>STR-1044</v>
      </c>
      <c r="B179" s="26" t="str">
        <f aca="false">cleaned_data!$B$179</f>
        <v>2025-03-01</v>
      </c>
      <c r="C179" s="5" t="str">
        <f aca="false">cleaned_data!$C$179</f>
        <v>East</v>
      </c>
      <c r="D179" s="5" t="str">
        <f aca="false">cleaned_data!$D$179</f>
        <v>Residential</v>
      </c>
      <c r="E179" s="27" t="n">
        <f aca="false">cleaned_data!$M$179</f>
        <v>758138.29</v>
      </c>
      <c r="F179" s="27" t="n">
        <f aca="false">multiple_regression!$O$18+multiple_regression!$O$19*cleaned_data!$F$179+multiple_regression!$O$20*cleaned_data!$E$179+multiple_regression!$O$21*cleaned_data!$I$179+multiple_regression!$O$22*cleaned_data!$H$179+multiple_regression!$O$23*dummy_variables!$D$179+multiple_regression!$O$24*dummy_variables!$E$179+multiple_regression!$O$25*dummy_variables!$F$179+multiple_regression!$O$26*dummy_variables!$G$179+multiple_regression!$O$27*dummy_variables!$H$179+multiple_regression!$O$28*dummy_variables!$I$179</f>
        <v>757352.924149208</v>
      </c>
      <c r="G179" s="27" t="n">
        <f aca="false">E179-F179</f>
        <v>785.365850792383</v>
      </c>
    </row>
    <row r="180" customFormat="false" ht="15" hidden="false" customHeight="true" outlineLevel="0" collapsed="false">
      <c r="A180" s="5" t="str">
        <f aca="false">cleaned_data!$A$180</f>
        <v>STR-1044</v>
      </c>
      <c r="B180" s="26" t="str">
        <f aca="false">cleaned_data!$B$180</f>
        <v>2025-04-01</v>
      </c>
      <c r="C180" s="5" t="str">
        <f aca="false">cleaned_data!$C$180</f>
        <v>East</v>
      </c>
      <c r="D180" s="5" t="str">
        <f aca="false">cleaned_data!$D$180</f>
        <v>Residential</v>
      </c>
      <c r="E180" s="27" t="n">
        <f aca="false">cleaned_data!$M$180</f>
        <v>804264</v>
      </c>
      <c r="F180" s="27" t="n">
        <f aca="false">multiple_regression!$O$18+multiple_regression!$O$19*cleaned_data!$F$180+multiple_regression!$O$20*cleaned_data!$E$180+multiple_regression!$O$21*cleaned_data!$I$180+multiple_regression!$O$22*cleaned_data!$H$180+multiple_regression!$O$23*dummy_variables!$D$180+multiple_regression!$O$24*dummy_variables!$E$180+multiple_regression!$O$25*dummy_variables!$F$180+multiple_regression!$O$26*dummy_variables!$G$180+multiple_regression!$O$27*dummy_variables!$H$180+multiple_regression!$O$28*dummy_variables!$I$180</f>
        <v>806499.609964397</v>
      </c>
      <c r="G180" s="27" t="n">
        <f aca="false">E180-F180</f>
        <v>-2235.6099643968</v>
      </c>
    </row>
    <row r="181" customFormat="false" ht="15" hidden="false" customHeight="true" outlineLevel="0" collapsed="false">
      <c r="A181" s="5" t="str">
        <f aca="false">cleaned_data!$A$181</f>
        <v>STR-1045</v>
      </c>
      <c r="B181" s="26" t="str">
        <f aca="false">cleaned_data!$B$181</f>
        <v>2025-01-01</v>
      </c>
      <c r="C181" s="5" t="str">
        <f aca="false">cleaned_data!$C$181</f>
        <v>West</v>
      </c>
      <c r="D181" s="5" t="str">
        <f aca="false">cleaned_data!$D$181</f>
        <v>Airport</v>
      </c>
      <c r="E181" s="27" t="n">
        <f aca="false">cleaned_data!$M$181</f>
        <v>887537.75</v>
      </c>
      <c r="F181" s="27" t="n">
        <f aca="false">multiple_regression!$O$18+multiple_regression!$O$19*cleaned_data!$F$181+multiple_regression!$O$20*cleaned_data!$E$181+multiple_regression!$O$21*cleaned_data!$I$181+multiple_regression!$O$22*cleaned_data!$H$181+multiple_regression!$O$23*dummy_variables!$D$181+multiple_regression!$O$24*dummy_variables!$E$181+multiple_regression!$O$25*dummy_variables!$F$181+multiple_regression!$O$26*dummy_variables!$G$181+multiple_regression!$O$27*dummy_variables!$H$181+multiple_regression!$O$28*dummy_variables!$I$181</f>
        <v>877858.436601827</v>
      </c>
      <c r="G181" s="27" t="n">
        <f aca="false">E181-F181</f>
        <v>9679.31339817331</v>
      </c>
    </row>
    <row r="182" customFormat="false" ht="15" hidden="false" customHeight="true" outlineLevel="0" collapsed="false">
      <c r="A182" s="5" t="str">
        <f aca="false">cleaned_data!$A$182</f>
        <v>STR-1045</v>
      </c>
      <c r="B182" s="26" t="str">
        <f aca="false">cleaned_data!$B$182</f>
        <v>2025-02-01</v>
      </c>
      <c r="C182" s="5" t="str">
        <f aca="false">cleaned_data!$C$182</f>
        <v>West</v>
      </c>
      <c r="D182" s="5" t="str">
        <f aca="false">cleaned_data!$D$182</f>
        <v>Airport</v>
      </c>
      <c r="E182" s="27" t="n">
        <f aca="false">cleaned_data!$M$182</f>
        <v>783582</v>
      </c>
      <c r="F182" s="27" t="n">
        <f aca="false">multiple_regression!$O$18+multiple_regression!$O$19*cleaned_data!$F$182+multiple_regression!$O$20*cleaned_data!$E$182+multiple_regression!$O$21*cleaned_data!$I$182+multiple_regression!$O$22*cleaned_data!$H$182+multiple_regression!$O$23*dummy_variables!$D$182+multiple_regression!$O$24*dummy_variables!$E$182+multiple_regression!$O$25*dummy_variables!$F$182+multiple_regression!$O$26*dummy_variables!$G$182+multiple_regression!$O$27*dummy_variables!$H$182+multiple_regression!$O$28*dummy_variables!$I$182</f>
        <v>739828.251658648</v>
      </c>
      <c r="G182" s="27" t="n">
        <f aca="false">E182-F182</f>
        <v>43753.7483413519</v>
      </c>
    </row>
    <row r="183" customFormat="false" ht="15" hidden="false" customHeight="true" outlineLevel="0" collapsed="false">
      <c r="A183" s="5" t="str">
        <f aca="false">cleaned_data!$A$183</f>
        <v>STR-1045</v>
      </c>
      <c r="B183" s="26" t="str">
        <f aca="false">cleaned_data!$B$183</f>
        <v>2025-03-01</v>
      </c>
      <c r="C183" s="5" t="str">
        <f aca="false">cleaned_data!$C$183</f>
        <v>West</v>
      </c>
      <c r="D183" s="5" t="str">
        <f aca="false">cleaned_data!$D$183</f>
        <v>Airport</v>
      </c>
      <c r="E183" s="27" t="n">
        <f aca="false">cleaned_data!$M$183</f>
        <v>781955.52</v>
      </c>
      <c r="F183" s="27" t="n">
        <f aca="false">multiple_regression!$O$18+multiple_regression!$O$19*cleaned_data!$F$183+multiple_regression!$O$20*cleaned_data!$E$183+multiple_regression!$O$21*cleaned_data!$I$183+multiple_regression!$O$22*cleaned_data!$H$183+multiple_regression!$O$23*dummy_variables!$D$183+multiple_regression!$O$24*dummy_variables!$E$183+multiple_regression!$O$25*dummy_variables!$F$183+multiple_regression!$O$26*dummy_variables!$G$183+multiple_regression!$O$27*dummy_variables!$H$183+multiple_regression!$O$28*dummy_variables!$I$183</f>
        <v>767238.312951303</v>
      </c>
      <c r="G183" s="27" t="n">
        <f aca="false">E183-F183</f>
        <v>14717.2070486968</v>
      </c>
    </row>
    <row r="184" customFormat="false" ht="15" hidden="false" customHeight="true" outlineLevel="0" collapsed="false">
      <c r="A184" s="5" t="str">
        <f aca="false">cleaned_data!$A$184</f>
        <v>STR-1045</v>
      </c>
      <c r="B184" s="26" t="str">
        <f aca="false">cleaned_data!$B$184</f>
        <v>2025-04-01</v>
      </c>
      <c r="C184" s="5" t="str">
        <f aca="false">cleaned_data!$C$184</f>
        <v>West</v>
      </c>
      <c r="D184" s="5" t="str">
        <f aca="false">cleaned_data!$D$184</f>
        <v>Airport</v>
      </c>
      <c r="E184" s="27" t="n">
        <f aca="false">cleaned_data!$M$184</f>
        <v>898031.04</v>
      </c>
      <c r="F184" s="27" t="n">
        <f aca="false">multiple_regression!$O$18+multiple_regression!$O$19*cleaned_data!$F$184+multiple_regression!$O$20*cleaned_data!$E$184+multiple_regression!$O$21*cleaned_data!$I$184+multiple_regression!$O$22*cleaned_data!$H$184+multiple_regression!$O$23*dummy_variables!$D$184+multiple_regression!$O$24*dummy_variables!$E$184+multiple_regression!$O$25*dummy_variables!$F$184+multiple_regression!$O$26*dummy_variables!$G$184+multiple_regression!$O$27*dummy_variables!$H$184+multiple_regression!$O$28*dummy_variables!$I$184</f>
        <v>846315.558334834</v>
      </c>
      <c r="G184" s="27" t="n">
        <f aca="false">E184-F184</f>
        <v>51715.4816651656</v>
      </c>
    </row>
    <row r="185" customFormat="false" ht="15" hidden="false" customHeight="true" outlineLevel="0" collapsed="false">
      <c r="A185" s="5" t="str">
        <f aca="false">cleaned_data!$A$185</f>
        <v>STR-1046</v>
      </c>
      <c r="B185" s="26" t="str">
        <f aca="false">cleaned_data!$B$185</f>
        <v>2025-01-01</v>
      </c>
      <c r="C185" s="5" t="str">
        <f aca="false">cleaned_data!$C$185</f>
        <v>West</v>
      </c>
      <c r="D185" s="5" t="str">
        <f aca="false">cleaned_data!$D$185</f>
        <v>Residential</v>
      </c>
      <c r="E185" s="27" t="n">
        <f aca="false">cleaned_data!$M$185</f>
        <v>855341.28</v>
      </c>
      <c r="F185" s="27" t="n">
        <f aca="false">multiple_regression!$O$18+multiple_regression!$O$19*cleaned_data!$F$185+multiple_regression!$O$20*cleaned_data!$E$185+multiple_regression!$O$21*cleaned_data!$I$185+multiple_regression!$O$22*cleaned_data!$H$185+multiple_regression!$O$23*dummy_variables!$D$185+multiple_regression!$O$24*dummy_variables!$E$185+multiple_regression!$O$25*dummy_variables!$F$185+multiple_regression!$O$26*dummy_variables!$G$185+multiple_regression!$O$27*dummy_variables!$H$185+multiple_regression!$O$28*dummy_variables!$I$185</f>
        <v>842740.464235792</v>
      </c>
      <c r="G185" s="27" t="n">
        <f aca="false">E185-F185</f>
        <v>12600.8157642077</v>
      </c>
    </row>
    <row r="186" customFormat="false" ht="15" hidden="false" customHeight="true" outlineLevel="0" collapsed="false">
      <c r="A186" s="5" t="str">
        <f aca="false">cleaned_data!$A$186</f>
        <v>STR-1046</v>
      </c>
      <c r="B186" s="26" t="str">
        <f aca="false">cleaned_data!$B$186</f>
        <v>2025-02-01</v>
      </c>
      <c r="C186" s="5" t="str">
        <f aca="false">cleaned_data!$C$186</f>
        <v>West</v>
      </c>
      <c r="D186" s="5" t="str">
        <f aca="false">cleaned_data!$D$186</f>
        <v>Residential</v>
      </c>
      <c r="E186" s="27" t="n">
        <f aca="false">cleaned_data!$M$186</f>
        <v>751393.88</v>
      </c>
      <c r="F186" s="27" t="n">
        <f aca="false">multiple_regression!$O$18+multiple_regression!$O$19*cleaned_data!$F$186+multiple_regression!$O$20*cleaned_data!$E$186+multiple_regression!$O$21*cleaned_data!$I$186+multiple_regression!$O$22*cleaned_data!$H$186+multiple_regression!$O$23*dummy_variables!$D$186+multiple_regression!$O$24*dummy_variables!$E$186+multiple_regression!$O$25*dummy_variables!$F$186+multiple_regression!$O$26*dummy_variables!$G$186+multiple_regression!$O$27*dummy_variables!$H$186+multiple_regression!$O$28*dummy_variables!$I$186</f>
        <v>747001.527897271</v>
      </c>
      <c r="G186" s="27" t="n">
        <f aca="false">E186-F186</f>
        <v>4392.35210272949</v>
      </c>
    </row>
    <row r="187" customFormat="false" ht="15" hidden="false" customHeight="true" outlineLevel="0" collapsed="false">
      <c r="A187" s="5" t="str">
        <f aca="false">cleaned_data!$A$187</f>
        <v>STR-1046</v>
      </c>
      <c r="B187" s="26" t="str">
        <f aca="false">cleaned_data!$B$187</f>
        <v>2025-03-01</v>
      </c>
      <c r="C187" s="5" t="str">
        <f aca="false">cleaned_data!$C$187</f>
        <v>West</v>
      </c>
      <c r="D187" s="5" t="str">
        <f aca="false">cleaned_data!$D$187</f>
        <v>Residential</v>
      </c>
      <c r="E187" s="27" t="n">
        <f aca="false">cleaned_data!$M$187</f>
        <v>761077.08</v>
      </c>
      <c r="F187" s="27" t="n">
        <f aca="false">multiple_regression!$O$18+multiple_regression!$O$19*cleaned_data!$F$187+multiple_regression!$O$20*cleaned_data!$E$187+multiple_regression!$O$21*cleaned_data!$I$187+multiple_regression!$O$22*cleaned_data!$H$187+multiple_regression!$O$23*dummy_variables!$D$187+multiple_regression!$O$24*dummy_variables!$E$187+multiple_regression!$O$25*dummy_variables!$F$187+multiple_regression!$O$26*dummy_variables!$G$187+multiple_regression!$O$27*dummy_variables!$H$187+multiple_regression!$O$28*dummy_variables!$I$187</f>
        <v>759777.389716096</v>
      </c>
      <c r="G187" s="27" t="n">
        <f aca="false">E187-F187</f>
        <v>1299.69028390385</v>
      </c>
    </row>
    <row r="188" customFormat="false" ht="15" hidden="false" customHeight="true" outlineLevel="0" collapsed="false">
      <c r="A188" s="5" t="str">
        <f aca="false">cleaned_data!$A$188</f>
        <v>STR-1046</v>
      </c>
      <c r="B188" s="26" t="str">
        <f aca="false">cleaned_data!$B$188</f>
        <v>2025-04-01</v>
      </c>
      <c r="C188" s="5" t="str">
        <f aca="false">cleaned_data!$C$188</f>
        <v>West</v>
      </c>
      <c r="D188" s="5" t="str">
        <f aca="false">cleaned_data!$D$188</f>
        <v>Residential</v>
      </c>
      <c r="E188" s="27" t="n">
        <f aca="false">cleaned_data!$M$188</f>
        <v>819660.59</v>
      </c>
      <c r="F188" s="27" t="n">
        <f aca="false">multiple_regression!$O$18+multiple_regression!$O$19*cleaned_data!$F$188+multiple_regression!$O$20*cleaned_data!$E$188+multiple_regression!$O$21*cleaned_data!$I$188+multiple_regression!$O$22*cleaned_data!$H$188+multiple_regression!$O$23*dummy_variables!$D$188+multiple_regression!$O$24*dummy_variables!$E$188+multiple_regression!$O$25*dummy_variables!$F$188+multiple_regression!$O$26*dummy_variables!$G$188+multiple_regression!$O$27*dummy_variables!$H$188+multiple_regression!$O$28*dummy_variables!$I$188</f>
        <v>823354.302569644</v>
      </c>
      <c r="G188" s="27" t="n">
        <f aca="false">E188-F188</f>
        <v>-3693.71256964351</v>
      </c>
    </row>
    <row r="189" customFormat="false" ht="15" hidden="false" customHeight="true" outlineLevel="0" collapsed="false">
      <c r="A189" s="5" t="str">
        <f aca="false">cleaned_data!$A$189</f>
        <v>STR-1047</v>
      </c>
      <c r="B189" s="26" t="str">
        <f aca="false">cleaned_data!$B$189</f>
        <v>2025-01-01</v>
      </c>
      <c r="C189" s="5" t="str">
        <f aca="false">cleaned_data!$C$189</f>
        <v>North</v>
      </c>
      <c r="D189" s="5" t="str">
        <f aca="false">cleaned_data!$D$189</f>
        <v>High Street</v>
      </c>
      <c r="E189" s="27" t="n">
        <f aca="false">cleaned_data!$M$189</f>
        <v>681855.56</v>
      </c>
      <c r="F189" s="27" t="n">
        <f aca="false">multiple_regression!$O$18+multiple_regression!$O$19*cleaned_data!$F$189+multiple_regression!$O$20*cleaned_data!$E$189+multiple_regression!$O$21*cleaned_data!$I$189+multiple_regression!$O$22*cleaned_data!$H$189+multiple_regression!$O$23*dummy_variables!$D$189+multiple_regression!$O$24*dummy_variables!$E$189+multiple_regression!$O$25*dummy_variables!$F$189+multiple_regression!$O$26*dummy_variables!$G$189+multiple_regression!$O$27*dummy_variables!$H$189+multiple_regression!$O$28*dummy_variables!$I$189</f>
        <v>688956.113071963</v>
      </c>
      <c r="G189" s="27" t="n">
        <f aca="false">E189-F189</f>
        <v>-7100.55307196337</v>
      </c>
    </row>
    <row r="190" customFormat="false" ht="15" hidden="false" customHeight="true" outlineLevel="0" collapsed="false">
      <c r="A190" s="5" t="str">
        <f aca="false">cleaned_data!$A$190</f>
        <v>STR-1047</v>
      </c>
      <c r="B190" s="26" t="str">
        <f aca="false">cleaned_data!$B$190</f>
        <v>2025-02-01</v>
      </c>
      <c r="C190" s="5" t="str">
        <f aca="false">cleaned_data!$C$190</f>
        <v>North</v>
      </c>
      <c r="D190" s="5" t="str">
        <f aca="false">cleaned_data!$D$190</f>
        <v>High Street</v>
      </c>
      <c r="E190" s="27" t="n">
        <f aca="false">cleaned_data!$M$190</f>
        <v>678311.17</v>
      </c>
      <c r="F190" s="27" t="n">
        <f aca="false">multiple_regression!$O$18+multiple_regression!$O$19*cleaned_data!$F$190+multiple_regression!$O$20*cleaned_data!$E$190+multiple_regression!$O$21*cleaned_data!$I$190+multiple_regression!$O$22*cleaned_data!$H$190+multiple_regression!$O$23*dummy_variables!$D$190+multiple_regression!$O$24*dummy_variables!$E$190+multiple_regression!$O$25*dummy_variables!$F$190+multiple_regression!$O$26*dummy_variables!$G$190+multiple_regression!$O$27*dummy_variables!$H$190+multiple_regression!$O$28*dummy_variables!$I$190</f>
        <v>658595.062888872</v>
      </c>
      <c r="G190" s="27" t="n">
        <f aca="false">E190-F190</f>
        <v>19716.1071111282</v>
      </c>
    </row>
    <row r="191" customFormat="false" ht="15" hidden="false" customHeight="true" outlineLevel="0" collapsed="false">
      <c r="A191" s="5" t="str">
        <f aca="false">cleaned_data!$A$191</f>
        <v>STR-1047</v>
      </c>
      <c r="B191" s="26" t="str">
        <f aca="false">cleaned_data!$B$191</f>
        <v>2025-03-01</v>
      </c>
      <c r="C191" s="5" t="str">
        <f aca="false">cleaned_data!$C$191</f>
        <v>North</v>
      </c>
      <c r="D191" s="5" t="str">
        <f aca="false">cleaned_data!$D$191</f>
        <v>High Street</v>
      </c>
      <c r="E191" s="27" t="n">
        <f aca="false">cleaned_data!$M$191</f>
        <v>765906.95</v>
      </c>
      <c r="F191" s="27" t="n">
        <f aca="false">multiple_regression!$O$18+multiple_regression!$O$19*cleaned_data!$F$191+multiple_regression!$O$20*cleaned_data!$E$191+multiple_regression!$O$21*cleaned_data!$I$191+multiple_regression!$O$22*cleaned_data!$H$191+multiple_regression!$O$23*dummy_variables!$D$191+multiple_regression!$O$24*dummy_variables!$E$191+multiple_regression!$O$25*dummy_variables!$F$191+multiple_regression!$O$26*dummy_variables!$G$191+multiple_regression!$O$27*dummy_variables!$H$191+multiple_regression!$O$28*dummy_variables!$I$191</f>
        <v>692057.309000158</v>
      </c>
      <c r="G191" s="27" t="n">
        <f aca="false">E191-F191</f>
        <v>73849.6409998421</v>
      </c>
    </row>
    <row r="192" customFormat="false" ht="15" hidden="false" customHeight="true" outlineLevel="0" collapsed="false">
      <c r="A192" s="5" t="str">
        <f aca="false">cleaned_data!$A$192</f>
        <v>STR-1047</v>
      </c>
      <c r="B192" s="26" t="str">
        <f aca="false">cleaned_data!$B$192</f>
        <v>2025-04-01</v>
      </c>
      <c r="C192" s="5" t="str">
        <f aca="false">cleaned_data!$C$192</f>
        <v>North</v>
      </c>
      <c r="D192" s="5" t="str">
        <f aca="false">cleaned_data!$D$192</f>
        <v>High Street</v>
      </c>
      <c r="E192" s="27" t="n">
        <f aca="false">cleaned_data!$M$192</f>
        <v>712546.38</v>
      </c>
      <c r="F192" s="27" t="n">
        <f aca="false">multiple_regression!$O$18+multiple_regression!$O$19*cleaned_data!$F$192+multiple_regression!$O$20*cleaned_data!$E$192+multiple_regression!$O$21*cleaned_data!$I$192+multiple_regression!$O$22*cleaned_data!$H$192+multiple_regression!$O$23*dummy_variables!$D$192+multiple_regression!$O$24*dummy_variables!$E$192+multiple_regression!$O$25*dummy_variables!$F$192+multiple_regression!$O$26*dummy_variables!$G$192+multiple_regression!$O$27*dummy_variables!$H$192+multiple_regression!$O$28*dummy_variables!$I$192</f>
        <v>706292.651794102</v>
      </c>
      <c r="G192" s="27" t="n">
        <f aca="false">E192-F192</f>
        <v>6253.72820589854</v>
      </c>
    </row>
    <row r="193" customFormat="false" ht="15" hidden="false" customHeight="true" outlineLevel="0" collapsed="false">
      <c r="A193" s="5" t="str">
        <f aca="false">cleaned_data!$A$193</f>
        <v>STR-1048</v>
      </c>
      <c r="B193" s="26" t="str">
        <f aca="false">cleaned_data!$B$193</f>
        <v>2025-01-01</v>
      </c>
      <c r="C193" s="5" t="str">
        <f aca="false">cleaned_data!$C$193</f>
        <v>East</v>
      </c>
      <c r="D193" s="5" t="str">
        <f aca="false">cleaned_data!$D$193</f>
        <v>High Street</v>
      </c>
      <c r="E193" s="27" t="n">
        <f aca="false">cleaned_data!$M$193</f>
        <v>625993.83</v>
      </c>
      <c r="F193" s="27" t="n">
        <f aca="false">multiple_regression!$O$18+multiple_regression!$O$19*cleaned_data!$F$193+multiple_regression!$O$20*cleaned_data!$E$193+multiple_regression!$O$21*cleaned_data!$I$193+multiple_regression!$O$22*cleaned_data!$H$193+multiple_regression!$O$23*dummy_variables!$D$193+multiple_regression!$O$24*dummy_variables!$E$193+multiple_regression!$O$25*dummy_variables!$F$193+multiple_regression!$O$26*dummy_variables!$G$193+multiple_regression!$O$27*dummy_variables!$H$193+multiple_regression!$O$28*dummy_variables!$I$193</f>
        <v>579176.444135414</v>
      </c>
      <c r="G193" s="27" t="n">
        <f aca="false">E193-F193</f>
        <v>46817.3858645859</v>
      </c>
    </row>
    <row r="194" customFormat="false" ht="15" hidden="false" customHeight="true" outlineLevel="0" collapsed="false">
      <c r="A194" s="5" t="str">
        <f aca="false">cleaned_data!$A$194</f>
        <v>STR-1048</v>
      </c>
      <c r="B194" s="26" t="str">
        <f aca="false">cleaned_data!$B$194</f>
        <v>2025-02-01</v>
      </c>
      <c r="C194" s="5" t="str">
        <f aca="false">cleaned_data!$C$194</f>
        <v>East</v>
      </c>
      <c r="D194" s="5" t="str">
        <f aca="false">cleaned_data!$D$194</f>
        <v>High Street</v>
      </c>
      <c r="E194" s="27" t="n">
        <f aca="false">cleaned_data!$M$194</f>
        <v>550962.93</v>
      </c>
      <c r="F194" s="27" t="n">
        <f aca="false">multiple_regression!$O$18+multiple_regression!$O$19*cleaned_data!$F$194+multiple_regression!$O$20*cleaned_data!$E$194+multiple_regression!$O$21*cleaned_data!$I$194+multiple_regression!$O$22*cleaned_data!$H$194+multiple_regression!$O$23*dummy_variables!$D$194+multiple_regression!$O$24*dummy_variables!$E$194+multiple_regression!$O$25*dummy_variables!$F$194+multiple_regression!$O$26*dummy_variables!$G$194+multiple_regression!$O$27*dummy_variables!$H$194+multiple_regression!$O$28*dummy_variables!$I$194</f>
        <v>538074.607850562</v>
      </c>
      <c r="G194" s="27" t="n">
        <f aca="false">E194-F194</f>
        <v>12888.3221494379</v>
      </c>
    </row>
    <row r="195" customFormat="false" ht="15" hidden="false" customHeight="true" outlineLevel="0" collapsed="false">
      <c r="A195" s="5" t="str">
        <f aca="false">cleaned_data!$A$195</f>
        <v>STR-1048</v>
      </c>
      <c r="B195" s="26" t="str">
        <f aca="false">cleaned_data!$B$195</f>
        <v>2025-03-01</v>
      </c>
      <c r="C195" s="5" t="str">
        <f aca="false">cleaned_data!$C$195</f>
        <v>East</v>
      </c>
      <c r="D195" s="5" t="str">
        <f aca="false">cleaned_data!$D$195</f>
        <v>High Street</v>
      </c>
      <c r="E195" s="27" t="n">
        <f aca="false">cleaned_data!$M$195</f>
        <v>443275.59</v>
      </c>
      <c r="F195" s="27" t="n">
        <f aca="false">multiple_regression!$O$18+multiple_regression!$O$19*cleaned_data!$F$195+multiple_regression!$O$20*cleaned_data!$E$195+multiple_regression!$O$21*cleaned_data!$I$195+multiple_regression!$O$22*cleaned_data!$H$195+multiple_regression!$O$23*dummy_variables!$D$195+multiple_regression!$O$24*dummy_variables!$E$195+multiple_regression!$O$25*dummy_variables!$F$195+multiple_regression!$O$26*dummy_variables!$G$195+multiple_regression!$O$27*dummy_variables!$H$195+multiple_regression!$O$28*dummy_variables!$I$195</f>
        <v>462340.312944594</v>
      </c>
      <c r="G195" s="27" t="n">
        <f aca="false">E195-F195</f>
        <v>-19064.722944594</v>
      </c>
    </row>
    <row r="196" customFormat="false" ht="15" hidden="false" customHeight="true" outlineLevel="0" collapsed="false">
      <c r="A196" s="5" t="str">
        <f aca="false">cleaned_data!$A$196</f>
        <v>STR-1048</v>
      </c>
      <c r="B196" s="26" t="str">
        <f aca="false">cleaned_data!$B$196</f>
        <v>2025-04-01</v>
      </c>
      <c r="C196" s="5" t="str">
        <f aca="false">cleaned_data!$C$196</f>
        <v>East</v>
      </c>
      <c r="D196" s="5" t="str">
        <f aca="false">cleaned_data!$D$196</f>
        <v>High Street</v>
      </c>
      <c r="E196" s="27" t="n">
        <f aca="false">cleaned_data!$M$196</f>
        <v>554012.07</v>
      </c>
      <c r="F196" s="27" t="n">
        <f aca="false">multiple_regression!$O$18+multiple_regression!$O$19*cleaned_data!$F$196+multiple_regression!$O$20*cleaned_data!$E$196+multiple_regression!$O$21*cleaned_data!$I$196+multiple_regression!$O$22*cleaned_data!$H$196+multiple_regression!$O$23*dummy_variables!$D$196+multiple_regression!$O$24*dummy_variables!$E$196+multiple_regression!$O$25*dummy_variables!$F$196+multiple_regression!$O$26*dummy_variables!$G$196+multiple_regression!$O$27*dummy_variables!$H$196+multiple_regression!$O$28*dummy_variables!$I$196</f>
        <v>598530.400019743</v>
      </c>
      <c r="G196" s="27" t="n">
        <f aca="false">E196-F196</f>
        <v>-44518.3300197427</v>
      </c>
    </row>
    <row r="197" customFormat="false" ht="15" hidden="false" customHeight="true" outlineLevel="0" collapsed="false">
      <c r="A197" s="5" t="str">
        <f aca="false">cleaned_data!$A$197</f>
        <v>STR-1049</v>
      </c>
      <c r="B197" s="26" t="str">
        <f aca="false">cleaned_data!$B$197</f>
        <v>2025-01-01</v>
      </c>
      <c r="C197" s="5" t="str">
        <f aca="false">cleaned_data!$C$197</f>
        <v>West</v>
      </c>
      <c r="D197" s="5" t="str">
        <f aca="false">cleaned_data!$D$197</f>
        <v>Residential</v>
      </c>
      <c r="E197" s="27" t="n">
        <f aca="false">cleaned_data!$M$197</f>
        <v>643428.85</v>
      </c>
      <c r="F197" s="27" t="n">
        <f aca="false">multiple_regression!$O$18+multiple_regression!$O$19*cleaned_data!$F$197+multiple_regression!$O$20*cleaned_data!$E$197+multiple_regression!$O$21*cleaned_data!$I$197+multiple_regression!$O$22*cleaned_data!$H$197+multiple_regression!$O$23*dummy_variables!$D$197+multiple_regression!$O$24*dummy_variables!$E$197+multiple_regression!$O$25*dummy_variables!$F$197+multiple_regression!$O$26*dummy_variables!$G$197+multiple_regression!$O$27*dummy_variables!$H$197+multiple_regression!$O$28*dummy_variables!$I$197</f>
        <v>682463.95023222</v>
      </c>
      <c r="G197" s="27" t="n">
        <f aca="false">E197-F197</f>
        <v>-39035.1002322203</v>
      </c>
    </row>
    <row r="198" customFormat="false" ht="15" hidden="false" customHeight="true" outlineLevel="0" collapsed="false">
      <c r="A198" s="5" t="str">
        <f aca="false">cleaned_data!$A$198</f>
        <v>STR-1049</v>
      </c>
      <c r="B198" s="26" t="str">
        <f aca="false">cleaned_data!$B$198</f>
        <v>2025-02-01</v>
      </c>
      <c r="C198" s="5" t="str">
        <f aca="false">cleaned_data!$C$198</f>
        <v>West</v>
      </c>
      <c r="D198" s="5" t="str">
        <f aca="false">cleaned_data!$D$198</f>
        <v>Residential</v>
      </c>
      <c r="E198" s="27" t="n">
        <f aca="false">cleaned_data!$M$198</f>
        <v>611924.27</v>
      </c>
      <c r="F198" s="27" t="n">
        <f aca="false">multiple_regression!$O$18+multiple_regression!$O$19*cleaned_data!$F$198+multiple_regression!$O$20*cleaned_data!$E$198+multiple_regression!$O$21*cleaned_data!$I$198+multiple_regression!$O$22*cleaned_data!$H$198+multiple_regression!$O$23*dummy_variables!$D$198+multiple_regression!$O$24*dummy_variables!$E$198+multiple_regression!$O$25*dummy_variables!$F$198+multiple_regression!$O$26*dummy_variables!$G$198+multiple_regression!$O$27*dummy_variables!$H$198+multiple_regression!$O$28*dummy_variables!$I$198</f>
        <v>613090.419449316</v>
      </c>
      <c r="G198" s="27" t="n">
        <f aca="false">E198-F198</f>
        <v>-1166.14944931632</v>
      </c>
    </row>
    <row r="199" customFormat="false" ht="15" hidden="false" customHeight="true" outlineLevel="0" collapsed="false">
      <c r="A199" s="5" t="str">
        <f aca="false">cleaned_data!$A$199</f>
        <v>STR-1049</v>
      </c>
      <c r="B199" s="26" t="str">
        <f aca="false">cleaned_data!$B$199</f>
        <v>2025-03-01</v>
      </c>
      <c r="C199" s="5" t="str">
        <f aca="false">cleaned_data!$C$199</f>
        <v>West</v>
      </c>
      <c r="D199" s="5" t="str">
        <f aca="false">cleaned_data!$D$199</f>
        <v>Residential</v>
      </c>
      <c r="E199" s="27" t="n">
        <f aca="false">cleaned_data!$M$199</f>
        <v>559422.02</v>
      </c>
      <c r="F199" s="27" t="n">
        <f aca="false">multiple_regression!$O$18+multiple_regression!$O$19*cleaned_data!$F$199+multiple_regression!$O$20*cleaned_data!$E$199+multiple_regression!$O$21*cleaned_data!$I$199+multiple_regression!$O$22*cleaned_data!$H$199+multiple_regression!$O$23*dummy_variables!$D$199+multiple_regression!$O$24*dummy_variables!$E$199+multiple_regression!$O$25*dummy_variables!$F$199+multiple_regression!$O$26*dummy_variables!$G$199+multiple_regression!$O$27*dummy_variables!$H$199+multiple_regression!$O$28*dummy_variables!$I$199</f>
        <v>560747.704679421</v>
      </c>
      <c r="G199" s="27" t="n">
        <f aca="false">E199-F199</f>
        <v>-1325.68467942078</v>
      </c>
    </row>
    <row r="200" customFormat="false" ht="15" hidden="false" customHeight="true" outlineLevel="0" collapsed="false">
      <c r="A200" s="5" t="str">
        <f aca="false">cleaned_data!$A$200</f>
        <v>STR-1049</v>
      </c>
      <c r="B200" s="26" t="str">
        <f aca="false">cleaned_data!$B$200</f>
        <v>2025-04-01</v>
      </c>
      <c r="C200" s="5" t="str">
        <f aca="false">cleaned_data!$C$200</f>
        <v>West</v>
      </c>
      <c r="D200" s="5" t="str">
        <f aca="false">cleaned_data!$D$200</f>
        <v>Residential</v>
      </c>
      <c r="E200" s="27" t="n">
        <f aca="false">cleaned_data!$M$200</f>
        <v>449465.06</v>
      </c>
      <c r="F200" s="27" t="n">
        <f aca="false">multiple_regression!$O$18+multiple_regression!$O$19*cleaned_data!$F$200+multiple_regression!$O$20*cleaned_data!$E$200+multiple_regression!$O$21*cleaned_data!$I$200+multiple_regression!$O$22*cleaned_data!$H$200+multiple_regression!$O$23*dummy_variables!$D$200+multiple_regression!$O$24*dummy_variables!$E$200+multiple_regression!$O$25*dummy_variables!$F$200+multiple_regression!$O$26*dummy_variables!$G$200+multiple_regression!$O$27*dummy_variables!$H$200+multiple_regression!$O$28*dummy_variables!$I$200</f>
        <v>520616.051794719</v>
      </c>
      <c r="G200" s="27" t="n">
        <f aca="false">E200-F200</f>
        <v>-71150.9917947185</v>
      </c>
    </row>
    <row r="201" customFormat="false" ht="15" hidden="false" customHeight="true" outlineLevel="0" collapsed="false">
      <c r="A201" s="5" t="str">
        <f aca="false">cleaned_data!$A$201</f>
        <v>STR-1050</v>
      </c>
      <c r="B201" s="26" t="str">
        <f aca="false">cleaned_data!$B$201</f>
        <v>2025-01-01</v>
      </c>
      <c r="C201" s="5" t="str">
        <f aca="false">cleaned_data!$C$201</f>
        <v>North</v>
      </c>
      <c r="D201" s="5" t="str">
        <f aca="false">cleaned_data!$D$201</f>
        <v>Residential</v>
      </c>
      <c r="E201" s="27" t="n">
        <f aca="false">cleaned_data!$M$201</f>
        <v>691447.43</v>
      </c>
      <c r="F201" s="27" t="n">
        <f aca="false">multiple_regression!$O$18+multiple_regression!$O$19*cleaned_data!$F$201+multiple_regression!$O$20*cleaned_data!$E$201+multiple_regression!$O$21*cleaned_data!$I$201+multiple_regression!$O$22*cleaned_data!$H$201+multiple_regression!$O$23*dummy_variables!$D$201+multiple_regression!$O$24*dummy_variables!$E$201+multiple_regression!$O$25*dummy_variables!$F$201+multiple_regression!$O$26*dummy_variables!$G$201+multiple_regression!$O$27*dummy_variables!$H$201+multiple_regression!$O$28*dummy_variables!$I$201</f>
        <v>621437.698517955</v>
      </c>
      <c r="G201" s="27" t="n">
        <f aca="false">E201-F201</f>
        <v>70009.7314820447</v>
      </c>
    </row>
    <row r="202" customFormat="false" ht="15" hidden="false" customHeight="true" outlineLevel="0" collapsed="false">
      <c r="A202" s="5" t="str">
        <f aca="false">cleaned_data!$A$202</f>
        <v>STR-1050</v>
      </c>
      <c r="B202" s="26" t="str">
        <f aca="false">cleaned_data!$B$202</f>
        <v>2025-02-01</v>
      </c>
      <c r="C202" s="5" t="str">
        <f aca="false">cleaned_data!$C$202</f>
        <v>North</v>
      </c>
      <c r="D202" s="5" t="str">
        <f aca="false">cleaned_data!$D$202</f>
        <v>Residential</v>
      </c>
      <c r="E202" s="27" t="n">
        <f aca="false">cleaned_data!$M$202</f>
        <v>574066.61</v>
      </c>
      <c r="F202" s="27" t="n">
        <f aca="false">multiple_regression!$O$18+multiple_regression!$O$19*cleaned_data!$F$202+multiple_regression!$O$20*cleaned_data!$E$202+multiple_regression!$O$21*cleaned_data!$I$202+multiple_regression!$O$22*cleaned_data!$H$202+multiple_regression!$O$23*dummy_variables!$D$202+multiple_regression!$O$24*dummy_variables!$E$202+multiple_regression!$O$25*dummy_variables!$F$202+multiple_regression!$O$26*dummy_variables!$G$202+multiple_regression!$O$27*dummy_variables!$H$202+multiple_regression!$O$28*dummy_variables!$I$202</f>
        <v>597242.729378971</v>
      </c>
      <c r="G202" s="27" t="n">
        <f aca="false">E202-F202</f>
        <v>-23176.1193789707</v>
      </c>
    </row>
    <row r="203" customFormat="false" ht="15" hidden="false" customHeight="true" outlineLevel="0" collapsed="false">
      <c r="A203" s="5" t="str">
        <f aca="false">cleaned_data!$A$203</f>
        <v>STR-1050</v>
      </c>
      <c r="B203" s="26" t="str">
        <f aca="false">cleaned_data!$B$203</f>
        <v>2025-03-01</v>
      </c>
      <c r="C203" s="5" t="str">
        <f aca="false">cleaned_data!$C$203</f>
        <v>North</v>
      </c>
      <c r="D203" s="5" t="str">
        <f aca="false">cleaned_data!$D$203</f>
        <v>Residential</v>
      </c>
      <c r="E203" s="27" t="n">
        <f aca="false">cleaned_data!$M$203</f>
        <v>578949.84</v>
      </c>
      <c r="F203" s="27" t="n">
        <f aca="false">multiple_regression!$O$18+multiple_regression!$O$19*cleaned_data!$F$203+multiple_regression!$O$20*cleaned_data!$E$203+multiple_regression!$O$21*cleaned_data!$I$203+multiple_regression!$O$22*cleaned_data!$H$203+multiple_regression!$O$23*dummy_variables!$D$203+multiple_regression!$O$24*dummy_variables!$E$203+multiple_regression!$O$25*dummy_variables!$F$203+multiple_regression!$O$26*dummy_variables!$G$203+multiple_regression!$O$27*dummy_variables!$H$203+multiple_regression!$O$28*dummy_variables!$I$203</f>
        <v>597029.242549442</v>
      </c>
      <c r="G203" s="27" t="n">
        <f aca="false">E203-F203</f>
        <v>-18079.4025494418</v>
      </c>
    </row>
    <row r="204" customFormat="false" ht="15" hidden="false" customHeight="true" outlineLevel="0" collapsed="false">
      <c r="A204" s="5" t="str">
        <f aca="false">cleaned_data!$A$204</f>
        <v>STR-1050</v>
      </c>
      <c r="B204" s="26" t="str">
        <f aca="false">cleaned_data!$B$204</f>
        <v>2025-04-01</v>
      </c>
      <c r="C204" s="5" t="str">
        <f aca="false">cleaned_data!$C$204</f>
        <v>North</v>
      </c>
      <c r="D204" s="5" t="str">
        <f aca="false">cleaned_data!$D$204</f>
        <v>Residential</v>
      </c>
      <c r="E204" s="27" t="n">
        <f aca="false">cleaned_data!$M$204</f>
        <v>735786.64</v>
      </c>
      <c r="F204" s="27" t="n">
        <f aca="false">multiple_regression!$O$18+multiple_regression!$O$19*cleaned_data!$F$204+multiple_regression!$O$20*cleaned_data!$E$204+multiple_regression!$O$21*cleaned_data!$I$204+multiple_regression!$O$22*cleaned_data!$H$204+multiple_regression!$O$23*dummy_variables!$D$204+multiple_regression!$O$24*dummy_variables!$E$204+multiple_regression!$O$25*dummy_variables!$F$204+multiple_regression!$O$26*dummy_variables!$G$204+multiple_regression!$O$27*dummy_variables!$H$204+multiple_regression!$O$28*dummy_variables!$I$204</f>
        <v>647338.412645091</v>
      </c>
      <c r="G204" s="27" t="n">
        <f aca="false">E204-F204</f>
        <v>88448.2273549086</v>
      </c>
    </row>
    <row r="205" customFormat="false" ht="15" hidden="false" customHeight="true" outlineLevel="0" collapsed="false">
      <c r="A205" s="5" t="str">
        <f aca="false">cleaned_data!$A$205</f>
        <v>STR-1051</v>
      </c>
      <c r="B205" s="26" t="str">
        <f aca="false">cleaned_data!$B$205</f>
        <v>2025-01-01</v>
      </c>
      <c r="C205" s="5" t="str">
        <f aca="false">cleaned_data!$C$205</f>
        <v>East</v>
      </c>
      <c r="D205" s="5" t="str">
        <f aca="false">cleaned_data!$D$205</f>
        <v>Airport</v>
      </c>
      <c r="E205" s="27" t="n">
        <f aca="false">cleaned_data!$M$205</f>
        <v>598904.9</v>
      </c>
      <c r="F205" s="27" t="n">
        <f aca="false">multiple_regression!$O$18+multiple_regression!$O$19*cleaned_data!$F$205+multiple_regression!$O$20*cleaned_data!$E$205+multiple_regression!$O$21*cleaned_data!$I$205+multiple_regression!$O$22*cleaned_data!$H$205+multiple_regression!$O$23*dummy_variables!$D$205+multiple_regression!$O$24*dummy_variables!$E$205+multiple_regression!$O$25*dummy_variables!$F$205+multiple_regression!$O$26*dummy_variables!$G$205+multiple_regression!$O$27*dummy_variables!$H$205+multiple_regression!$O$28*dummy_variables!$I$205</f>
        <v>613390.738099954</v>
      </c>
      <c r="G205" s="27" t="n">
        <f aca="false">E205-F205</f>
        <v>-14485.8380999542</v>
      </c>
    </row>
    <row r="206" customFormat="false" ht="15" hidden="false" customHeight="true" outlineLevel="0" collapsed="false">
      <c r="A206" s="5" t="str">
        <f aca="false">cleaned_data!$A$206</f>
        <v>STR-1051</v>
      </c>
      <c r="B206" s="26" t="str">
        <f aca="false">cleaned_data!$B$206</f>
        <v>2025-02-01</v>
      </c>
      <c r="C206" s="5" t="str">
        <f aca="false">cleaned_data!$C$206</f>
        <v>East</v>
      </c>
      <c r="D206" s="5" t="str">
        <f aca="false">cleaned_data!$D$206</f>
        <v>Airport</v>
      </c>
      <c r="E206" s="27" t="n">
        <f aca="false">cleaned_data!$M$206</f>
        <v>787715.51</v>
      </c>
      <c r="F206" s="27" t="n">
        <f aca="false">multiple_regression!$O$18+multiple_regression!$O$19*cleaned_data!$F$206+multiple_regression!$O$20*cleaned_data!$E$206+multiple_regression!$O$21*cleaned_data!$I$206+multiple_regression!$O$22*cleaned_data!$H$206+multiple_regression!$O$23*dummy_variables!$D$206+multiple_regression!$O$24*dummy_variables!$E$206+multiple_regression!$O$25*dummy_variables!$F$206+multiple_regression!$O$26*dummy_variables!$G$206+multiple_regression!$O$27*dummy_variables!$H$206+multiple_regression!$O$28*dummy_variables!$I$206</f>
        <v>690488.434885743</v>
      </c>
      <c r="G206" s="27" t="n">
        <f aca="false">E206-F206</f>
        <v>97227.0751142568</v>
      </c>
    </row>
    <row r="207" customFormat="false" ht="15" hidden="false" customHeight="true" outlineLevel="0" collapsed="false">
      <c r="A207" s="5" t="str">
        <f aca="false">cleaned_data!$A$207</f>
        <v>STR-1051</v>
      </c>
      <c r="B207" s="26" t="str">
        <f aca="false">cleaned_data!$B$207</f>
        <v>2025-03-01</v>
      </c>
      <c r="C207" s="5" t="str">
        <f aca="false">cleaned_data!$C$207</f>
        <v>East</v>
      </c>
      <c r="D207" s="5" t="str">
        <f aca="false">cleaned_data!$D$207</f>
        <v>Airport</v>
      </c>
      <c r="E207" s="27" t="n">
        <f aca="false">cleaned_data!$M$207</f>
        <v>607084.92</v>
      </c>
      <c r="F207" s="27" t="n">
        <f aca="false">multiple_regression!$O$18+multiple_regression!$O$19*cleaned_data!$F$207+multiple_regression!$O$20*cleaned_data!$E$207+multiple_regression!$O$21*cleaned_data!$I$207+multiple_regression!$O$22*cleaned_data!$H$207+multiple_regression!$O$23*dummy_variables!$D$207+multiple_regression!$O$24*dummy_variables!$E$207+multiple_regression!$O$25*dummy_variables!$F$207+multiple_regression!$O$26*dummy_variables!$G$207+multiple_regression!$O$27*dummy_variables!$H$207+multiple_regression!$O$28*dummy_variables!$I$207</f>
        <v>648226.387897738</v>
      </c>
      <c r="G207" s="27" t="n">
        <f aca="false">E207-F207</f>
        <v>-41141.4678977382</v>
      </c>
    </row>
    <row r="208" customFormat="false" ht="15" hidden="false" customHeight="true" outlineLevel="0" collapsed="false">
      <c r="A208" s="5" t="str">
        <f aca="false">cleaned_data!$A$208</f>
        <v>STR-1051</v>
      </c>
      <c r="B208" s="26" t="str">
        <f aca="false">cleaned_data!$B$208</f>
        <v>2025-04-01</v>
      </c>
      <c r="C208" s="5" t="str">
        <f aca="false">cleaned_data!$C$208</f>
        <v>East</v>
      </c>
      <c r="D208" s="5" t="str">
        <f aca="false">cleaned_data!$D$208</f>
        <v>Airport</v>
      </c>
      <c r="E208" s="27" t="n">
        <f aca="false">cleaned_data!$M$208</f>
        <v>650795.49</v>
      </c>
      <c r="F208" s="27" t="n">
        <f aca="false">multiple_regression!$O$18+multiple_regression!$O$19*cleaned_data!$F$208+multiple_regression!$O$20*cleaned_data!$E$208+multiple_regression!$O$21*cleaned_data!$I$208+multiple_regression!$O$22*cleaned_data!$H$208+multiple_regression!$O$23*dummy_variables!$D$208+multiple_regression!$O$24*dummy_variables!$E$208+multiple_regression!$O$25*dummy_variables!$F$208+multiple_regression!$O$26*dummy_variables!$G$208+multiple_regression!$O$27*dummy_variables!$H$208+multiple_regression!$O$28*dummy_variables!$I$208</f>
        <v>683263.622975892</v>
      </c>
      <c r="G208" s="27" t="n">
        <f aca="false">E208-F208</f>
        <v>-32468.1329758916</v>
      </c>
    </row>
    <row r="209" customFormat="false" ht="15" hidden="false" customHeight="true" outlineLevel="0" collapsed="false">
      <c r="A209" s="5" t="str">
        <f aca="false">cleaned_data!$A$209</f>
        <v>STR-1052</v>
      </c>
      <c r="B209" s="26" t="str">
        <f aca="false">cleaned_data!$B$209</f>
        <v>2025-01-01</v>
      </c>
      <c r="C209" s="5" t="str">
        <f aca="false">cleaned_data!$C$209</f>
        <v>East</v>
      </c>
      <c r="D209" s="5" t="str">
        <f aca="false">cleaned_data!$D$209</f>
        <v>Mall</v>
      </c>
      <c r="E209" s="27" t="n">
        <f aca="false">cleaned_data!$M$209</f>
        <v>825060.52</v>
      </c>
      <c r="F209" s="27" t="n">
        <f aca="false">multiple_regression!$O$18+multiple_regression!$O$19*cleaned_data!$F$209+multiple_regression!$O$20*cleaned_data!$E$209+multiple_regression!$O$21*cleaned_data!$I$209+multiple_regression!$O$22*cleaned_data!$H$209+multiple_regression!$O$23*dummy_variables!$D$209+multiple_regression!$O$24*dummy_variables!$E$209+multiple_regression!$O$25*dummy_variables!$F$209+multiple_regression!$O$26*dummy_variables!$G$209+multiple_regression!$O$27*dummy_variables!$H$209+multiple_regression!$O$28*dummy_variables!$I$209</f>
        <v>847478.793787515</v>
      </c>
      <c r="G209" s="27" t="n">
        <f aca="false">E209-F209</f>
        <v>-22418.2737875145</v>
      </c>
    </row>
    <row r="210" customFormat="false" ht="15" hidden="false" customHeight="true" outlineLevel="0" collapsed="false">
      <c r="A210" s="5" t="str">
        <f aca="false">cleaned_data!$A$210</f>
        <v>STR-1052</v>
      </c>
      <c r="B210" s="26" t="str">
        <f aca="false">cleaned_data!$B$210</f>
        <v>2025-02-01</v>
      </c>
      <c r="C210" s="5" t="str">
        <f aca="false">cleaned_data!$C$210</f>
        <v>East</v>
      </c>
      <c r="D210" s="5" t="str">
        <f aca="false">cleaned_data!$D$210</f>
        <v>Mall</v>
      </c>
      <c r="E210" s="27" t="n">
        <f aca="false">cleaned_data!$M$210</f>
        <v>795464.47</v>
      </c>
      <c r="F210" s="27" t="n">
        <f aca="false">multiple_regression!$O$18+multiple_regression!$O$19*cleaned_data!$F$210+multiple_regression!$O$20*cleaned_data!$E$210+multiple_regression!$O$21*cleaned_data!$I$210+multiple_regression!$O$22*cleaned_data!$H$210+multiple_regression!$O$23*dummy_variables!$D$210+multiple_regression!$O$24*dummy_variables!$E$210+multiple_regression!$O$25*dummy_variables!$F$210+multiple_regression!$O$26*dummy_variables!$G$210+multiple_regression!$O$27*dummy_variables!$H$210+multiple_regression!$O$28*dummy_variables!$I$210</f>
        <v>742420.059170483</v>
      </c>
      <c r="G210" s="27" t="n">
        <f aca="false">E210-F210</f>
        <v>53044.4108295166</v>
      </c>
    </row>
    <row r="211" customFormat="false" ht="15" hidden="false" customHeight="true" outlineLevel="0" collapsed="false">
      <c r="A211" s="5" t="str">
        <f aca="false">cleaned_data!$A$211</f>
        <v>STR-1052</v>
      </c>
      <c r="B211" s="26" t="str">
        <f aca="false">cleaned_data!$B$211</f>
        <v>2025-03-01</v>
      </c>
      <c r="C211" s="5" t="str">
        <f aca="false">cleaned_data!$C$211</f>
        <v>East</v>
      </c>
      <c r="D211" s="5" t="str">
        <f aca="false">cleaned_data!$D$211</f>
        <v>Mall</v>
      </c>
      <c r="E211" s="27" t="n">
        <f aca="false">cleaned_data!$M$211</f>
        <v>671868.59</v>
      </c>
      <c r="F211" s="27" t="n">
        <f aca="false">multiple_regression!$O$18+multiple_regression!$O$19*cleaned_data!$F$211+multiple_regression!$O$20*cleaned_data!$E$211+multiple_regression!$O$21*cleaned_data!$I$211+multiple_regression!$O$22*cleaned_data!$H$211+multiple_regression!$O$23*dummy_variables!$D$211+multiple_regression!$O$24*dummy_variables!$E$211+multiple_regression!$O$25*dummy_variables!$F$211+multiple_regression!$O$26*dummy_variables!$G$211+multiple_regression!$O$27*dummy_variables!$H$211+multiple_regression!$O$28*dummy_variables!$I$211</f>
        <v>731124.533610902</v>
      </c>
      <c r="G211" s="27" t="n">
        <f aca="false">E211-F211</f>
        <v>-59255.9436109016</v>
      </c>
    </row>
    <row r="212" customFormat="false" ht="15" hidden="false" customHeight="true" outlineLevel="0" collapsed="false">
      <c r="A212" s="5" t="str">
        <f aca="false">cleaned_data!$A$212</f>
        <v>STR-1052</v>
      </c>
      <c r="B212" s="26" t="str">
        <f aca="false">cleaned_data!$B$212</f>
        <v>2025-04-01</v>
      </c>
      <c r="C212" s="5" t="str">
        <f aca="false">cleaned_data!$C$212</f>
        <v>East</v>
      </c>
      <c r="D212" s="5" t="str">
        <f aca="false">cleaned_data!$D$212</f>
        <v>Mall</v>
      </c>
      <c r="E212" s="27" t="n">
        <f aca="false">cleaned_data!$M$212</f>
        <v>675917.63</v>
      </c>
      <c r="F212" s="27" t="n">
        <f aca="false">multiple_regression!$O$18+multiple_regression!$O$19*cleaned_data!$F$212+multiple_regression!$O$20*cleaned_data!$E$212+multiple_regression!$O$21*cleaned_data!$I$212+multiple_regression!$O$22*cleaned_data!$H$212+multiple_regression!$O$23*dummy_variables!$D$212+multiple_regression!$O$24*dummy_variables!$E$212+multiple_regression!$O$25*dummy_variables!$F$212+multiple_regression!$O$26*dummy_variables!$G$212+multiple_regression!$O$27*dummy_variables!$H$212+multiple_regression!$O$28*dummy_variables!$I$212</f>
        <v>752946.562896266</v>
      </c>
      <c r="G212" s="27" t="n">
        <f aca="false">E212-F212</f>
        <v>-77028.9328962659</v>
      </c>
    </row>
    <row r="213" customFormat="false" ht="15" hidden="false" customHeight="true" outlineLevel="0" collapsed="false">
      <c r="A213" s="5" t="str">
        <f aca="false">cleaned_data!$A$213</f>
        <v>STR-1053</v>
      </c>
      <c r="B213" s="26" t="str">
        <f aca="false">cleaned_data!$B$213</f>
        <v>2025-01-01</v>
      </c>
      <c r="C213" s="5" t="str">
        <f aca="false">cleaned_data!$C$213</f>
        <v>East</v>
      </c>
      <c r="D213" s="5" t="str">
        <f aca="false">cleaned_data!$D$213</f>
        <v>High Street</v>
      </c>
      <c r="E213" s="27" t="n">
        <f aca="false">cleaned_data!$M$213</f>
        <v>810446.53</v>
      </c>
      <c r="F213" s="27" t="n">
        <f aca="false">multiple_regression!$O$18+multiple_regression!$O$19*cleaned_data!$F$213+multiple_regression!$O$20*cleaned_data!$E$213+multiple_regression!$O$21*cleaned_data!$I$213+multiple_regression!$O$22*cleaned_data!$H$213+multiple_regression!$O$23*dummy_variables!$D$213+multiple_regression!$O$24*dummy_variables!$E$213+multiple_regression!$O$25*dummy_variables!$F$213+multiple_regression!$O$26*dummy_variables!$G$213+multiple_regression!$O$27*dummy_variables!$H$213+multiple_regression!$O$28*dummy_variables!$I$213</f>
        <v>798468.806986001</v>
      </c>
      <c r="G213" s="27" t="n">
        <f aca="false">E213-F213</f>
        <v>11977.7230139992</v>
      </c>
    </row>
    <row r="214" customFormat="false" ht="15" hidden="false" customHeight="true" outlineLevel="0" collapsed="false">
      <c r="A214" s="5" t="str">
        <f aca="false">cleaned_data!$A$214</f>
        <v>STR-1053</v>
      </c>
      <c r="B214" s="26" t="str">
        <f aca="false">cleaned_data!$B$214</f>
        <v>2025-02-01</v>
      </c>
      <c r="C214" s="5" t="str">
        <f aca="false">cleaned_data!$C$214</f>
        <v>East</v>
      </c>
      <c r="D214" s="5" t="str">
        <f aca="false">cleaned_data!$D$214</f>
        <v>High Street</v>
      </c>
      <c r="E214" s="27" t="n">
        <f aca="false">cleaned_data!$M$214</f>
        <v>691288.19</v>
      </c>
      <c r="F214" s="27" t="n">
        <f aca="false">multiple_regression!$O$18+multiple_regression!$O$19*cleaned_data!$F$214+multiple_regression!$O$20*cleaned_data!$E$214+multiple_regression!$O$21*cleaned_data!$I$214+multiple_regression!$O$22*cleaned_data!$H$214+multiple_regression!$O$23*dummy_variables!$D$214+multiple_regression!$O$24*dummy_variables!$E$214+multiple_regression!$O$25*dummy_variables!$F$214+multiple_regression!$O$26*dummy_variables!$G$214+multiple_regression!$O$27*dummy_variables!$H$214+multiple_regression!$O$28*dummy_variables!$I$214</f>
        <v>758384.754114462</v>
      </c>
      <c r="G214" s="27" t="n">
        <f aca="false">E214-F214</f>
        <v>-67096.5641144624</v>
      </c>
    </row>
    <row r="215" customFormat="false" ht="15" hidden="false" customHeight="true" outlineLevel="0" collapsed="false">
      <c r="A215" s="5" t="str">
        <f aca="false">cleaned_data!$A$215</f>
        <v>STR-1053</v>
      </c>
      <c r="B215" s="26" t="str">
        <f aca="false">cleaned_data!$B$215</f>
        <v>2025-03-01</v>
      </c>
      <c r="C215" s="5" t="str">
        <f aca="false">cleaned_data!$C$215</f>
        <v>East</v>
      </c>
      <c r="D215" s="5" t="str">
        <f aca="false">cleaned_data!$D$215</f>
        <v>High Street</v>
      </c>
      <c r="E215" s="27" t="n">
        <f aca="false">cleaned_data!$M$215</f>
        <v>946833.54</v>
      </c>
      <c r="F215" s="27" t="n">
        <f aca="false">multiple_regression!$O$18+multiple_regression!$O$19*cleaned_data!$F$215+multiple_regression!$O$20*cleaned_data!$E$215+multiple_regression!$O$21*cleaned_data!$I$215+multiple_regression!$O$22*cleaned_data!$H$215+multiple_regression!$O$23*dummy_variables!$D$215+multiple_regression!$O$24*dummy_variables!$E$215+multiple_regression!$O$25*dummy_variables!$F$215+multiple_regression!$O$26*dummy_variables!$G$215+multiple_regression!$O$27*dummy_variables!$H$215+multiple_regression!$O$28*dummy_variables!$I$215</f>
        <v>963495.092273611</v>
      </c>
      <c r="G215" s="27" t="n">
        <f aca="false">E215-F215</f>
        <v>-16661.5522736106</v>
      </c>
    </row>
    <row r="216" customFormat="false" ht="15" hidden="false" customHeight="true" outlineLevel="0" collapsed="false">
      <c r="A216" s="5" t="str">
        <f aca="false">cleaned_data!$A$216</f>
        <v>STR-1053</v>
      </c>
      <c r="B216" s="26" t="str">
        <f aca="false">cleaned_data!$B$216</f>
        <v>2025-04-01</v>
      </c>
      <c r="C216" s="5" t="str">
        <f aca="false">cleaned_data!$C$216</f>
        <v>East</v>
      </c>
      <c r="D216" s="5" t="str">
        <f aca="false">cleaned_data!$D$216</f>
        <v>High Street</v>
      </c>
      <c r="E216" s="27" t="n">
        <f aca="false">cleaned_data!$M$216</f>
        <v>761963.23</v>
      </c>
      <c r="F216" s="27" t="n">
        <f aca="false">multiple_regression!$O$18+multiple_regression!$O$19*cleaned_data!$F$216+multiple_regression!$O$20*cleaned_data!$E$216+multiple_regression!$O$21*cleaned_data!$I$216+multiple_regression!$O$22*cleaned_data!$H$216+multiple_regression!$O$23*dummy_variables!$D$216+multiple_regression!$O$24*dummy_variables!$E$216+multiple_regression!$O$25*dummy_variables!$F$216+multiple_regression!$O$26*dummy_variables!$G$216+multiple_regression!$O$27*dummy_variables!$H$216+multiple_regression!$O$28*dummy_variables!$I$216</f>
        <v>762853.031821202</v>
      </c>
      <c r="G216" s="27" t="n">
        <f aca="false">E216-F216</f>
        <v>-889.801821201923</v>
      </c>
    </row>
    <row r="217" customFormat="false" ht="15" hidden="false" customHeight="true" outlineLevel="0" collapsed="false">
      <c r="A217" s="5" t="str">
        <f aca="false">cleaned_data!$A$217</f>
        <v>STR-1054</v>
      </c>
      <c r="B217" s="26" t="str">
        <f aca="false">cleaned_data!$B$217</f>
        <v>2025-01-01</v>
      </c>
      <c r="C217" s="5" t="str">
        <f aca="false">cleaned_data!$C$217</f>
        <v>West</v>
      </c>
      <c r="D217" s="5" t="str">
        <f aca="false">cleaned_data!$D$217</f>
        <v>Residential</v>
      </c>
      <c r="E217" s="27" t="n">
        <f aca="false">cleaned_data!$M$217</f>
        <v>812152.6</v>
      </c>
      <c r="F217" s="27" t="n">
        <f aca="false">multiple_regression!$O$18+multiple_regression!$O$19*cleaned_data!$F$217+multiple_regression!$O$20*cleaned_data!$E$217+multiple_regression!$O$21*cleaned_data!$I$217+multiple_regression!$O$22*cleaned_data!$H$217+multiple_regression!$O$23*dummy_variables!$D$217+multiple_regression!$O$24*dummy_variables!$E$217+multiple_regression!$O$25*dummy_variables!$F$217+multiple_regression!$O$26*dummy_variables!$G$217+multiple_regression!$O$27*dummy_variables!$H$217+multiple_regression!$O$28*dummy_variables!$I$217</f>
        <v>778232.79660404</v>
      </c>
      <c r="G217" s="27" t="n">
        <f aca="false">E217-F217</f>
        <v>33919.8033959605</v>
      </c>
    </row>
    <row r="218" customFormat="false" ht="15" hidden="false" customHeight="true" outlineLevel="0" collapsed="false">
      <c r="A218" s="5" t="str">
        <f aca="false">cleaned_data!$A$218</f>
        <v>STR-1054</v>
      </c>
      <c r="B218" s="26" t="str">
        <f aca="false">cleaned_data!$B$218</f>
        <v>2025-02-01</v>
      </c>
      <c r="C218" s="5" t="str">
        <f aca="false">cleaned_data!$C$218</f>
        <v>West</v>
      </c>
      <c r="D218" s="5" t="str">
        <f aca="false">cleaned_data!$D$218</f>
        <v>Residential</v>
      </c>
      <c r="E218" s="27" t="n">
        <f aca="false">cleaned_data!$M$218</f>
        <v>804975.5</v>
      </c>
      <c r="F218" s="27" t="n">
        <f aca="false">multiple_regression!$O$18+multiple_regression!$O$19*cleaned_data!$F$218+multiple_regression!$O$20*cleaned_data!$E$218+multiple_regression!$O$21*cleaned_data!$I$218+multiple_regression!$O$22*cleaned_data!$H$218+multiple_regression!$O$23*dummy_variables!$D$218+multiple_regression!$O$24*dummy_variables!$E$218+multiple_regression!$O$25*dummy_variables!$F$218+multiple_regression!$O$26*dummy_variables!$G$218+multiple_regression!$O$27*dummy_variables!$H$218+multiple_regression!$O$28*dummy_variables!$I$218</f>
        <v>760442.149137344</v>
      </c>
      <c r="G218" s="27" t="n">
        <f aca="false">E218-F218</f>
        <v>44533.3508626561</v>
      </c>
    </row>
    <row r="219" customFormat="false" ht="15" hidden="false" customHeight="true" outlineLevel="0" collapsed="false">
      <c r="A219" s="5" t="str">
        <f aca="false">cleaned_data!$A$219</f>
        <v>STR-1054</v>
      </c>
      <c r="B219" s="26" t="str">
        <f aca="false">cleaned_data!$B$219</f>
        <v>2025-03-01</v>
      </c>
      <c r="C219" s="5" t="str">
        <f aca="false">cleaned_data!$C$219</f>
        <v>West</v>
      </c>
      <c r="D219" s="5" t="str">
        <f aca="false">cleaned_data!$D$219</f>
        <v>Residential</v>
      </c>
      <c r="E219" s="27" t="n">
        <f aca="false">cleaned_data!$M$219</f>
        <v>752321.72</v>
      </c>
      <c r="F219" s="27" t="n">
        <f aca="false">multiple_regression!$O$18+multiple_regression!$O$19*cleaned_data!$F$219+multiple_regression!$O$20*cleaned_data!$E$219+multiple_regression!$O$21*cleaned_data!$I$219+multiple_regression!$O$22*cleaned_data!$H$219+multiple_regression!$O$23*dummy_variables!$D$219+multiple_regression!$O$24*dummy_variables!$E$219+multiple_regression!$O$25*dummy_variables!$F$219+multiple_regression!$O$26*dummy_variables!$G$219+multiple_regression!$O$27*dummy_variables!$H$219+multiple_regression!$O$28*dummy_variables!$I$219</f>
        <v>750465.085634672</v>
      </c>
      <c r="G219" s="27" t="n">
        <f aca="false">E219-F219</f>
        <v>1856.63436532824</v>
      </c>
    </row>
    <row r="220" customFormat="false" ht="15" hidden="false" customHeight="true" outlineLevel="0" collapsed="false">
      <c r="A220" s="5" t="str">
        <f aca="false">cleaned_data!$A$220</f>
        <v>STR-1054</v>
      </c>
      <c r="B220" s="26" t="str">
        <f aca="false">cleaned_data!$B$220</f>
        <v>2025-04-01</v>
      </c>
      <c r="C220" s="5" t="str">
        <f aca="false">cleaned_data!$C$220</f>
        <v>West</v>
      </c>
      <c r="D220" s="5" t="str">
        <f aca="false">cleaned_data!$D$220</f>
        <v>Residential</v>
      </c>
      <c r="E220" s="27" t="n">
        <f aca="false">cleaned_data!$M$220</f>
        <v>836908.24</v>
      </c>
      <c r="F220" s="27" t="n">
        <f aca="false">multiple_regression!$O$18+multiple_regression!$O$19*cleaned_data!$F$220+multiple_regression!$O$20*cleaned_data!$E$220+multiple_regression!$O$21*cleaned_data!$I$220+multiple_regression!$O$22*cleaned_data!$H$220+multiple_regression!$O$23*dummy_variables!$D$220+multiple_regression!$O$24*dummy_variables!$E$220+multiple_regression!$O$25*dummy_variables!$F$220+multiple_regression!$O$26*dummy_variables!$G$220+multiple_regression!$O$27*dummy_variables!$H$220+multiple_regression!$O$28*dummy_variables!$I$220</f>
        <v>819782.253697734</v>
      </c>
      <c r="G220" s="27" t="n">
        <f aca="false">E220-F220</f>
        <v>17125.986302266</v>
      </c>
    </row>
    <row r="221" customFormat="false" ht="15" hidden="false" customHeight="true" outlineLevel="0" collapsed="false">
      <c r="A221" s="5" t="str">
        <f aca="false">cleaned_data!$A$221</f>
        <v>STR-1055</v>
      </c>
      <c r="B221" s="26" t="str">
        <f aca="false">cleaned_data!$B$221</f>
        <v>2025-01-01</v>
      </c>
      <c r="C221" s="5" t="str">
        <f aca="false">cleaned_data!$C$221</f>
        <v>North</v>
      </c>
      <c r="D221" s="5" t="str">
        <f aca="false">cleaned_data!$D$221</f>
        <v>Airport</v>
      </c>
      <c r="E221" s="27" t="n">
        <f aca="false">cleaned_data!$M$221</f>
        <v>674289.1</v>
      </c>
      <c r="F221" s="27" t="n">
        <f aca="false">multiple_regression!$O$18+multiple_regression!$O$19*cleaned_data!$F$221+multiple_regression!$O$20*cleaned_data!$E$221+multiple_regression!$O$21*cleaned_data!$I$221+multiple_regression!$O$22*cleaned_data!$H$221+multiple_regression!$O$23*dummy_variables!$D$221+multiple_regression!$O$24*dummy_variables!$E$221+multiple_regression!$O$25*dummy_variables!$F$221+multiple_regression!$O$26*dummy_variables!$G$221+multiple_regression!$O$27*dummy_variables!$H$221+multiple_regression!$O$28*dummy_variables!$I$221</f>
        <v>653128.797232232</v>
      </c>
      <c r="G221" s="27" t="n">
        <f aca="false">E221-F221</f>
        <v>21160.3027677678</v>
      </c>
    </row>
    <row r="222" customFormat="false" ht="15" hidden="false" customHeight="true" outlineLevel="0" collapsed="false">
      <c r="A222" s="5" t="str">
        <f aca="false">cleaned_data!$A$222</f>
        <v>STR-1055</v>
      </c>
      <c r="B222" s="26" t="str">
        <f aca="false">cleaned_data!$B$222</f>
        <v>2025-02-01</v>
      </c>
      <c r="C222" s="5" t="str">
        <f aca="false">cleaned_data!$C$222</f>
        <v>North</v>
      </c>
      <c r="D222" s="5" t="str">
        <f aca="false">cleaned_data!$D$222</f>
        <v>Airport</v>
      </c>
      <c r="E222" s="27" t="n">
        <f aca="false">cleaned_data!$M$222</f>
        <v>622892.42</v>
      </c>
      <c r="F222" s="27" t="n">
        <f aca="false">multiple_regression!$O$18+multiple_regression!$O$19*cleaned_data!$F$222+multiple_regression!$O$20*cleaned_data!$E$222+multiple_regression!$O$21*cleaned_data!$I$222+multiple_regression!$O$22*cleaned_data!$H$222+multiple_regression!$O$23*dummy_variables!$D$222+multiple_regression!$O$24*dummy_variables!$E$222+multiple_regression!$O$25*dummy_variables!$F$222+multiple_regression!$O$26*dummy_variables!$G$222+multiple_regression!$O$27*dummy_variables!$H$222+multiple_regression!$O$28*dummy_variables!$I$222</f>
        <v>649060.71882263</v>
      </c>
      <c r="G222" s="27" t="n">
        <f aca="false">E222-F222</f>
        <v>-26168.2988226298</v>
      </c>
    </row>
    <row r="223" customFormat="false" ht="15" hidden="false" customHeight="true" outlineLevel="0" collapsed="false">
      <c r="A223" s="5" t="str">
        <f aca="false">cleaned_data!$A$223</f>
        <v>STR-1055</v>
      </c>
      <c r="B223" s="26" t="str">
        <f aca="false">cleaned_data!$B$223</f>
        <v>2025-03-01</v>
      </c>
      <c r="C223" s="5" t="str">
        <f aca="false">cleaned_data!$C$223</f>
        <v>North</v>
      </c>
      <c r="D223" s="5" t="str">
        <f aca="false">cleaned_data!$D$223</f>
        <v>Airport</v>
      </c>
      <c r="E223" s="27" t="n">
        <f aca="false">cleaned_data!$M$223</f>
        <v>673348.56</v>
      </c>
      <c r="F223" s="27" t="n">
        <f aca="false">multiple_regression!$O$18+multiple_regression!$O$19*cleaned_data!$F$223+multiple_regression!$O$20*cleaned_data!$E$223+multiple_regression!$O$21*cleaned_data!$I$223+multiple_regression!$O$22*cleaned_data!$H$223+multiple_regression!$O$23*dummy_variables!$D$223+multiple_regression!$O$24*dummy_variables!$E$223+multiple_regression!$O$25*dummy_variables!$F$223+multiple_regression!$O$26*dummy_variables!$G$223+multiple_regression!$O$27*dummy_variables!$H$223+multiple_regression!$O$28*dummy_variables!$I$223</f>
        <v>643211.173418099</v>
      </c>
      <c r="G223" s="27" t="n">
        <f aca="false">E223-F223</f>
        <v>30137.3865819011</v>
      </c>
    </row>
    <row r="224" customFormat="false" ht="15" hidden="false" customHeight="true" outlineLevel="0" collapsed="false">
      <c r="A224" s="5" t="str">
        <f aca="false">cleaned_data!$A$224</f>
        <v>STR-1055</v>
      </c>
      <c r="B224" s="26" t="str">
        <f aca="false">cleaned_data!$B$224</f>
        <v>2025-04-01</v>
      </c>
      <c r="C224" s="5" t="str">
        <f aca="false">cleaned_data!$C$224</f>
        <v>North</v>
      </c>
      <c r="D224" s="5" t="str">
        <f aca="false">cleaned_data!$D$224</f>
        <v>Airport</v>
      </c>
      <c r="E224" s="27" t="n">
        <f aca="false">cleaned_data!$M$224</f>
        <v>606278.3</v>
      </c>
      <c r="F224" s="27" t="n">
        <f aca="false">multiple_regression!$O$18+multiple_regression!$O$19*cleaned_data!$F$224+multiple_regression!$O$20*cleaned_data!$E$224+multiple_regression!$O$21*cleaned_data!$I$224+multiple_regression!$O$22*cleaned_data!$H$224+multiple_regression!$O$23*dummy_variables!$D$224+multiple_regression!$O$24*dummy_variables!$E$224+multiple_regression!$O$25*dummy_variables!$F$224+multiple_regression!$O$26*dummy_variables!$G$224+multiple_regression!$O$27*dummy_variables!$H$224+multiple_regression!$O$28*dummy_variables!$I$224</f>
        <v>606856.53583925</v>
      </c>
      <c r="G224" s="27" t="n">
        <f aca="false">E224-F224</f>
        <v>-578.235839250032</v>
      </c>
    </row>
    <row r="225" customFormat="false" ht="15" hidden="false" customHeight="true" outlineLevel="0" collapsed="false">
      <c r="A225" s="5" t="str">
        <f aca="false">cleaned_data!$A$225</f>
        <v>STR-1056</v>
      </c>
      <c r="B225" s="26" t="str">
        <f aca="false">cleaned_data!$B$225</f>
        <v>2025-01-01</v>
      </c>
      <c r="C225" s="5" t="str">
        <f aca="false">cleaned_data!$C$225</f>
        <v>East</v>
      </c>
      <c r="D225" s="5" t="str">
        <f aca="false">cleaned_data!$D$225</f>
        <v>High Street</v>
      </c>
      <c r="E225" s="27" t="n">
        <f aca="false">cleaned_data!$M$225</f>
        <v>712219.81</v>
      </c>
      <c r="F225" s="27" t="n">
        <f aca="false">multiple_regression!$O$18+multiple_regression!$O$19*cleaned_data!$F$225+multiple_regression!$O$20*cleaned_data!$E$225+multiple_regression!$O$21*cleaned_data!$I$225+multiple_regression!$O$22*cleaned_data!$H$225+multiple_regression!$O$23*dummy_variables!$D$225+multiple_regression!$O$24*dummy_variables!$E$225+multiple_regression!$O$25*dummy_variables!$F$225+multiple_regression!$O$26*dummy_variables!$G$225+multiple_regression!$O$27*dummy_variables!$H$225+multiple_regression!$O$28*dummy_variables!$I$225</f>
        <v>698995.029777842</v>
      </c>
      <c r="G225" s="27" t="n">
        <f aca="false">E225-F225</f>
        <v>13224.7802221583</v>
      </c>
    </row>
    <row r="226" customFormat="false" ht="15" hidden="false" customHeight="true" outlineLevel="0" collapsed="false">
      <c r="A226" s="5" t="str">
        <f aca="false">cleaned_data!$A$226</f>
        <v>STR-1056</v>
      </c>
      <c r="B226" s="26" t="str">
        <f aca="false">cleaned_data!$B$226</f>
        <v>2025-02-01</v>
      </c>
      <c r="C226" s="5" t="str">
        <f aca="false">cleaned_data!$C$226</f>
        <v>East</v>
      </c>
      <c r="D226" s="5" t="str">
        <f aca="false">cleaned_data!$D$226</f>
        <v>High Street</v>
      </c>
      <c r="E226" s="27" t="n">
        <f aca="false">cleaned_data!$M$226</f>
        <v>672670.54</v>
      </c>
      <c r="F226" s="27" t="n">
        <f aca="false">multiple_regression!$O$18+multiple_regression!$O$19*cleaned_data!$F$226+multiple_regression!$O$20*cleaned_data!$E$226+multiple_regression!$O$21*cleaned_data!$I$226+multiple_regression!$O$22*cleaned_data!$H$226+multiple_regression!$O$23*dummy_variables!$D$226+multiple_regression!$O$24*dummy_variables!$E$226+multiple_regression!$O$25*dummy_variables!$F$226+multiple_regression!$O$26*dummy_variables!$G$226+multiple_regression!$O$27*dummy_variables!$H$226+multiple_regression!$O$28*dummy_variables!$I$226</f>
        <v>670334.120312805</v>
      </c>
      <c r="G226" s="27" t="n">
        <f aca="false">E226-F226</f>
        <v>2336.41968719556</v>
      </c>
    </row>
    <row r="227" customFormat="false" ht="15" hidden="false" customHeight="true" outlineLevel="0" collapsed="false">
      <c r="A227" s="5" t="str">
        <f aca="false">cleaned_data!$A$227</f>
        <v>STR-1056</v>
      </c>
      <c r="B227" s="26" t="str">
        <f aca="false">cleaned_data!$B$227</f>
        <v>2025-03-01</v>
      </c>
      <c r="C227" s="5" t="str">
        <f aca="false">cleaned_data!$C$227</f>
        <v>East</v>
      </c>
      <c r="D227" s="5" t="str">
        <f aca="false">cleaned_data!$D$227</f>
        <v>High Street</v>
      </c>
      <c r="E227" s="27" t="n">
        <f aca="false">cleaned_data!$M$227</f>
        <v>732667.92</v>
      </c>
      <c r="F227" s="27" t="n">
        <f aca="false">multiple_regression!$O$18+multiple_regression!$O$19*cleaned_data!$F$227+multiple_regression!$O$20*cleaned_data!$E$227+multiple_regression!$O$21*cleaned_data!$I$227+multiple_regression!$O$22*cleaned_data!$H$227+multiple_regression!$O$23*dummy_variables!$D$227+multiple_regression!$O$24*dummy_variables!$E$227+multiple_regression!$O$25*dummy_variables!$F$227+multiple_regression!$O$26*dummy_variables!$G$227+multiple_regression!$O$27*dummy_variables!$H$227+multiple_regression!$O$28*dummy_variables!$I$227</f>
        <v>734120.562785872</v>
      </c>
      <c r="G227" s="27" t="n">
        <f aca="false">E227-F227</f>
        <v>-1452.64278587175</v>
      </c>
    </row>
    <row r="228" customFormat="false" ht="15" hidden="false" customHeight="true" outlineLevel="0" collapsed="false">
      <c r="A228" s="5" t="str">
        <f aca="false">cleaned_data!$A$228</f>
        <v>STR-1056</v>
      </c>
      <c r="B228" s="26" t="str">
        <f aca="false">cleaned_data!$B$228</f>
        <v>2025-04-01</v>
      </c>
      <c r="C228" s="5" t="str">
        <f aca="false">cleaned_data!$C$228</f>
        <v>East</v>
      </c>
      <c r="D228" s="5" t="str">
        <f aca="false">cleaned_data!$D$228</f>
        <v>High Street</v>
      </c>
      <c r="E228" s="27" t="n">
        <f aca="false">cleaned_data!$M$228</f>
        <v>723531.4</v>
      </c>
      <c r="F228" s="27" t="n">
        <f aca="false">multiple_regression!$O$18+multiple_regression!$O$19*cleaned_data!$F$228+multiple_regression!$O$20*cleaned_data!$E$228+multiple_regression!$O$21*cleaned_data!$I$228+multiple_regression!$O$22*cleaned_data!$H$228+multiple_regression!$O$23*dummy_variables!$D$228+multiple_regression!$O$24*dummy_variables!$E$228+multiple_regression!$O$25*dummy_variables!$F$228+multiple_regression!$O$26*dummy_variables!$G$228+multiple_regression!$O$27*dummy_variables!$H$228+multiple_regression!$O$28*dummy_variables!$I$228</f>
        <v>755146.298646378</v>
      </c>
      <c r="G228" s="27" t="n">
        <f aca="false">E228-F228</f>
        <v>-31614.898646378</v>
      </c>
    </row>
    <row r="229" customFormat="false" ht="15" hidden="false" customHeight="true" outlineLevel="0" collapsed="false">
      <c r="A229" s="5" t="str">
        <f aca="false">cleaned_data!$A$229</f>
        <v>STR-1057</v>
      </c>
      <c r="B229" s="26" t="str">
        <f aca="false">cleaned_data!$B$229</f>
        <v>2025-01-01</v>
      </c>
      <c r="C229" s="5" t="str">
        <f aca="false">cleaned_data!$C$229</f>
        <v>East</v>
      </c>
      <c r="D229" s="5" t="str">
        <f aca="false">cleaned_data!$D$229</f>
        <v>Mall</v>
      </c>
      <c r="E229" s="27" t="n">
        <f aca="false">cleaned_data!$M$229</f>
        <v>641564.6</v>
      </c>
      <c r="F229" s="27" t="n">
        <f aca="false">multiple_regression!$O$18+multiple_regression!$O$19*cleaned_data!$F$229+multiple_regression!$O$20*cleaned_data!$E$229+multiple_regression!$O$21*cleaned_data!$I$229+multiple_regression!$O$22*cleaned_data!$H$229+multiple_regression!$O$23*dummy_variables!$D$229+multiple_regression!$O$24*dummy_variables!$E$229+multiple_regression!$O$25*dummy_variables!$F$229+multiple_regression!$O$26*dummy_variables!$G$229+multiple_regression!$O$27*dummy_variables!$H$229+multiple_regression!$O$28*dummy_variables!$I$229</f>
        <v>621888.940304208</v>
      </c>
      <c r="G229" s="27" t="n">
        <f aca="false">E229-F229</f>
        <v>19675.6596957921</v>
      </c>
    </row>
    <row r="230" customFormat="false" ht="15" hidden="false" customHeight="true" outlineLevel="0" collapsed="false">
      <c r="A230" s="5" t="str">
        <f aca="false">cleaned_data!$A$230</f>
        <v>STR-1057</v>
      </c>
      <c r="B230" s="26" t="str">
        <f aca="false">cleaned_data!$B$230</f>
        <v>2025-02-01</v>
      </c>
      <c r="C230" s="5" t="str">
        <f aca="false">cleaned_data!$C$230</f>
        <v>East</v>
      </c>
      <c r="D230" s="5" t="str">
        <f aca="false">cleaned_data!$D$230</f>
        <v>Mall</v>
      </c>
      <c r="E230" s="27" t="n">
        <f aca="false">cleaned_data!$M$230</f>
        <v>536545.49</v>
      </c>
      <c r="F230" s="27" t="n">
        <f aca="false">multiple_regression!$O$18+multiple_regression!$O$19*cleaned_data!$F$230+multiple_regression!$O$20*cleaned_data!$E$230+multiple_regression!$O$21*cleaned_data!$I$230+multiple_regression!$O$22*cleaned_data!$H$230+multiple_regression!$O$23*dummy_variables!$D$230+multiple_regression!$O$24*dummy_variables!$E$230+multiple_regression!$O$25*dummy_variables!$F$230+multiple_regression!$O$26*dummy_variables!$G$230+multiple_regression!$O$27*dummy_variables!$H$230+multiple_regression!$O$28*dummy_variables!$I$230</f>
        <v>531793.184334492</v>
      </c>
      <c r="G230" s="27" t="n">
        <f aca="false">E230-F230</f>
        <v>4752.30566550826</v>
      </c>
    </row>
    <row r="231" customFormat="false" ht="15" hidden="false" customHeight="true" outlineLevel="0" collapsed="false">
      <c r="A231" s="5" t="str">
        <f aca="false">cleaned_data!$A$231</f>
        <v>STR-1057</v>
      </c>
      <c r="B231" s="26" t="str">
        <f aca="false">cleaned_data!$B$231</f>
        <v>2025-03-01</v>
      </c>
      <c r="C231" s="5" t="str">
        <f aca="false">cleaned_data!$C$231</f>
        <v>East</v>
      </c>
      <c r="D231" s="5" t="str">
        <f aca="false">cleaned_data!$D$231</f>
        <v>Mall</v>
      </c>
      <c r="E231" s="27" t="n">
        <f aca="false">cleaned_data!$M$231</f>
        <v>527681.56</v>
      </c>
      <c r="F231" s="27" t="n">
        <f aca="false">multiple_regression!$O$18+multiple_regression!$O$19*cleaned_data!$F$231+multiple_regression!$O$20*cleaned_data!$E$231+multiple_regression!$O$21*cleaned_data!$I$231+multiple_regression!$O$22*cleaned_data!$H$231+multiple_regression!$O$23*dummy_variables!$D$231+multiple_regression!$O$24*dummy_variables!$E$231+multiple_regression!$O$25*dummy_variables!$F$231+multiple_regression!$O$26*dummy_variables!$G$231+multiple_regression!$O$27*dummy_variables!$H$231+multiple_regression!$O$28*dummy_variables!$I$231</f>
        <v>561404.771670852</v>
      </c>
      <c r="G231" s="27" t="n">
        <f aca="false">E231-F231</f>
        <v>-33723.2116708517</v>
      </c>
    </row>
    <row r="232" customFormat="false" ht="15" hidden="false" customHeight="true" outlineLevel="0" collapsed="false">
      <c r="A232" s="5" t="str">
        <f aca="false">cleaned_data!$A$232</f>
        <v>STR-1057</v>
      </c>
      <c r="B232" s="26" t="str">
        <f aca="false">cleaned_data!$B$232</f>
        <v>2025-04-01</v>
      </c>
      <c r="C232" s="5" t="str">
        <f aca="false">cleaned_data!$C$232</f>
        <v>East</v>
      </c>
      <c r="D232" s="5" t="str">
        <f aca="false">cleaned_data!$D$232</f>
        <v>Mall</v>
      </c>
      <c r="E232" s="27" t="n">
        <f aca="false">cleaned_data!$M$232</f>
        <v>529598.94</v>
      </c>
      <c r="F232" s="27" t="n">
        <f aca="false">multiple_regression!$O$18+multiple_regression!$O$19*cleaned_data!$F$232+multiple_regression!$O$20*cleaned_data!$E$232+multiple_regression!$O$21*cleaned_data!$I$232+multiple_regression!$O$22*cleaned_data!$H$232+multiple_regression!$O$23*dummy_variables!$D$232+multiple_regression!$O$24*dummy_variables!$E$232+multiple_regression!$O$25*dummy_variables!$F$232+multiple_regression!$O$26*dummy_variables!$G$232+multiple_regression!$O$27*dummy_variables!$H$232+multiple_regression!$O$28*dummy_variables!$I$232</f>
        <v>501110.447158994</v>
      </c>
      <c r="G232" s="27" t="n">
        <f aca="false">E232-F232</f>
        <v>28488.4928410061</v>
      </c>
    </row>
    <row r="233" customFormat="false" ht="15" hidden="false" customHeight="true" outlineLevel="0" collapsed="false">
      <c r="A233" s="5" t="str">
        <f aca="false">cleaned_data!$A$233</f>
        <v>STR-1058</v>
      </c>
      <c r="B233" s="26" t="str">
        <f aca="false">cleaned_data!$B$233</f>
        <v>2025-01-01</v>
      </c>
      <c r="C233" s="5" t="str">
        <f aca="false">cleaned_data!$C$233</f>
        <v>East</v>
      </c>
      <c r="D233" s="5" t="str">
        <f aca="false">cleaned_data!$D$233</f>
        <v>High Street</v>
      </c>
      <c r="E233" s="27" t="n">
        <f aca="false">cleaned_data!$M$233</f>
        <v>570963.31</v>
      </c>
      <c r="F233" s="27" t="n">
        <f aca="false">multiple_regression!$O$18+multiple_regression!$O$19*cleaned_data!$F$233+multiple_regression!$O$20*cleaned_data!$E$233+multiple_regression!$O$21*cleaned_data!$I$233+multiple_regression!$O$22*cleaned_data!$H$233+multiple_regression!$O$23*dummy_variables!$D$233+multiple_regression!$O$24*dummy_variables!$E$233+multiple_regression!$O$25*dummy_variables!$F$233+multiple_regression!$O$26*dummy_variables!$G$233+multiple_regression!$O$27*dummy_variables!$H$233+multiple_regression!$O$28*dummy_variables!$I$233</f>
        <v>610849.451719773</v>
      </c>
      <c r="G233" s="27" t="n">
        <f aca="false">E233-F233</f>
        <v>-39886.1417197733</v>
      </c>
    </row>
    <row r="234" customFormat="false" ht="15" hidden="false" customHeight="true" outlineLevel="0" collapsed="false">
      <c r="A234" s="5" t="str">
        <f aca="false">cleaned_data!$A$234</f>
        <v>STR-1058</v>
      </c>
      <c r="B234" s="26" t="str">
        <f aca="false">cleaned_data!$B$234</f>
        <v>2025-02-01</v>
      </c>
      <c r="C234" s="5" t="str">
        <f aca="false">cleaned_data!$C$234</f>
        <v>East</v>
      </c>
      <c r="D234" s="5" t="str">
        <f aca="false">cleaned_data!$D$234</f>
        <v>High Street</v>
      </c>
      <c r="E234" s="27" t="n">
        <f aca="false">cleaned_data!$M$234</f>
        <v>870937.4</v>
      </c>
      <c r="F234" s="27" t="n">
        <f aca="false">multiple_regression!$O$18+multiple_regression!$O$19*cleaned_data!$F$234+multiple_regression!$O$20*cleaned_data!$E$234+multiple_regression!$O$21*cleaned_data!$I$234+multiple_regression!$O$22*cleaned_data!$H$234+multiple_regression!$O$23*dummy_variables!$D$234+multiple_regression!$O$24*dummy_variables!$E$234+multiple_regression!$O$25*dummy_variables!$F$234+multiple_regression!$O$26*dummy_variables!$G$234+multiple_regression!$O$27*dummy_variables!$H$234+multiple_regression!$O$28*dummy_variables!$I$234</f>
        <v>821517.307366742</v>
      </c>
      <c r="G234" s="27" t="n">
        <f aca="false">E234-F234</f>
        <v>49420.0926332584</v>
      </c>
    </row>
    <row r="235" customFormat="false" ht="15" hidden="false" customHeight="true" outlineLevel="0" collapsed="false">
      <c r="A235" s="5" t="str">
        <f aca="false">cleaned_data!$A$235</f>
        <v>STR-1058</v>
      </c>
      <c r="B235" s="26" t="str">
        <f aca="false">cleaned_data!$B$235</f>
        <v>2025-03-01</v>
      </c>
      <c r="C235" s="5" t="str">
        <f aca="false">cleaned_data!$C$235</f>
        <v>East</v>
      </c>
      <c r="D235" s="5" t="str">
        <f aca="false">cleaned_data!$D$235</f>
        <v>High Street</v>
      </c>
      <c r="E235" s="27" t="n">
        <f aca="false">cleaned_data!$M$235</f>
        <v>596969.27</v>
      </c>
      <c r="F235" s="27" t="n">
        <f aca="false">multiple_regression!$O$18+multiple_regression!$O$19*cleaned_data!$F$235+multiple_regression!$O$20*cleaned_data!$E$235+multiple_regression!$O$21*cleaned_data!$I$235+multiple_regression!$O$22*cleaned_data!$H$235+multiple_regression!$O$23*dummy_variables!$D$235+multiple_regression!$O$24*dummy_variables!$E$235+multiple_regression!$O$25*dummy_variables!$F$235+multiple_regression!$O$26*dummy_variables!$G$235+multiple_regression!$O$27*dummy_variables!$H$235+multiple_regression!$O$28*dummy_variables!$I$235</f>
        <v>626796.579742347</v>
      </c>
      <c r="G235" s="27" t="n">
        <f aca="false">E235-F235</f>
        <v>-29827.3097423466</v>
      </c>
    </row>
    <row r="236" customFormat="false" ht="15" hidden="false" customHeight="true" outlineLevel="0" collapsed="false">
      <c r="A236" s="5" t="str">
        <f aca="false">cleaned_data!$A$236</f>
        <v>STR-1058</v>
      </c>
      <c r="B236" s="26" t="str">
        <f aca="false">cleaned_data!$B$236</f>
        <v>2025-04-01</v>
      </c>
      <c r="C236" s="5" t="str">
        <f aca="false">cleaned_data!$C$236</f>
        <v>East</v>
      </c>
      <c r="D236" s="5" t="str">
        <f aca="false">cleaned_data!$D$236</f>
        <v>High Street</v>
      </c>
      <c r="E236" s="27" t="n">
        <f aca="false">cleaned_data!$M$236</f>
        <v>647512.85</v>
      </c>
      <c r="F236" s="27" t="n">
        <f aca="false">multiple_regression!$O$18+multiple_regression!$O$19*cleaned_data!$F$236+multiple_regression!$O$20*cleaned_data!$E$236+multiple_regression!$O$21*cleaned_data!$I$236+multiple_regression!$O$22*cleaned_data!$H$236+multiple_regression!$O$23*dummy_variables!$D$236+multiple_regression!$O$24*dummy_variables!$E$236+multiple_regression!$O$25*dummy_variables!$F$236+multiple_regression!$O$26*dummy_variables!$G$236+multiple_regression!$O$27*dummy_variables!$H$236+multiple_regression!$O$28*dummy_variables!$I$236</f>
        <v>608672.214208694</v>
      </c>
      <c r="G236" s="27" t="n">
        <f aca="false">E236-F236</f>
        <v>38840.635791306</v>
      </c>
    </row>
    <row r="237" customFormat="false" ht="15" hidden="false" customHeight="true" outlineLevel="0" collapsed="false">
      <c r="A237" s="5" t="str">
        <f aca="false">cleaned_data!$A$237</f>
        <v>STR-1059</v>
      </c>
      <c r="B237" s="26" t="str">
        <f aca="false">cleaned_data!$B$237</f>
        <v>2025-01-01</v>
      </c>
      <c r="C237" s="5" t="str">
        <f aca="false">cleaned_data!$C$237</f>
        <v>West</v>
      </c>
      <c r="D237" s="5" t="str">
        <f aca="false">cleaned_data!$D$237</f>
        <v>Residential</v>
      </c>
      <c r="E237" s="27" t="n">
        <f aca="false">cleaned_data!$M$237</f>
        <v>658072.14</v>
      </c>
      <c r="F237" s="27" t="n">
        <f aca="false">multiple_regression!$O$18+multiple_regression!$O$19*cleaned_data!$F$237+multiple_regression!$O$20*cleaned_data!$E$237+multiple_regression!$O$21*cleaned_data!$I$237+multiple_regression!$O$22*cleaned_data!$H$237+multiple_regression!$O$23*dummy_variables!$D$237+multiple_regression!$O$24*dummy_variables!$E$237+multiple_regression!$O$25*dummy_variables!$F$237+multiple_regression!$O$26*dummy_variables!$G$237+multiple_regression!$O$27*dummy_variables!$H$237+multiple_regression!$O$28*dummy_variables!$I$237</f>
        <v>606193.838430604</v>
      </c>
      <c r="G237" s="27" t="n">
        <f aca="false">E237-F237</f>
        <v>51878.3015693958</v>
      </c>
    </row>
    <row r="238" customFormat="false" ht="15" hidden="false" customHeight="true" outlineLevel="0" collapsed="false">
      <c r="A238" s="5" t="str">
        <f aca="false">cleaned_data!$A$238</f>
        <v>STR-1059</v>
      </c>
      <c r="B238" s="26" t="str">
        <f aca="false">cleaned_data!$B$238</f>
        <v>2025-02-01</v>
      </c>
      <c r="C238" s="5" t="str">
        <f aca="false">cleaned_data!$C$238</f>
        <v>West</v>
      </c>
      <c r="D238" s="5" t="str">
        <f aca="false">cleaned_data!$D$238</f>
        <v>Residential</v>
      </c>
      <c r="E238" s="27" t="n">
        <f aca="false">cleaned_data!$M$238</f>
        <v>723305.11</v>
      </c>
      <c r="F238" s="27" t="n">
        <f aca="false">multiple_regression!$O$18+multiple_regression!$O$19*cleaned_data!$F$238+multiple_regression!$O$20*cleaned_data!$E$238+multiple_regression!$O$21*cleaned_data!$I$238+multiple_regression!$O$22*cleaned_data!$H$238+multiple_regression!$O$23*dummy_variables!$D$238+multiple_regression!$O$24*dummy_variables!$E$238+multiple_regression!$O$25*dummy_variables!$F$238+multiple_regression!$O$26*dummy_variables!$G$238+multiple_regression!$O$27*dummy_variables!$H$238+multiple_regression!$O$28*dummy_variables!$I$238</f>
        <v>646418.366878038</v>
      </c>
      <c r="G238" s="27" t="n">
        <f aca="false">E238-F238</f>
        <v>76886.743121962</v>
      </c>
    </row>
    <row r="239" customFormat="false" ht="15" hidden="false" customHeight="true" outlineLevel="0" collapsed="false">
      <c r="A239" s="5" t="str">
        <f aca="false">cleaned_data!$A$239</f>
        <v>STR-1059</v>
      </c>
      <c r="B239" s="26" t="str">
        <f aca="false">cleaned_data!$B$239</f>
        <v>2025-03-01</v>
      </c>
      <c r="C239" s="5" t="str">
        <f aca="false">cleaned_data!$C$239</f>
        <v>West</v>
      </c>
      <c r="D239" s="5" t="str">
        <f aca="false">cleaned_data!$D$239</f>
        <v>Residential</v>
      </c>
      <c r="E239" s="27" t="n">
        <f aca="false">cleaned_data!$M$239</f>
        <v>640666.53</v>
      </c>
      <c r="F239" s="27" t="n">
        <f aca="false">multiple_regression!$O$18+multiple_regression!$O$19*cleaned_data!$F$239+multiple_regression!$O$20*cleaned_data!$E$239+multiple_regression!$O$21*cleaned_data!$I$239+multiple_regression!$O$22*cleaned_data!$H$239+multiple_regression!$O$23*dummy_variables!$D$239+multiple_regression!$O$24*dummy_variables!$E$239+multiple_regression!$O$25*dummy_variables!$F$239+multiple_regression!$O$26*dummy_variables!$G$239+multiple_regression!$O$27*dummy_variables!$H$239+multiple_regression!$O$28*dummy_variables!$I$239</f>
        <v>625249.942369927</v>
      </c>
      <c r="G239" s="27" t="n">
        <f aca="false">E239-F239</f>
        <v>15416.5876300731</v>
      </c>
    </row>
    <row r="240" customFormat="false" ht="15" hidden="false" customHeight="true" outlineLevel="0" collapsed="false">
      <c r="A240" s="5" t="str">
        <f aca="false">cleaned_data!$A$240</f>
        <v>STR-1059</v>
      </c>
      <c r="B240" s="26" t="str">
        <f aca="false">cleaned_data!$B$240</f>
        <v>2025-04-01</v>
      </c>
      <c r="C240" s="5" t="str">
        <f aca="false">cleaned_data!$C$240</f>
        <v>West</v>
      </c>
      <c r="D240" s="5" t="str">
        <f aca="false">cleaned_data!$D$240</f>
        <v>Residential</v>
      </c>
      <c r="E240" s="27" t="n">
        <f aca="false">cleaned_data!$M$240</f>
        <v>670629.48</v>
      </c>
      <c r="F240" s="27" t="n">
        <f aca="false">multiple_regression!$O$18+multiple_regression!$O$19*cleaned_data!$F$240+multiple_regression!$O$20*cleaned_data!$E$240+multiple_regression!$O$21*cleaned_data!$I$240+multiple_regression!$O$22*cleaned_data!$H$240+multiple_regression!$O$23*dummy_variables!$D$240+multiple_regression!$O$24*dummy_variables!$E$240+multiple_regression!$O$25*dummy_variables!$F$240+multiple_regression!$O$26*dummy_variables!$G$240+multiple_regression!$O$27*dummy_variables!$H$240+multiple_regression!$O$28*dummy_variables!$I$240</f>
        <v>663789.024822063</v>
      </c>
      <c r="G240" s="27" t="n">
        <f aca="false">E240-F240</f>
        <v>6840.45517793705</v>
      </c>
    </row>
    <row r="241" customFormat="false" ht="15" hidden="false" customHeight="true" outlineLevel="0" collapsed="false">
      <c r="A241" s="5" t="str">
        <f aca="false">cleaned_data!$A$241</f>
        <v>STR-1060</v>
      </c>
      <c r="B241" s="26" t="str">
        <f aca="false">cleaned_data!$B$241</f>
        <v>2025-01-01</v>
      </c>
      <c r="C241" s="5" t="str">
        <f aca="false">cleaned_data!$C$241</f>
        <v>West</v>
      </c>
      <c r="D241" s="5" t="str">
        <f aca="false">cleaned_data!$D$241</f>
        <v>Mall</v>
      </c>
      <c r="E241" s="27" t="n">
        <f aca="false">cleaned_data!$M$241</f>
        <v>721079.35</v>
      </c>
      <c r="F241" s="27" t="n">
        <f aca="false">multiple_regression!$O$18+multiple_regression!$O$19*cleaned_data!$F$241+multiple_regression!$O$20*cleaned_data!$E$241+multiple_regression!$O$21*cleaned_data!$I$241+multiple_regression!$O$22*cleaned_data!$H$241+multiple_regression!$O$23*dummy_variables!$D$241+multiple_regression!$O$24*dummy_variables!$E$241+multiple_regression!$O$25*dummy_variables!$F$241+multiple_regression!$O$26*dummy_variables!$G$241+multiple_regression!$O$27*dummy_variables!$H$241+multiple_regression!$O$28*dummy_variables!$I$241</f>
        <v>805017.724064344</v>
      </c>
      <c r="G241" s="27" t="n">
        <f aca="false">E241-F241</f>
        <v>-83938.3740643436</v>
      </c>
    </row>
    <row r="242" customFormat="false" ht="15" hidden="false" customHeight="true" outlineLevel="0" collapsed="false">
      <c r="A242" s="5" t="str">
        <f aca="false">cleaned_data!$A$242</f>
        <v>STR-1060</v>
      </c>
      <c r="B242" s="26" t="str">
        <f aca="false">cleaned_data!$B$242</f>
        <v>2025-02-01</v>
      </c>
      <c r="C242" s="5" t="str">
        <f aca="false">cleaned_data!$C$242</f>
        <v>West</v>
      </c>
      <c r="D242" s="5" t="str">
        <f aca="false">cleaned_data!$D$242</f>
        <v>Mall</v>
      </c>
      <c r="E242" s="27" t="n">
        <f aca="false">cleaned_data!$M$242</f>
        <v>810355.02</v>
      </c>
      <c r="F242" s="27" t="n">
        <f aca="false">multiple_regression!$O$18+multiple_regression!$O$19*cleaned_data!$F$242+multiple_regression!$O$20*cleaned_data!$E$242+multiple_regression!$O$21*cleaned_data!$I$242+multiple_regression!$O$22*cleaned_data!$H$242+multiple_regression!$O$23*dummy_variables!$D$242+multiple_regression!$O$24*dummy_variables!$E$242+multiple_regression!$O$25*dummy_variables!$F$242+multiple_regression!$O$26*dummy_variables!$G$242+multiple_regression!$O$27*dummy_variables!$H$242+multiple_regression!$O$28*dummy_variables!$I$242</f>
        <v>837715.358456625</v>
      </c>
      <c r="G242" s="27" t="n">
        <f aca="false">E242-F242</f>
        <v>-27360.3384566248</v>
      </c>
    </row>
    <row r="243" customFormat="false" ht="15" hidden="false" customHeight="true" outlineLevel="0" collapsed="false">
      <c r="A243" s="5" t="str">
        <f aca="false">cleaned_data!$A$243</f>
        <v>STR-1060</v>
      </c>
      <c r="B243" s="26" t="str">
        <f aca="false">cleaned_data!$B$243</f>
        <v>2025-03-01</v>
      </c>
      <c r="C243" s="5" t="str">
        <f aca="false">cleaned_data!$C$243</f>
        <v>West</v>
      </c>
      <c r="D243" s="5" t="str">
        <f aca="false">cleaned_data!$D$243</f>
        <v>Mall</v>
      </c>
      <c r="E243" s="27" t="n">
        <f aca="false">cleaned_data!$M$243</f>
        <v>761919.25</v>
      </c>
      <c r="F243" s="27" t="n">
        <f aca="false">multiple_regression!$O$18+multiple_regression!$O$19*cleaned_data!$F$243+multiple_regression!$O$20*cleaned_data!$E$243+multiple_regression!$O$21*cleaned_data!$I$243+multiple_regression!$O$22*cleaned_data!$H$243+multiple_regression!$O$23*dummy_variables!$D$243+multiple_regression!$O$24*dummy_variables!$E$243+multiple_regression!$O$25*dummy_variables!$F$243+multiple_regression!$O$26*dummy_variables!$G$243+multiple_regression!$O$27*dummy_variables!$H$243+multiple_regression!$O$28*dummy_variables!$I$243</f>
        <v>791087.235324039</v>
      </c>
      <c r="G243" s="27" t="n">
        <f aca="false">E243-F243</f>
        <v>-29167.985324039</v>
      </c>
    </row>
    <row r="244" customFormat="false" ht="15" hidden="false" customHeight="true" outlineLevel="0" collapsed="false">
      <c r="A244" s="5" t="str">
        <f aca="false">cleaned_data!$A$244</f>
        <v>STR-1060</v>
      </c>
      <c r="B244" s="26" t="str">
        <f aca="false">cleaned_data!$B$244</f>
        <v>2025-04-01</v>
      </c>
      <c r="C244" s="5" t="str">
        <f aca="false">cleaned_data!$C$244</f>
        <v>West</v>
      </c>
      <c r="D244" s="5" t="str">
        <f aca="false">cleaned_data!$D$244</f>
        <v>Mall</v>
      </c>
      <c r="E244" s="27" t="n">
        <f aca="false">cleaned_data!$M$244</f>
        <v>737070.18</v>
      </c>
      <c r="F244" s="27" t="n">
        <f aca="false">multiple_regression!$O$18+multiple_regression!$O$19*cleaned_data!$F$244+multiple_regression!$O$20*cleaned_data!$E$244+multiple_regression!$O$21*cleaned_data!$I$244+multiple_regression!$O$22*cleaned_data!$H$244+multiple_regression!$O$23*dummy_variables!$D$244+multiple_regression!$O$24*dummy_variables!$E$244+multiple_regression!$O$25*dummy_variables!$F$244+multiple_regression!$O$26*dummy_variables!$G$244+multiple_regression!$O$27*dummy_variables!$H$244+multiple_regression!$O$28*dummy_variables!$I$244</f>
        <v>744221.131308194</v>
      </c>
      <c r="G244" s="27" t="n">
        <f aca="false">E244-F244</f>
        <v>-7150.95130819408</v>
      </c>
    </row>
    <row r="245" customFormat="false" ht="15" hidden="false" customHeight="true" outlineLevel="0" collapsed="false">
      <c r="A245" s="5" t="str">
        <f aca="false">cleaned_data!$A$245</f>
        <v>STR-1061</v>
      </c>
      <c r="B245" s="26" t="str">
        <f aca="false">cleaned_data!$B$245</f>
        <v>2025-01-01</v>
      </c>
      <c r="C245" s="5" t="str">
        <f aca="false">cleaned_data!$C$245</f>
        <v>South</v>
      </c>
      <c r="D245" s="5" t="str">
        <f aca="false">cleaned_data!$D$245</f>
        <v>Airport</v>
      </c>
      <c r="E245" s="27" t="n">
        <f aca="false">cleaned_data!$M$245</f>
        <v>776992.93</v>
      </c>
      <c r="F245" s="27" t="n">
        <f aca="false">multiple_regression!$O$18+multiple_regression!$O$19*cleaned_data!$F$245+multiple_regression!$O$20*cleaned_data!$E$245+multiple_regression!$O$21*cleaned_data!$I$245+multiple_regression!$O$22*cleaned_data!$H$245+multiple_regression!$O$23*dummy_variables!$D$245+multiple_regression!$O$24*dummy_variables!$E$245+multiple_regression!$O$25*dummy_variables!$F$245+multiple_regression!$O$26*dummy_variables!$G$245+multiple_regression!$O$27*dummy_variables!$H$245+multiple_regression!$O$28*dummy_variables!$I$245</f>
        <v>780001.120846209</v>
      </c>
      <c r="G245" s="27" t="n">
        <f aca="false">E245-F245</f>
        <v>-3008.19084620848</v>
      </c>
    </row>
    <row r="246" customFormat="false" ht="15" hidden="false" customHeight="true" outlineLevel="0" collapsed="false">
      <c r="A246" s="5" t="str">
        <f aca="false">cleaned_data!$A$246</f>
        <v>STR-1061</v>
      </c>
      <c r="B246" s="26" t="str">
        <f aca="false">cleaned_data!$B$246</f>
        <v>2025-02-01</v>
      </c>
      <c r="C246" s="5" t="str">
        <f aca="false">cleaned_data!$C$246</f>
        <v>South</v>
      </c>
      <c r="D246" s="5" t="str">
        <f aca="false">cleaned_data!$D$246</f>
        <v>Airport</v>
      </c>
      <c r="E246" s="27" t="n">
        <f aca="false">cleaned_data!$M$246</f>
        <v>676337.41</v>
      </c>
      <c r="F246" s="27" t="n">
        <f aca="false">multiple_regression!$O$18+multiple_regression!$O$19*cleaned_data!$F$246+multiple_regression!$O$20*cleaned_data!$E$246+multiple_regression!$O$21*cleaned_data!$I$246+multiple_regression!$O$22*cleaned_data!$H$246+multiple_regression!$O$23*dummy_variables!$D$246+multiple_regression!$O$24*dummy_variables!$E$246+multiple_regression!$O$25*dummy_variables!$F$246+multiple_regression!$O$26*dummy_variables!$G$246+multiple_regression!$O$27*dummy_variables!$H$246+multiple_regression!$O$28*dummy_variables!$I$246</f>
        <v>663930.497728474</v>
      </c>
      <c r="G246" s="27" t="n">
        <f aca="false">E246-F246</f>
        <v>12406.9122715261</v>
      </c>
    </row>
    <row r="247" customFormat="false" ht="15" hidden="false" customHeight="true" outlineLevel="0" collapsed="false">
      <c r="A247" s="5" t="str">
        <f aca="false">cleaned_data!$A$247</f>
        <v>STR-1061</v>
      </c>
      <c r="B247" s="26" t="str">
        <f aca="false">cleaned_data!$B$247</f>
        <v>2025-03-01</v>
      </c>
      <c r="C247" s="5" t="str">
        <f aca="false">cleaned_data!$C$247</f>
        <v>South</v>
      </c>
      <c r="D247" s="5" t="str">
        <f aca="false">cleaned_data!$D$247</f>
        <v>Airport</v>
      </c>
      <c r="E247" s="27" t="n">
        <f aca="false">cleaned_data!$M$247</f>
        <v>828219.67</v>
      </c>
      <c r="F247" s="27" t="n">
        <f aca="false">multiple_regression!$O$18+multiple_regression!$O$19*cleaned_data!$F$247+multiple_regression!$O$20*cleaned_data!$E$247+multiple_regression!$O$21*cleaned_data!$I$247+multiple_regression!$O$22*cleaned_data!$H$247+multiple_regression!$O$23*dummy_variables!$D$247+multiple_regression!$O$24*dummy_variables!$E$247+multiple_regression!$O$25*dummy_variables!$F$247+multiple_regression!$O$26*dummy_variables!$G$247+multiple_regression!$O$27*dummy_variables!$H$247+multiple_regression!$O$28*dummy_variables!$I$247</f>
        <v>842498.714867808</v>
      </c>
      <c r="G247" s="27" t="n">
        <f aca="false">E247-F247</f>
        <v>-14279.0448678079</v>
      </c>
    </row>
    <row r="248" customFormat="false" ht="15" hidden="false" customHeight="true" outlineLevel="0" collapsed="false">
      <c r="A248" s="5" t="str">
        <f aca="false">cleaned_data!$A$248</f>
        <v>STR-1061</v>
      </c>
      <c r="B248" s="26" t="str">
        <f aca="false">cleaned_data!$B$248</f>
        <v>2025-04-01</v>
      </c>
      <c r="C248" s="5" t="str">
        <f aca="false">cleaned_data!$C$248</f>
        <v>South</v>
      </c>
      <c r="D248" s="5" t="str">
        <f aca="false">cleaned_data!$D$248</f>
        <v>Airport</v>
      </c>
      <c r="E248" s="27" t="n">
        <f aca="false">cleaned_data!$M$248</f>
        <v>763159.92</v>
      </c>
      <c r="F248" s="27" t="n">
        <f aca="false">multiple_regression!$O$18+multiple_regression!$O$19*cleaned_data!$F$248+multiple_regression!$O$20*cleaned_data!$E$248+multiple_regression!$O$21*cleaned_data!$I$248+multiple_regression!$O$22*cleaned_data!$H$248+multiple_regression!$O$23*dummy_variables!$D$248+multiple_regression!$O$24*dummy_variables!$E$248+multiple_regression!$O$25*dummy_variables!$F$248+multiple_regression!$O$26*dummy_variables!$G$248+multiple_regression!$O$27*dummy_variables!$H$248+multiple_regression!$O$28*dummy_variables!$I$248</f>
        <v>785379.199849839</v>
      </c>
      <c r="G248" s="27" t="n">
        <f aca="false">E248-F248</f>
        <v>-22219.2798498394</v>
      </c>
    </row>
    <row r="249" customFormat="false" ht="15" hidden="false" customHeight="true" outlineLevel="0" collapsed="false">
      <c r="A249" s="5" t="str">
        <f aca="false">cleaned_data!$A$249</f>
        <v>STR-1062</v>
      </c>
      <c r="B249" s="26" t="str">
        <f aca="false">cleaned_data!$B$249</f>
        <v>2025-01-01</v>
      </c>
      <c r="C249" s="5" t="str">
        <f aca="false">cleaned_data!$C$249</f>
        <v>East</v>
      </c>
      <c r="D249" s="5" t="str">
        <f aca="false">cleaned_data!$D$249</f>
        <v>High Street</v>
      </c>
      <c r="E249" s="27" t="n">
        <f aca="false">cleaned_data!$M$249</f>
        <v>802001.68</v>
      </c>
      <c r="F249" s="27" t="n">
        <f aca="false">multiple_regression!$O$18+multiple_regression!$O$19*cleaned_data!$F$249+multiple_regression!$O$20*cleaned_data!$E$249+multiple_regression!$O$21*cleaned_data!$I$249+multiple_regression!$O$22*cleaned_data!$H$249+multiple_regression!$O$23*dummy_variables!$D$249+multiple_regression!$O$24*dummy_variables!$E$249+multiple_regression!$O$25*dummy_variables!$F$249+multiple_regression!$O$26*dummy_variables!$G$249+multiple_regression!$O$27*dummy_variables!$H$249+multiple_regression!$O$28*dummy_variables!$I$249</f>
        <v>780811.003230458</v>
      </c>
      <c r="G249" s="27" t="n">
        <f aca="false">E249-F249</f>
        <v>21190.6767695424</v>
      </c>
    </row>
    <row r="250" customFormat="false" ht="15" hidden="false" customHeight="true" outlineLevel="0" collapsed="false">
      <c r="A250" s="5" t="str">
        <f aca="false">cleaned_data!$A$250</f>
        <v>STR-1062</v>
      </c>
      <c r="B250" s="26" t="str">
        <f aca="false">cleaned_data!$B$250</f>
        <v>2025-02-01</v>
      </c>
      <c r="C250" s="5" t="str">
        <f aca="false">cleaned_data!$C$250</f>
        <v>East</v>
      </c>
      <c r="D250" s="5" t="str">
        <f aca="false">cleaned_data!$D$250</f>
        <v>High Street</v>
      </c>
      <c r="E250" s="27" t="n">
        <f aca="false">cleaned_data!$M$250</f>
        <v>750471.34</v>
      </c>
      <c r="F250" s="27" t="n">
        <f aca="false">multiple_regression!$O$18+multiple_regression!$O$19*cleaned_data!$F$250+multiple_regression!$O$20*cleaned_data!$E$250+multiple_regression!$O$21*cleaned_data!$I$250+multiple_regression!$O$22*cleaned_data!$H$250+multiple_regression!$O$23*dummy_variables!$D$250+multiple_regression!$O$24*dummy_variables!$E$250+multiple_regression!$O$25*dummy_variables!$F$250+multiple_regression!$O$26*dummy_variables!$G$250+multiple_regression!$O$27*dummy_variables!$H$250+multiple_regression!$O$28*dummy_variables!$I$250</f>
        <v>737816.878825691</v>
      </c>
      <c r="G250" s="27" t="n">
        <f aca="false">E250-F250</f>
        <v>12654.4611743094</v>
      </c>
    </row>
    <row r="251" customFormat="false" ht="15" hidden="false" customHeight="true" outlineLevel="0" collapsed="false">
      <c r="A251" s="5" t="str">
        <f aca="false">cleaned_data!$A$251</f>
        <v>STR-1062</v>
      </c>
      <c r="B251" s="26" t="str">
        <f aca="false">cleaned_data!$B$251</f>
        <v>2025-03-01</v>
      </c>
      <c r="C251" s="5" t="str">
        <f aca="false">cleaned_data!$C$251</f>
        <v>East</v>
      </c>
      <c r="D251" s="5" t="str">
        <f aca="false">cleaned_data!$D$251</f>
        <v>High Street</v>
      </c>
      <c r="E251" s="27" t="n">
        <f aca="false">cleaned_data!$M$251</f>
        <v>679230.86</v>
      </c>
      <c r="F251" s="27" t="n">
        <f aca="false">multiple_regression!$O$18+multiple_regression!$O$19*cleaned_data!$F$251+multiple_regression!$O$20*cleaned_data!$E$251+multiple_regression!$O$21*cleaned_data!$I$251+multiple_regression!$O$22*cleaned_data!$H$251+multiple_regression!$O$23*dummy_variables!$D$251+multiple_regression!$O$24*dummy_variables!$E$251+multiple_regression!$O$25*dummy_variables!$F$251+multiple_regression!$O$26*dummy_variables!$G$251+multiple_regression!$O$27*dummy_variables!$H$251+multiple_regression!$O$28*dummy_variables!$I$251</f>
        <v>718083.979275598</v>
      </c>
      <c r="G251" s="27" t="n">
        <f aca="false">E251-F251</f>
        <v>-38853.1192755976</v>
      </c>
    </row>
    <row r="252" customFormat="false" ht="15" hidden="false" customHeight="true" outlineLevel="0" collapsed="false">
      <c r="A252" s="5" t="str">
        <f aca="false">cleaned_data!$A$252</f>
        <v>STR-1062</v>
      </c>
      <c r="B252" s="26" t="str">
        <f aca="false">cleaned_data!$B$252</f>
        <v>2025-04-01</v>
      </c>
      <c r="C252" s="5" t="str">
        <f aca="false">cleaned_data!$C$252</f>
        <v>East</v>
      </c>
      <c r="D252" s="5" t="str">
        <f aca="false">cleaned_data!$D$252</f>
        <v>High Street</v>
      </c>
      <c r="E252" s="27" t="n">
        <f aca="false">cleaned_data!$M$252</f>
        <v>679888.74</v>
      </c>
      <c r="F252" s="27" t="n">
        <f aca="false">multiple_regression!$O$18+multiple_regression!$O$19*cleaned_data!$F$252+multiple_regression!$O$20*cleaned_data!$E$252+multiple_regression!$O$21*cleaned_data!$I$252+multiple_regression!$O$22*cleaned_data!$H$252+multiple_regression!$O$23*dummy_variables!$D$252+multiple_regression!$O$24*dummy_variables!$E$252+multiple_regression!$O$25*dummy_variables!$F$252+multiple_regression!$O$26*dummy_variables!$G$252+multiple_regression!$O$27*dummy_variables!$H$252+multiple_regression!$O$28*dummy_variables!$I$252</f>
        <v>690487.683181236</v>
      </c>
      <c r="G252" s="27" t="n">
        <f aca="false">E252-F252</f>
        <v>-10598.9431812356</v>
      </c>
    </row>
    <row r="253" customFormat="false" ht="15" hidden="false" customHeight="true" outlineLevel="0" collapsed="false">
      <c r="A253" s="5" t="str">
        <f aca="false">cleaned_data!$A$253</f>
        <v>STR-1063</v>
      </c>
      <c r="B253" s="26" t="str">
        <f aca="false">cleaned_data!$B$253</f>
        <v>2025-01-01</v>
      </c>
      <c r="C253" s="5" t="str">
        <f aca="false">cleaned_data!$C$253</f>
        <v>North</v>
      </c>
      <c r="D253" s="5" t="str">
        <f aca="false">cleaned_data!$D$253</f>
        <v>High Street</v>
      </c>
      <c r="E253" s="27" t="n">
        <f aca="false">cleaned_data!$M$253</f>
        <v>606783.67</v>
      </c>
      <c r="F253" s="27" t="n">
        <f aca="false">multiple_regression!$O$18+multiple_regression!$O$19*cleaned_data!$F$253+multiple_regression!$O$20*cleaned_data!$E$253+multiple_regression!$O$21*cleaned_data!$I$253+multiple_regression!$O$22*cleaned_data!$H$253+multiple_regression!$O$23*dummy_variables!$D$253+multiple_regression!$O$24*dummy_variables!$E$253+multiple_regression!$O$25*dummy_variables!$F$253+multiple_regression!$O$26*dummy_variables!$G$253+multiple_regression!$O$27*dummy_variables!$H$253+multiple_regression!$O$28*dummy_variables!$I$253</f>
        <v>587705.895395751</v>
      </c>
      <c r="G253" s="27" t="n">
        <f aca="false">E253-F253</f>
        <v>19077.7746042489</v>
      </c>
    </row>
    <row r="254" customFormat="false" ht="15" hidden="false" customHeight="true" outlineLevel="0" collapsed="false">
      <c r="A254" s="5" t="str">
        <f aca="false">cleaned_data!$A$254</f>
        <v>STR-1063</v>
      </c>
      <c r="B254" s="26" t="str">
        <f aca="false">cleaned_data!$B$254</f>
        <v>2025-02-01</v>
      </c>
      <c r="C254" s="5" t="str">
        <f aca="false">cleaned_data!$C$254</f>
        <v>North</v>
      </c>
      <c r="D254" s="5" t="str">
        <f aca="false">cleaned_data!$D$254</f>
        <v>High Street</v>
      </c>
      <c r="E254" s="27" t="n">
        <f aca="false">cleaned_data!$M$254</f>
        <v>642751.42</v>
      </c>
      <c r="F254" s="27" t="n">
        <f aca="false">multiple_regression!$O$18+multiple_regression!$O$19*cleaned_data!$F$254+multiple_regression!$O$20*cleaned_data!$E$254+multiple_regression!$O$21*cleaned_data!$I$254+multiple_regression!$O$22*cleaned_data!$H$254+multiple_regression!$O$23*dummy_variables!$D$254+multiple_regression!$O$24*dummy_variables!$E$254+multiple_regression!$O$25*dummy_variables!$F$254+multiple_regression!$O$26*dummy_variables!$G$254+multiple_regression!$O$27*dummy_variables!$H$254+multiple_regression!$O$28*dummy_variables!$I$254</f>
        <v>656344.936442106</v>
      </c>
      <c r="G254" s="27" t="n">
        <f aca="false">E254-F254</f>
        <v>-13593.5164421056</v>
      </c>
    </row>
    <row r="255" customFormat="false" ht="15" hidden="false" customHeight="true" outlineLevel="0" collapsed="false">
      <c r="A255" s="5" t="str">
        <f aca="false">cleaned_data!$A$255</f>
        <v>STR-1063</v>
      </c>
      <c r="B255" s="26" t="str">
        <f aca="false">cleaned_data!$B$255</f>
        <v>2025-03-01</v>
      </c>
      <c r="C255" s="5" t="str">
        <f aca="false">cleaned_data!$C$255</f>
        <v>North</v>
      </c>
      <c r="D255" s="5" t="str">
        <f aca="false">cleaned_data!$D$255</f>
        <v>High Street</v>
      </c>
      <c r="E255" s="27" t="n">
        <f aca="false">cleaned_data!$M$255</f>
        <v>647953.78</v>
      </c>
      <c r="F255" s="27" t="n">
        <f aca="false">multiple_regression!$O$18+multiple_regression!$O$19*cleaned_data!$F$255+multiple_regression!$O$20*cleaned_data!$E$255+multiple_regression!$O$21*cleaned_data!$I$255+multiple_regression!$O$22*cleaned_data!$H$255+multiple_regression!$O$23*dummy_variables!$D$255+multiple_regression!$O$24*dummy_variables!$E$255+multiple_regression!$O$25*dummy_variables!$F$255+multiple_regression!$O$26*dummy_variables!$G$255+multiple_regression!$O$27*dummy_variables!$H$255+multiple_regression!$O$28*dummy_variables!$I$255</f>
        <v>646070.965588175</v>
      </c>
      <c r="G255" s="27" t="n">
        <f aca="false">E255-F255</f>
        <v>1882.81441182492</v>
      </c>
    </row>
    <row r="256" customFormat="false" ht="15" hidden="false" customHeight="true" outlineLevel="0" collapsed="false">
      <c r="A256" s="5" t="str">
        <f aca="false">cleaned_data!$A$256</f>
        <v>STR-1063</v>
      </c>
      <c r="B256" s="26" t="str">
        <f aca="false">cleaned_data!$B$256</f>
        <v>2025-04-01</v>
      </c>
      <c r="C256" s="5" t="str">
        <f aca="false">cleaned_data!$C$256</f>
        <v>North</v>
      </c>
      <c r="D256" s="5" t="str">
        <f aca="false">cleaned_data!$D$256</f>
        <v>High Street</v>
      </c>
      <c r="E256" s="27" t="n">
        <f aca="false">cleaned_data!$M$256</f>
        <v>729440.45</v>
      </c>
      <c r="F256" s="27" t="n">
        <f aca="false">multiple_regression!$O$18+multiple_regression!$O$19*cleaned_data!$F$256+multiple_regression!$O$20*cleaned_data!$E$256+multiple_regression!$O$21*cleaned_data!$I$256+multiple_regression!$O$22*cleaned_data!$H$256+multiple_regression!$O$23*dummy_variables!$D$256+multiple_regression!$O$24*dummy_variables!$E$256+multiple_regression!$O$25*dummy_variables!$F$256+multiple_regression!$O$26*dummy_variables!$G$256+multiple_regression!$O$27*dummy_variables!$H$256+multiple_regression!$O$28*dummy_variables!$I$256</f>
        <v>699966.551006113</v>
      </c>
      <c r="G256" s="27" t="n">
        <f aca="false">E256-F256</f>
        <v>29473.8989938874</v>
      </c>
    </row>
    <row r="257" customFormat="false" ht="15" hidden="false" customHeight="true" outlineLevel="0" collapsed="false">
      <c r="A257" s="5" t="str">
        <f aca="false">cleaned_data!$A$257</f>
        <v>STR-1064</v>
      </c>
      <c r="B257" s="26" t="str">
        <f aca="false">cleaned_data!$B$257</f>
        <v>2025-01-01</v>
      </c>
      <c r="C257" s="5" t="str">
        <f aca="false">cleaned_data!$C$257</f>
        <v>South</v>
      </c>
      <c r="D257" s="5" t="str">
        <f aca="false">cleaned_data!$D$257</f>
        <v>Airport</v>
      </c>
      <c r="E257" s="27" t="n">
        <f aca="false">cleaned_data!$M$257</f>
        <v>764949</v>
      </c>
      <c r="F257" s="27" t="n">
        <f aca="false">multiple_regression!$O$18+multiple_regression!$O$19*cleaned_data!$F$257+multiple_regression!$O$20*cleaned_data!$E$257+multiple_regression!$O$21*cleaned_data!$I$257+multiple_regression!$O$22*cleaned_data!$H$257+multiple_regression!$O$23*dummy_variables!$D$257+multiple_regression!$O$24*dummy_variables!$E$257+multiple_regression!$O$25*dummy_variables!$F$257+multiple_regression!$O$26*dummy_variables!$G$257+multiple_regression!$O$27*dummy_variables!$H$257+multiple_regression!$O$28*dummy_variables!$I$257</f>
        <v>780771.433303978</v>
      </c>
      <c r="G257" s="27" t="n">
        <f aca="false">E257-F257</f>
        <v>-15822.4333039779</v>
      </c>
    </row>
    <row r="258" customFormat="false" ht="15" hidden="false" customHeight="true" outlineLevel="0" collapsed="false">
      <c r="A258" s="5" t="str">
        <f aca="false">cleaned_data!$A$258</f>
        <v>STR-1064</v>
      </c>
      <c r="B258" s="26" t="str">
        <f aca="false">cleaned_data!$B$258</f>
        <v>2025-02-01</v>
      </c>
      <c r="C258" s="5" t="str">
        <f aca="false">cleaned_data!$C$258</f>
        <v>South</v>
      </c>
      <c r="D258" s="5" t="str">
        <f aca="false">cleaned_data!$D$258</f>
        <v>Airport</v>
      </c>
      <c r="E258" s="27" t="n">
        <f aca="false">cleaned_data!$M$258</f>
        <v>799046.94</v>
      </c>
      <c r="F258" s="27" t="n">
        <f aca="false">multiple_regression!$O$18+multiple_regression!$O$19*cleaned_data!$F$258+multiple_regression!$O$20*cleaned_data!$E$258+multiple_regression!$O$21*cleaned_data!$I$258+multiple_regression!$O$22*cleaned_data!$H$258+multiple_regression!$O$23*dummy_variables!$D$258+multiple_regression!$O$24*dummy_variables!$E$258+multiple_regression!$O$25*dummy_variables!$F$258+multiple_regression!$O$26*dummy_variables!$G$258+multiple_regression!$O$27*dummy_variables!$H$258+multiple_regression!$O$28*dummy_variables!$I$258</f>
        <v>735780.638151024</v>
      </c>
      <c r="G258" s="27" t="n">
        <f aca="false">E258-F258</f>
        <v>63266.3018489764</v>
      </c>
    </row>
    <row r="259" customFormat="false" ht="15" hidden="false" customHeight="true" outlineLevel="0" collapsed="false">
      <c r="A259" s="5" t="str">
        <f aca="false">cleaned_data!$A$259</f>
        <v>STR-1064</v>
      </c>
      <c r="B259" s="26" t="str">
        <f aca="false">cleaned_data!$B$259</f>
        <v>2025-03-01</v>
      </c>
      <c r="C259" s="5" t="str">
        <f aca="false">cleaned_data!$C$259</f>
        <v>South</v>
      </c>
      <c r="D259" s="5" t="str">
        <f aca="false">cleaned_data!$D$259</f>
        <v>Airport</v>
      </c>
      <c r="E259" s="27" t="n">
        <f aca="false">cleaned_data!$M$259</f>
        <v>720079.54</v>
      </c>
      <c r="F259" s="27" t="n">
        <f aca="false">multiple_regression!$O$18+multiple_regression!$O$19*cleaned_data!$F$259+multiple_regression!$O$20*cleaned_data!$E$259+multiple_regression!$O$21*cleaned_data!$I$259+multiple_regression!$O$22*cleaned_data!$H$259+multiple_regression!$O$23*dummy_variables!$D$259+multiple_regression!$O$24*dummy_variables!$E$259+multiple_regression!$O$25*dummy_variables!$F$259+multiple_regression!$O$26*dummy_variables!$G$259+multiple_regression!$O$27*dummy_variables!$H$259+multiple_regression!$O$28*dummy_variables!$I$259</f>
        <v>698670.668822188</v>
      </c>
      <c r="G259" s="27" t="n">
        <f aca="false">E259-F259</f>
        <v>21408.8711778125</v>
      </c>
    </row>
    <row r="260" customFormat="false" ht="15" hidden="false" customHeight="true" outlineLevel="0" collapsed="false">
      <c r="A260" s="5" t="str">
        <f aca="false">cleaned_data!$A$260</f>
        <v>STR-1064</v>
      </c>
      <c r="B260" s="26" t="str">
        <f aca="false">cleaned_data!$B$260</f>
        <v>2025-04-01</v>
      </c>
      <c r="C260" s="5" t="str">
        <f aca="false">cleaned_data!$C$260</f>
        <v>South</v>
      </c>
      <c r="D260" s="5" t="str">
        <f aca="false">cleaned_data!$D$260</f>
        <v>Airport</v>
      </c>
      <c r="E260" s="27" t="n">
        <f aca="false">cleaned_data!$M$260</f>
        <v>612390.14</v>
      </c>
      <c r="F260" s="27" t="n">
        <f aca="false">multiple_regression!$O$18+multiple_regression!$O$19*cleaned_data!$F$260+multiple_regression!$O$20*cleaned_data!$E$260+multiple_regression!$O$21*cleaned_data!$I$260+multiple_regression!$O$22*cleaned_data!$H$260+multiple_regression!$O$23*dummy_variables!$D$260+multiple_regression!$O$24*dummy_variables!$E$260+multiple_regression!$O$25*dummy_variables!$F$260+multiple_regression!$O$26*dummy_variables!$G$260+multiple_regression!$O$27*dummy_variables!$H$260+multiple_regression!$O$28*dummy_variables!$I$260</f>
        <v>669327.874678201</v>
      </c>
      <c r="G260" s="27" t="n">
        <f aca="false">E260-F260</f>
        <v>-56937.7346782006</v>
      </c>
    </row>
    <row r="261" customFormat="false" ht="15" hidden="false" customHeight="true" outlineLevel="0" collapsed="false">
      <c r="A261" s="5" t="str">
        <f aca="false">cleaned_data!$A$261</f>
        <v>STR-1065</v>
      </c>
      <c r="B261" s="26" t="str">
        <f aca="false">cleaned_data!$B$261</f>
        <v>2025-01-01</v>
      </c>
      <c r="C261" s="5" t="str">
        <f aca="false">cleaned_data!$C$261</f>
        <v>South</v>
      </c>
      <c r="D261" s="5" t="str">
        <f aca="false">cleaned_data!$D$261</f>
        <v>Mall</v>
      </c>
      <c r="E261" s="27" t="n">
        <f aca="false">cleaned_data!$M$261</f>
        <v>840108.12</v>
      </c>
      <c r="F261" s="27" t="n">
        <f aca="false">multiple_regression!$O$18+multiple_regression!$O$19*cleaned_data!$F$261+multiple_regression!$O$20*cleaned_data!$E$261+multiple_regression!$O$21*cleaned_data!$I$261+multiple_regression!$O$22*cleaned_data!$H$261+multiple_regression!$O$23*dummy_variables!$D$261+multiple_regression!$O$24*dummy_variables!$E$261+multiple_regression!$O$25*dummy_variables!$F$261+multiple_regression!$O$26*dummy_variables!$G$261+multiple_regression!$O$27*dummy_variables!$H$261+multiple_regression!$O$28*dummy_variables!$I$261</f>
        <v>765637.063125653</v>
      </c>
      <c r="G261" s="27" t="n">
        <f aca="false">E261-F261</f>
        <v>74471.0568743475</v>
      </c>
    </row>
    <row r="262" customFormat="false" ht="15" hidden="false" customHeight="true" outlineLevel="0" collapsed="false">
      <c r="A262" s="5" t="str">
        <f aca="false">cleaned_data!$A$262</f>
        <v>STR-1065</v>
      </c>
      <c r="B262" s="26" t="str">
        <f aca="false">cleaned_data!$B$262</f>
        <v>2025-02-01</v>
      </c>
      <c r="C262" s="5" t="str">
        <f aca="false">cleaned_data!$C$262</f>
        <v>South</v>
      </c>
      <c r="D262" s="5" t="str">
        <f aca="false">cleaned_data!$D$262</f>
        <v>Mall</v>
      </c>
      <c r="E262" s="27" t="n">
        <f aca="false">cleaned_data!$M$262</f>
        <v>697888.09</v>
      </c>
      <c r="F262" s="27" t="n">
        <f aca="false">multiple_regression!$O$18+multiple_regression!$O$19*cleaned_data!$F$262+multiple_regression!$O$20*cleaned_data!$E$262+multiple_regression!$O$21*cleaned_data!$I$262+multiple_regression!$O$22*cleaned_data!$H$262+multiple_regression!$O$23*dummy_variables!$D$262+multiple_regression!$O$24*dummy_variables!$E$262+multiple_regression!$O$25*dummy_variables!$F$262+multiple_regression!$O$26*dummy_variables!$G$262+multiple_regression!$O$27*dummy_variables!$H$262+multiple_regression!$O$28*dummy_variables!$I$262</f>
        <v>690325.067563793</v>
      </c>
      <c r="G262" s="27" t="n">
        <f aca="false">E262-F262</f>
        <v>7563.02243620704</v>
      </c>
    </row>
    <row r="263" customFormat="false" ht="15" hidden="false" customHeight="true" outlineLevel="0" collapsed="false">
      <c r="A263" s="5" t="str">
        <f aca="false">cleaned_data!$A$263</f>
        <v>STR-1065</v>
      </c>
      <c r="B263" s="26" t="str">
        <f aca="false">cleaned_data!$B$263</f>
        <v>2025-03-01</v>
      </c>
      <c r="C263" s="5" t="str">
        <f aca="false">cleaned_data!$C$263</f>
        <v>South</v>
      </c>
      <c r="D263" s="5" t="str">
        <f aca="false">cleaned_data!$D$263</f>
        <v>Mall</v>
      </c>
      <c r="E263" s="27" t="n">
        <f aca="false">cleaned_data!$M$263</f>
        <v>746115.59</v>
      </c>
      <c r="F263" s="27" t="n">
        <f aca="false">multiple_regression!$O$18+multiple_regression!$O$19*cleaned_data!$F$263+multiple_regression!$O$20*cleaned_data!$E$263+multiple_regression!$O$21*cleaned_data!$I$263+multiple_regression!$O$22*cleaned_data!$H$263+multiple_regression!$O$23*dummy_variables!$D$263+multiple_regression!$O$24*dummy_variables!$E$263+multiple_regression!$O$25*dummy_variables!$F$263+multiple_regression!$O$26*dummy_variables!$G$263+multiple_regression!$O$27*dummy_variables!$H$263+multiple_regression!$O$28*dummy_variables!$I$263</f>
        <v>753513.191205123</v>
      </c>
      <c r="G263" s="27" t="n">
        <f aca="false">E263-F263</f>
        <v>-7397.60120512254</v>
      </c>
    </row>
    <row r="264" customFormat="false" ht="15" hidden="false" customHeight="true" outlineLevel="0" collapsed="false">
      <c r="A264" s="5" t="str">
        <f aca="false">cleaned_data!$A$264</f>
        <v>STR-1065</v>
      </c>
      <c r="B264" s="26" t="str">
        <f aca="false">cleaned_data!$B$264</f>
        <v>2025-04-01</v>
      </c>
      <c r="C264" s="5" t="str">
        <f aca="false">cleaned_data!$C$264</f>
        <v>South</v>
      </c>
      <c r="D264" s="5" t="str">
        <f aca="false">cleaned_data!$D$264</f>
        <v>Mall</v>
      </c>
      <c r="E264" s="27" t="n">
        <f aca="false">cleaned_data!$M$264</f>
        <v>776110.32</v>
      </c>
      <c r="F264" s="27" t="n">
        <f aca="false">multiple_regression!$O$18+multiple_regression!$O$19*cleaned_data!$F$264+multiple_regression!$O$20*cleaned_data!$E$264+multiple_regression!$O$21*cleaned_data!$I$264+multiple_regression!$O$22*cleaned_data!$H$264+multiple_regression!$O$23*dummy_variables!$D$264+multiple_regression!$O$24*dummy_variables!$E$264+multiple_regression!$O$25*dummy_variables!$F$264+multiple_regression!$O$26*dummy_variables!$G$264+multiple_regression!$O$27*dummy_variables!$H$264+multiple_regression!$O$28*dummy_variables!$I$264</f>
        <v>743407.176054962</v>
      </c>
      <c r="G264" s="27" t="n">
        <f aca="false">E264-F264</f>
        <v>32703.1439450382</v>
      </c>
    </row>
    <row r="265" customFormat="false" ht="15" hidden="false" customHeight="true" outlineLevel="0" collapsed="false">
      <c r="A265" s="5" t="str">
        <f aca="false">cleaned_data!$A$265</f>
        <v>STR-1066</v>
      </c>
      <c r="B265" s="26" t="str">
        <f aca="false">cleaned_data!$B$265</f>
        <v>2025-01-01</v>
      </c>
      <c r="C265" s="5" t="str">
        <f aca="false">cleaned_data!$C$265</f>
        <v>West</v>
      </c>
      <c r="D265" s="5" t="str">
        <f aca="false">cleaned_data!$D$265</f>
        <v>High Street</v>
      </c>
      <c r="E265" s="27" t="n">
        <f aca="false">cleaned_data!$M$265</f>
        <v>528852.62</v>
      </c>
      <c r="F265" s="27" t="n">
        <f aca="false">multiple_regression!$O$18+multiple_regression!$O$19*cleaned_data!$F$265+multiple_regression!$O$20*cleaned_data!$E$265+multiple_regression!$O$21*cleaned_data!$I$265+multiple_regression!$O$22*cleaned_data!$H$265+multiple_regression!$O$23*dummy_variables!$D$265+multiple_regression!$O$24*dummy_variables!$E$265+multiple_regression!$O$25*dummy_variables!$F$265+multiple_regression!$O$26*dummy_variables!$G$265+multiple_regression!$O$27*dummy_variables!$H$265+multiple_regression!$O$28*dummy_variables!$I$265</f>
        <v>526719.218642496</v>
      </c>
      <c r="G265" s="27" t="n">
        <f aca="false">E265-F265</f>
        <v>2133.40135750372</v>
      </c>
    </row>
    <row r="266" customFormat="false" ht="15" hidden="false" customHeight="true" outlineLevel="0" collapsed="false">
      <c r="A266" s="5" t="str">
        <f aca="false">cleaned_data!$A$266</f>
        <v>STR-1066</v>
      </c>
      <c r="B266" s="26" t="str">
        <f aca="false">cleaned_data!$B$266</f>
        <v>2025-02-01</v>
      </c>
      <c r="C266" s="5" t="str">
        <f aca="false">cleaned_data!$C$266</f>
        <v>West</v>
      </c>
      <c r="D266" s="5" t="str">
        <f aca="false">cleaned_data!$D$266</f>
        <v>High Street</v>
      </c>
      <c r="E266" s="27" t="n">
        <f aca="false">cleaned_data!$M$266</f>
        <v>605751.33</v>
      </c>
      <c r="F266" s="27" t="n">
        <f aca="false">multiple_regression!$O$18+multiple_regression!$O$19*cleaned_data!$F$266+multiple_regression!$O$20*cleaned_data!$E$266+multiple_regression!$O$21*cleaned_data!$I$266+multiple_regression!$O$22*cleaned_data!$H$266+multiple_regression!$O$23*dummy_variables!$D$266+multiple_regression!$O$24*dummy_variables!$E$266+multiple_regression!$O$25*dummy_variables!$F$266+multiple_regression!$O$26*dummy_variables!$G$266+multiple_regression!$O$27*dummy_variables!$H$266+multiple_regression!$O$28*dummy_variables!$I$266</f>
        <v>609891.668008601</v>
      </c>
      <c r="G266" s="27" t="n">
        <f aca="false">E266-F266</f>
        <v>-4140.33800860122</v>
      </c>
    </row>
    <row r="267" customFormat="false" ht="15" hidden="false" customHeight="true" outlineLevel="0" collapsed="false">
      <c r="A267" s="5" t="str">
        <f aca="false">cleaned_data!$A$267</f>
        <v>STR-1066</v>
      </c>
      <c r="B267" s="26" t="str">
        <f aca="false">cleaned_data!$B$267</f>
        <v>2025-03-01</v>
      </c>
      <c r="C267" s="5" t="str">
        <f aca="false">cleaned_data!$C$267</f>
        <v>West</v>
      </c>
      <c r="D267" s="5" t="str">
        <f aca="false">cleaned_data!$D$267</f>
        <v>High Street</v>
      </c>
      <c r="E267" s="27" t="n">
        <f aca="false">cleaned_data!$M$267</f>
        <v>677640.65</v>
      </c>
      <c r="F267" s="27" t="n">
        <f aca="false">multiple_regression!$O$18+multiple_regression!$O$19*cleaned_data!$F$267+multiple_regression!$O$20*cleaned_data!$E$267+multiple_regression!$O$21*cleaned_data!$I$267+multiple_regression!$O$22*cleaned_data!$H$267+multiple_regression!$O$23*dummy_variables!$D$267+multiple_regression!$O$24*dummy_variables!$E$267+multiple_regression!$O$25*dummy_variables!$F$267+multiple_regression!$O$26*dummy_variables!$G$267+multiple_regression!$O$27*dummy_variables!$H$267+multiple_regression!$O$28*dummy_variables!$I$267</f>
        <v>606508.852138416</v>
      </c>
      <c r="G267" s="27" t="n">
        <f aca="false">E267-F267</f>
        <v>71131.7978615839</v>
      </c>
    </row>
    <row r="268" customFormat="false" ht="15" hidden="false" customHeight="true" outlineLevel="0" collapsed="false">
      <c r="A268" s="5" t="str">
        <f aca="false">cleaned_data!$A$268</f>
        <v>STR-1066</v>
      </c>
      <c r="B268" s="26" t="str">
        <f aca="false">cleaned_data!$B$268</f>
        <v>2025-04-01</v>
      </c>
      <c r="C268" s="5" t="str">
        <f aca="false">cleaned_data!$C$268</f>
        <v>West</v>
      </c>
      <c r="D268" s="5" t="str">
        <f aca="false">cleaned_data!$D$268</f>
        <v>High Street</v>
      </c>
      <c r="E268" s="27" t="n">
        <f aca="false">cleaned_data!$M$268</f>
        <v>636613.23</v>
      </c>
      <c r="F268" s="27" t="n">
        <f aca="false">multiple_regression!$O$18+multiple_regression!$O$19*cleaned_data!$F$268+multiple_regression!$O$20*cleaned_data!$E$268+multiple_regression!$O$21*cleaned_data!$I$268+multiple_regression!$O$22*cleaned_data!$H$268+multiple_regression!$O$23*dummy_variables!$D$268+multiple_regression!$O$24*dummy_variables!$E$268+multiple_regression!$O$25*dummy_variables!$F$268+multiple_regression!$O$26*dummy_variables!$G$268+multiple_regression!$O$27*dummy_variables!$H$268+multiple_regression!$O$28*dummy_variables!$I$268</f>
        <v>622757.714077322</v>
      </c>
      <c r="G268" s="27" t="n">
        <f aca="false">E268-F268</f>
        <v>13855.5159226781</v>
      </c>
    </row>
    <row r="269" customFormat="false" ht="15" hidden="false" customHeight="true" outlineLevel="0" collapsed="false">
      <c r="A269" s="5" t="str">
        <f aca="false">cleaned_data!$A$269</f>
        <v>STR-1067</v>
      </c>
      <c r="B269" s="26" t="str">
        <f aca="false">cleaned_data!$B$269</f>
        <v>2025-01-01</v>
      </c>
      <c r="C269" s="5" t="str">
        <f aca="false">cleaned_data!$C$269</f>
        <v>East</v>
      </c>
      <c r="D269" s="5" t="str">
        <f aca="false">cleaned_data!$D$269</f>
        <v>High Street</v>
      </c>
      <c r="E269" s="27" t="n">
        <f aca="false">cleaned_data!$M$269</f>
        <v>708985.19</v>
      </c>
      <c r="F269" s="27" t="n">
        <f aca="false">multiple_regression!$O$18+multiple_regression!$O$19*cleaned_data!$F$269+multiple_regression!$O$20*cleaned_data!$E$269+multiple_regression!$O$21*cleaned_data!$I$269+multiple_regression!$O$22*cleaned_data!$H$269+multiple_regression!$O$23*dummy_variables!$D$269+multiple_regression!$O$24*dummy_variables!$E$269+multiple_regression!$O$25*dummy_variables!$F$269+multiple_regression!$O$26*dummy_variables!$G$269+multiple_regression!$O$27*dummy_variables!$H$269+multiple_regression!$O$28*dummy_variables!$I$269</f>
        <v>713781.151025779</v>
      </c>
      <c r="G269" s="27" t="n">
        <f aca="false">E269-F269</f>
        <v>-4795.96102577855</v>
      </c>
    </row>
    <row r="270" customFormat="false" ht="15" hidden="false" customHeight="true" outlineLevel="0" collapsed="false">
      <c r="A270" s="5" t="str">
        <f aca="false">cleaned_data!$A$270</f>
        <v>STR-1067</v>
      </c>
      <c r="B270" s="26" t="str">
        <f aca="false">cleaned_data!$B$270</f>
        <v>2025-02-01</v>
      </c>
      <c r="C270" s="5" t="str">
        <f aca="false">cleaned_data!$C$270</f>
        <v>East</v>
      </c>
      <c r="D270" s="5" t="str">
        <f aca="false">cleaned_data!$D$270</f>
        <v>High Street</v>
      </c>
      <c r="E270" s="27" t="n">
        <f aca="false">cleaned_data!$M$270</f>
        <v>767792.94</v>
      </c>
      <c r="F270" s="27" t="n">
        <f aca="false">multiple_regression!$O$18+multiple_regression!$O$19*cleaned_data!$F$270+multiple_regression!$O$20*cleaned_data!$E$270+multiple_regression!$O$21*cleaned_data!$I$270+multiple_regression!$O$22*cleaned_data!$H$270+multiple_regression!$O$23*dummy_variables!$D$270+multiple_regression!$O$24*dummy_variables!$E$270+multiple_regression!$O$25*dummy_variables!$F$270+multiple_regression!$O$26*dummy_variables!$G$270+multiple_regression!$O$27*dummy_variables!$H$270+multiple_regression!$O$28*dummy_variables!$I$270</f>
        <v>736091.081697432</v>
      </c>
      <c r="G270" s="27" t="n">
        <f aca="false">E270-F270</f>
        <v>31701.8583025681</v>
      </c>
    </row>
    <row r="271" customFormat="false" ht="15" hidden="false" customHeight="true" outlineLevel="0" collapsed="false">
      <c r="A271" s="5" t="str">
        <f aca="false">cleaned_data!$A$271</f>
        <v>STR-1067</v>
      </c>
      <c r="B271" s="26" t="str">
        <f aca="false">cleaned_data!$B$271</f>
        <v>2025-03-01</v>
      </c>
      <c r="C271" s="5" t="str">
        <f aca="false">cleaned_data!$C$271</f>
        <v>East</v>
      </c>
      <c r="D271" s="5" t="str">
        <f aca="false">cleaned_data!$D$271</f>
        <v>High Street</v>
      </c>
      <c r="E271" s="27" t="n">
        <f aca="false">cleaned_data!$M$271</f>
        <v>745580.51</v>
      </c>
      <c r="F271" s="27" t="n">
        <f aca="false">multiple_regression!$O$18+multiple_regression!$O$19*cleaned_data!$F$271+multiple_regression!$O$20*cleaned_data!$E$271+multiple_regression!$O$21*cleaned_data!$I$271+multiple_regression!$O$22*cleaned_data!$H$271+multiple_regression!$O$23*dummy_variables!$D$271+multiple_regression!$O$24*dummy_variables!$E$271+multiple_regression!$O$25*dummy_variables!$F$271+multiple_regression!$O$26*dummy_variables!$G$271+multiple_regression!$O$27*dummy_variables!$H$271+multiple_regression!$O$28*dummy_variables!$I$271</f>
        <v>723801.224403471</v>
      </c>
      <c r="G271" s="27" t="n">
        <f aca="false">E271-F271</f>
        <v>21779.2855965287</v>
      </c>
    </row>
    <row r="272" customFormat="false" ht="15" hidden="false" customHeight="true" outlineLevel="0" collapsed="false">
      <c r="A272" s="5" t="str">
        <f aca="false">cleaned_data!$A$272</f>
        <v>STR-1067</v>
      </c>
      <c r="B272" s="26" t="str">
        <f aca="false">cleaned_data!$B$272</f>
        <v>2025-04-01</v>
      </c>
      <c r="C272" s="5" t="str">
        <f aca="false">cleaned_data!$C$272</f>
        <v>East</v>
      </c>
      <c r="D272" s="5" t="str">
        <f aca="false">cleaned_data!$D$272</f>
        <v>High Street</v>
      </c>
      <c r="E272" s="27" t="n">
        <f aca="false">cleaned_data!$M$272</f>
        <v>762328.31</v>
      </c>
      <c r="F272" s="27" t="n">
        <f aca="false">multiple_regression!$O$18+multiple_regression!$O$19*cleaned_data!$F$272+multiple_regression!$O$20*cleaned_data!$E$272+multiple_regression!$O$21*cleaned_data!$I$272+multiple_regression!$O$22*cleaned_data!$H$272+multiple_regression!$O$23*dummy_variables!$D$272+multiple_regression!$O$24*dummy_variables!$E$272+multiple_regression!$O$25*dummy_variables!$F$272+multiple_regression!$O$26*dummy_variables!$G$272+multiple_regression!$O$27*dummy_variables!$H$272+multiple_regression!$O$28*dummy_variables!$I$272</f>
        <v>712907.733152507</v>
      </c>
      <c r="G272" s="27" t="n">
        <f aca="false">E272-F272</f>
        <v>49420.5768474927</v>
      </c>
    </row>
    <row r="273" customFormat="false" ht="15" hidden="false" customHeight="true" outlineLevel="0" collapsed="false">
      <c r="A273" s="5" t="str">
        <f aca="false">cleaned_data!$A$273</f>
        <v>STR-1068</v>
      </c>
      <c r="B273" s="26" t="str">
        <f aca="false">cleaned_data!$B$273</f>
        <v>2025-01-01</v>
      </c>
      <c r="C273" s="5" t="str">
        <f aca="false">cleaned_data!$C$273</f>
        <v>East</v>
      </c>
      <c r="D273" s="5" t="str">
        <f aca="false">cleaned_data!$D$273</f>
        <v>Mall</v>
      </c>
      <c r="E273" s="27" t="n">
        <f aca="false">cleaned_data!$M$273</f>
        <v>660633.99</v>
      </c>
      <c r="F273" s="27" t="n">
        <f aca="false">multiple_regression!$O$18+multiple_regression!$O$19*cleaned_data!$F$273+multiple_regression!$O$20*cleaned_data!$E$273+multiple_regression!$O$21*cleaned_data!$I$273+multiple_regression!$O$22*cleaned_data!$H$273+multiple_regression!$O$23*dummy_variables!$D$273+multiple_regression!$O$24*dummy_variables!$E$273+multiple_regression!$O$25*dummy_variables!$F$273+multiple_regression!$O$26*dummy_variables!$G$273+multiple_regression!$O$27*dummy_variables!$H$273+multiple_regression!$O$28*dummy_variables!$I$273</f>
        <v>735042.812235034</v>
      </c>
      <c r="G273" s="27" t="n">
        <f aca="false">E273-F273</f>
        <v>-74408.8222350344</v>
      </c>
    </row>
    <row r="274" customFormat="false" ht="15" hidden="false" customHeight="true" outlineLevel="0" collapsed="false">
      <c r="A274" s="5" t="str">
        <f aca="false">cleaned_data!$A$274</f>
        <v>STR-1068</v>
      </c>
      <c r="B274" s="26" t="str">
        <f aca="false">cleaned_data!$B$274</f>
        <v>2025-02-01</v>
      </c>
      <c r="C274" s="5" t="str">
        <f aca="false">cleaned_data!$C$274</f>
        <v>East</v>
      </c>
      <c r="D274" s="5" t="str">
        <f aca="false">cleaned_data!$D$274</f>
        <v>Mall</v>
      </c>
      <c r="E274" s="27" t="n">
        <f aca="false">cleaned_data!$M$274</f>
        <v>739374.56</v>
      </c>
      <c r="F274" s="27" t="n">
        <f aca="false">multiple_regression!$O$18+multiple_regression!$O$19*cleaned_data!$F$274+multiple_regression!$O$20*cleaned_data!$E$274+multiple_regression!$O$21*cleaned_data!$I$274+multiple_regression!$O$22*cleaned_data!$H$274+multiple_regression!$O$23*dummy_variables!$D$274+multiple_regression!$O$24*dummy_variables!$E$274+multiple_regression!$O$25*dummy_variables!$F$274+multiple_regression!$O$26*dummy_variables!$G$274+multiple_regression!$O$27*dummy_variables!$H$274+multiple_regression!$O$28*dummy_variables!$I$274</f>
        <v>698354.619371225</v>
      </c>
      <c r="G274" s="27" t="n">
        <f aca="false">E274-F274</f>
        <v>41019.9406287754</v>
      </c>
    </row>
    <row r="275" customFormat="false" ht="15" hidden="false" customHeight="true" outlineLevel="0" collapsed="false">
      <c r="A275" s="5" t="str">
        <f aca="false">cleaned_data!$A$275</f>
        <v>STR-1068</v>
      </c>
      <c r="B275" s="26" t="str">
        <f aca="false">cleaned_data!$B$275</f>
        <v>2025-03-01</v>
      </c>
      <c r="C275" s="5" t="str">
        <f aca="false">cleaned_data!$C$275</f>
        <v>East</v>
      </c>
      <c r="D275" s="5" t="str">
        <f aca="false">cleaned_data!$D$275</f>
        <v>Mall</v>
      </c>
      <c r="E275" s="27" t="n">
        <f aca="false">cleaned_data!$M$275</f>
        <v>799756.46</v>
      </c>
      <c r="F275" s="27" t="n">
        <f aca="false">multiple_regression!$O$18+multiple_regression!$O$19*cleaned_data!$F$275+multiple_regression!$O$20*cleaned_data!$E$275+multiple_regression!$O$21*cleaned_data!$I$275+multiple_regression!$O$22*cleaned_data!$H$275+multiple_regression!$O$23*dummy_variables!$D$275+multiple_regression!$O$24*dummy_variables!$E$275+multiple_regression!$O$25*dummy_variables!$F$275+multiple_regression!$O$26*dummy_variables!$G$275+multiple_regression!$O$27*dummy_variables!$H$275+multiple_regression!$O$28*dummy_variables!$I$275</f>
        <v>804306.718084456</v>
      </c>
      <c r="G275" s="27" t="n">
        <f aca="false">E275-F275</f>
        <v>-4550.25808445562</v>
      </c>
    </row>
    <row r="276" customFormat="false" ht="15" hidden="false" customHeight="true" outlineLevel="0" collapsed="false">
      <c r="A276" s="5" t="str">
        <f aca="false">cleaned_data!$A$276</f>
        <v>STR-1068</v>
      </c>
      <c r="B276" s="26" t="str">
        <f aca="false">cleaned_data!$B$276</f>
        <v>2025-04-01</v>
      </c>
      <c r="C276" s="5" t="str">
        <f aca="false">cleaned_data!$C$276</f>
        <v>East</v>
      </c>
      <c r="D276" s="5" t="str">
        <f aca="false">cleaned_data!$D$276</f>
        <v>Mall</v>
      </c>
      <c r="E276" s="27" t="n">
        <f aca="false">cleaned_data!$M$276</f>
        <v>593343</v>
      </c>
      <c r="F276" s="27" t="n">
        <f aca="false">multiple_regression!$O$18+multiple_regression!$O$19*cleaned_data!$F$276+multiple_regression!$O$20*cleaned_data!$E$276+multiple_regression!$O$21*cleaned_data!$I$276+multiple_regression!$O$22*cleaned_data!$H$276+multiple_regression!$O$23*dummy_variables!$D$276+multiple_regression!$O$24*dummy_variables!$E$276+multiple_regression!$O$25*dummy_variables!$F$276+multiple_regression!$O$26*dummy_variables!$G$276+multiple_regression!$O$27*dummy_variables!$H$276+multiple_regression!$O$28*dummy_variables!$I$276</f>
        <v>665875.308322856</v>
      </c>
      <c r="G276" s="27" t="n">
        <f aca="false">E276-F276</f>
        <v>-72532.3083228556</v>
      </c>
    </row>
    <row r="277" customFormat="false" ht="15" hidden="false" customHeight="true" outlineLevel="0" collapsed="false">
      <c r="A277" s="5" t="str">
        <f aca="false">cleaned_data!$A$277</f>
        <v>STR-1069</v>
      </c>
      <c r="B277" s="26" t="str">
        <f aca="false">cleaned_data!$B$277</f>
        <v>2025-01-01</v>
      </c>
      <c r="C277" s="5" t="str">
        <f aca="false">cleaned_data!$C$277</f>
        <v>West</v>
      </c>
      <c r="D277" s="5" t="str">
        <f aca="false">cleaned_data!$D$277</f>
        <v>High Street</v>
      </c>
      <c r="E277" s="27" t="n">
        <f aca="false">cleaned_data!$M$277</f>
        <v>645039.97</v>
      </c>
      <c r="F277" s="27" t="n">
        <f aca="false">multiple_regression!$O$18+multiple_regression!$O$19*cleaned_data!$F$277+multiple_regression!$O$20*cleaned_data!$E$277+multiple_regression!$O$21*cleaned_data!$I$277+multiple_regression!$O$22*cleaned_data!$H$277+multiple_regression!$O$23*dummy_variables!$D$277+multiple_regression!$O$24*dummy_variables!$E$277+multiple_regression!$O$25*dummy_variables!$F$277+multiple_regression!$O$26*dummy_variables!$G$277+multiple_regression!$O$27*dummy_variables!$H$277+multiple_regression!$O$28*dummy_variables!$I$277</f>
        <v>650568.790846438</v>
      </c>
      <c r="G277" s="27" t="n">
        <f aca="false">E277-F277</f>
        <v>-5528.82084643771</v>
      </c>
    </row>
    <row r="278" customFormat="false" ht="15" hidden="false" customHeight="true" outlineLevel="0" collapsed="false">
      <c r="A278" s="5" t="str">
        <f aca="false">cleaned_data!$A$278</f>
        <v>STR-1069</v>
      </c>
      <c r="B278" s="26" t="str">
        <f aca="false">cleaned_data!$B$278</f>
        <v>2025-02-01</v>
      </c>
      <c r="C278" s="5" t="str">
        <f aca="false">cleaned_data!$C$278</f>
        <v>West</v>
      </c>
      <c r="D278" s="5" t="str">
        <f aca="false">cleaned_data!$D$278</f>
        <v>High Street</v>
      </c>
      <c r="E278" s="27" t="n">
        <f aca="false">cleaned_data!$M$278</f>
        <v>561597.33</v>
      </c>
      <c r="F278" s="27" t="n">
        <f aca="false">multiple_regression!$O$18+multiple_regression!$O$19*cleaned_data!$F$278+multiple_regression!$O$20*cleaned_data!$E$278+multiple_regression!$O$21*cleaned_data!$I$278+multiple_regression!$O$22*cleaned_data!$H$278+multiple_regression!$O$23*dummy_variables!$D$278+multiple_regression!$O$24*dummy_variables!$E$278+multiple_regression!$O$25*dummy_variables!$F$278+multiple_regression!$O$26*dummy_variables!$G$278+multiple_regression!$O$27*dummy_variables!$H$278+multiple_regression!$O$28*dummy_variables!$I$278</f>
        <v>542888.731548535</v>
      </c>
      <c r="G278" s="27" t="n">
        <f aca="false">E278-F278</f>
        <v>18708.5984514651</v>
      </c>
    </row>
    <row r="279" customFormat="false" ht="15" hidden="false" customHeight="true" outlineLevel="0" collapsed="false">
      <c r="A279" s="5" t="str">
        <f aca="false">cleaned_data!$A$279</f>
        <v>STR-1069</v>
      </c>
      <c r="B279" s="26" t="str">
        <f aca="false">cleaned_data!$B$279</f>
        <v>2025-03-01</v>
      </c>
      <c r="C279" s="5" t="str">
        <f aca="false">cleaned_data!$C$279</f>
        <v>West</v>
      </c>
      <c r="D279" s="5" t="str">
        <f aca="false">cleaned_data!$D$279</f>
        <v>High Street</v>
      </c>
      <c r="E279" s="27" t="n">
        <f aca="false">cleaned_data!$M$279</f>
        <v>635837.74</v>
      </c>
      <c r="F279" s="27" t="n">
        <f aca="false">multiple_regression!$O$18+multiple_regression!$O$19*cleaned_data!$F$279+multiple_regression!$O$20*cleaned_data!$E$279+multiple_regression!$O$21*cleaned_data!$I$279+multiple_regression!$O$22*cleaned_data!$H$279+multiple_regression!$O$23*dummy_variables!$D$279+multiple_regression!$O$24*dummy_variables!$E$279+multiple_regression!$O$25*dummy_variables!$F$279+multiple_regression!$O$26*dummy_variables!$G$279+multiple_regression!$O$27*dummy_variables!$H$279+multiple_regression!$O$28*dummy_variables!$I$279</f>
        <v>662047.363441237</v>
      </c>
      <c r="G279" s="27" t="n">
        <f aca="false">E279-F279</f>
        <v>-26209.6234412369</v>
      </c>
    </row>
    <row r="280" customFormat="false" ht="15" hidden="false" customHeight="true" outlineLevel="0" collapsed="false">
      <c r="A280" s="5" t="str">
        <f aca="false">cleaned_data!$A$280</f>
        <v>STR-1069</v>
      </c>
      <c r="B280" s="26" t="str">
        <f aca="false">cleaned_data!$B$280</f>
        <v>2025-04-01</v>
      </c>
      <c r="C280" s="5" t="str">
        <f aca="false">cleaned_data!$C$280</f>
        <v>West</v>
      </c>
      <c r="D280" s="5" t="str">
        <f aca="false">cleaned_data!$D$280</f>
        <v>High Street</v>
      </c>
      <c r="E280" s="27" t="n">
        <f aca="false">cleaned_data!$M$280</f>
        <v>686737.87</v>
      </c>
      <c r="F280" s="27" t="n">
        <f aca="false">multiple_regression!$O$18+multiple_regression!$O$19*cleaned_data!$F$280+multiple_regression!$O$20*cleaned_data!$E$280+multiple_regression!$O$21*cleaned_data!$I$280+multiple_regression!$O$22*cleaned_data!$H$280+multiple_regression!$O$23*dummy_variables!$D$280+multiple_regression!$O$24*dummy_variables!$E$280+multiple_regression!$O$25*dummy_variables!$F$280+multiple_regression!$O$26*dummy_variables!$G$280+multiple_regression!$O$27*dummy_variables!$H$280+multiple_regression!$O$28*dummy_variables!$I$280</f>
        <v>620855.006836659</v>
      </c>
      <c r="G280" s="27" t="n">
        <f aca="false">E280-F280</f>
        <v>65882.8631633412</v>
      </c>
    </row>
    <row r="281" customFormat="false" ht="15" hidden="false" customHeight="true" outlineLevel="0" collapsed="false">
      <c r="A281" s="5" t="str">
        <f aca="false">cleaned_data!$A$281</f>
        <v>STR-1070</v>
      </c>
      <c r="B281" s="26" t="str">
        <f aca="false">cleaned_data!$B$281</f>
        <v>2025-01-01</v>
      </c>
      <c r="C281" s="5" t="str">
        <f aca="false">cleaned_data!$C$281</f>
        <v>South</v>
      </c>
      <c r="D281" s="5" t="str">
        <f aca="false">cleaned_data!$D$281</f>
        <v>Residential</v>
      </c>
      <c r="E281" s="27" t="n">
        <f aca="false">cleaned_data!$M$281</f>
        <v>673076.34</v>
      </c>
      <c r="F281" s="27" t="n">
        <f aca="false">multiple_regression!$O$18+multiple_regression!$O$19*cleaned_data!$F$281+multiple_regression!$O$20*cleaned_data!$E$281+multiple_regression!$O$21*cleaned_data!$I$281+multiple_regression!$O$22*cleaned_data!$H$281+multiple_regression!$O$23*dummy_variables!$D$281+multiple_regression!$O$24*dummy_variables!$E$281+multiple_regression!$O$25*dummy_variables!$F$281+multiple_regression!$O$26*dummy_variables!$G$281+multiple_regression!$O$27*dummy_variables!$H$281+multiple_regression!$O$28*dummy_variables!$I$281</f>
        <v>736669.524749398</v>
      </c>
      <c r="G281" s="27" t="n">
        <f aca="false">E281-F281</f>
        <v>-63593.1847493977</v>
      </c>
    </row>
    <row r="282" customFormat="false" ht="15" hidden="false" customHeight="true" outlineLevel="0" collapsed="false">
      <c r="A282" s="5" t="str">
        <f aca="false">cleaned_data!$A$282</f>
        <v>STR-1070</v>
      </c>
      <c r="B282" s="26" t="str">
        <f aca="false">cleaned_data!$B$282</f>
        <v>2025-02-01</v>
      </c>
      <c r="C282" s="5" t="str">
        <f aca="false">cleaned_data!$C$282</f>
        <v>South</v>
      </c>
      <c r="D282" s="5" t="str">
        <f aca="false">cleaned_data!$D$282</f>
        <v>Residential</v>
      </c>
      <c r="E282" s="27" t="n">
        <f aca="false">cleaned_data!$M$282</f>
        <v>738548.42</v>
      </c>
      <c r="F282" s="27" t="n">
        <f aca="false">multiple_regression!$O$18+multiple_regression!$O$19*cleaned_data!$F$282+multiple_regression!$O$20*cleaned_data!$E$282+multiple_regression!$O$21*cleaned_data!$I$282+multiple_regression!$O$22*cleaned_data!$H$282+multiple_regression!$O$23*dummy_variables!$D$282+multiple_regression!$O$24*dummy_variables!$E$282+multiple_regression!$O$25*dummy_variables!$F$282+multiple_regression!$O$26*dummy_variables!$G$282+multiple_regression!$O$27*dummy_variables!$H$282+multiple_regression!$O$28*dummy_variables!$I$282</f>
        <v>700640.153358979</v>
      </c>
      <c r="G282" s="27" t="n">
        <f aca="false">E282-F282</f>
        <v>37908.2666410215</v>
      </c>
    </row>
    <row r="283" customFormat="false" ht="15" hidden="false" customHeight="true" outlineLevel="0" collapsed="false">
      <c r="A283" s="5" t="str">
        <f aca="false">cleaned_data!$A$283</f>
        <v>STR-1070</v>
      </c>
      <c r="B283" s="26" t="str">
        <f aca="false">cleaned_data!$B$283</f>
        <v>2025-03-01</v>
      </c>
      <c r="C283" s="5" t="str">
        <f aca="false">cleaned_data!$C$283</f>
        <v>South</v>
      </c>
      <c r="D283" s="5" t="str">
        <f aca="false">cleaned_data!$D$283</f>
        <v>Residential</v>
      </c>
      <c r="E283" s="27" t="n">
        <f aca="false">cleaned_data!$M$283</f>
        <v>756619.77</v>
      </c>
      <c r="F283" s="27" t="n">
        <f aca="false">multiple_regression!$O$18+multiple_regression!$O$19*cleaned_data!$F$283+multiple_regression!$O$20*cleaned_data!$E$283+multiple_regression!$O$21*cleaned_data!$I$283+multiple_regression!$O$22*cleaned_data!$H$283+multiple_regression!$O$23*dummy_variables!$D$283+multiple_regression!$O$24*dummy_variables!$E$283+multiple_regression!$O$25*dummy_variables!$F$283+multiple_regression!$O$26*dummy_variables!$G$283+multiple_regression!$O$27*dummy_variables!$H$283+multiple_regression!$O$28*dummy_variables!$I$283</f>
        <v>743205.030710217</v>
      </c>
      <c r="G283" s="27" t="n">
        <f aca="false">E283-F283</f>
        <v>13414.7392897833</v>
      </c>
    </row>
    <row r="284" customFormat="false" ht="15" hidden="false" customHeight="true" outlineLevel="0" collapsed="false">
      <c r="A284" s="5" t="str">
        <f aca="false">cleaned_data!$A$284</f>
        <v>STR-1070</v>
      </c>
      <c r="B284" s="26" t="str">
        <f aca="false">cleaned_data!$B$284</f>
        <v>2025-04-01</v>
      </c>
      <c r="C284" s="5" t="str">
        <f aca="false">cleaned_data!$C$284</f>
        <v>South</v>
      </c>
      <c r="D284" s="5" t="str">
        <f aca="false">cleaned_data!$D$284</f>
        <v>Residential</v>
      </c>
      <c r="E284" s="27" t="n">
        <f aca="false">cleaned_data!$M$284</f>
        <v>761122.42</v>
      </c>
      <c r="F284" s="27" t="n">
        <f aca="false">multiple_regression!$O$18+multiple_regression!$O$19*cleaned_data!$F$284+multiple_regression!$O$20*cleaned_data!$E$284+multiple_regression!$O$21*cleaned_data!$I$284+multiple_regression!$O$22*cleaned_data!$H$284+multiple_regression!$O$23*dummy_variables!$D$284+multiple_regression!$O$24*dummy_variables!$E$284+multiple_regression!$O$25*dummy_variables!$F$284+multiple_regression!$O$26*dummy_variables!$G$284+multiple_regression!$O$27*dummy_variables!$H$284+multiple_regression!$O$28*dummy_variables!$I$284</f>
        <v>777898.704484819</v>
      </c>
      <c r="G284" s="27" t="n">
        <f aca="false">E284-F284</f>
        <v>-16776.2844848189</v>
      </c>
    </row>
    <row r="285" customFormat="false" ht="15" hidden="false" customHeight="true" outlineLevel="0" collapsed="false">
      <c r="A285" s="5" t="str">
        <f aca="false">cleaned_data!$A$285</f>
        <v>STR-1071</v>
      </c>
      <c r="B285" s="26" t="str">
        <f aca="false">cleaned_data!$B$285</f>
        <v>2025-01-01</v>
      </c>
      <c r="C285" s="5" t="str">
        <f aca="false">cleaned_data!$C$285</f>
        <v>South</v>
      </c>
      <c r="D285" s="5" t="str">
        <f aca="false">cleaned_data!$D$285</f>
        <v>High Street</v>
      </c>
      <c r="E285" s="27" t="n">
        <f aca="false">cleaned_data!$M$285</f>
        <v>524899.57</v>
      </c>
      <c r="F285" s="27" t="n">
        <f aca="false">multiple_regression!$O$18+multiple_regression!$O$19*cleaned_data!$F$285+multiple_regression!$O$20*cleaned_data!$E$285+multiple_regression!$O$21*cleaned_data!$I$285+multiple_regression!$O$22*cleaned_data!$H$285+multiple_regression!$O$23*dummy_variables!$D$285+multiple_regression!$O$24*dummy_variables!$E$285+multiple_regression!$O$25*dummy_variables!$F$285+multiple_regression!$O$26*dummy_variables!$G$285+multiple_regression!$O$27*dummy_variables!$H$285+multiple_regression!$O$28*dummy_variables!$I$285</f>
        <v>571787.56301006</v>
      </c>
      <c r="G285" s="27" t="n">
        <f aca="false">E285-F285</f>
        <v>-46887.9930100597</v>
      </c>
    </row>
    <row r="286" customFormat="false" ht="15" hidden="false" customHeight="true" outlineLevel="0" collapsed="false">
      <c r="A286" s="5" t="str">
        <f aca="false">cleaned_data!$A$286</f>
        <v>STR-1071</v>
      </c>
      <c r="B286" s="26" t="str">
        <f aca="false">cleaned_data!$B$286</f>
        <v>2025-02-01</v>
      </c>
      <c r="C286" s="5" t="str">
        <f aca="false">cleaned_data!$C$286</f>
        <v>South</v>
      </c>
      <c r="D286" s="5" t="str">
        <f aca="false">cleaned_data!$D$286</f>
        <v>High Street</v>
      </c>
      <c r="E286" s="27" t="n">
        <f aca="false">cleaned_data!$M$286</f>
        <v>555557.77</v>
      </c>
      <c r="F286" s="27" t="n">
        <f aca="false">multiple_regression!$O$18+multiple_regression!$O$19*cleaned_data!$F$286+multiple_regression!$O$20*cleaned_data!$E$286+multiple_regression!$O$21*cleaned_data!$I$286+multiple_regression!$O$22*cleaned_data!$H$286+multiple_regression!$O$23*dummy_variables!$D$286+multiple_regression!$O$24*dummy_variables!$E$286+multiple_regression!$O$25*dummy_variables!$F$286+multiple_regression!$O$26*dummy_variables!$G$286+multiple_regression!$O$27*dummy_variables!$H$286+multiple_regression!$O$28*dummy_variables!$I$286</f>
        <v>596948.11284223</v>
      </c>
      <c r="G286" s="27" t="n">
        <f aca="false">E286-F286</f>
        <v>-41390.3428422299</v>
      </c>
    </row>
    <row r="287" customFormat="false" ht="15" hidden="false" customHeight="true" outlineLevel="0" collapsed="false">
      <c r="A287" s="5" t="str">
        <f aca="false">cleaned_data!$A$287</f>
        <v>STR-1071</v>
      </c>
      <c r="B287" s="26" t="str">
        <f aca="false">cleaned_data!$B$287</f>
        <v>2025-03-01</v>
      </c>
      <c r="C287" s="5" t="str">
        <f aca="false">cleaned_data!$C$287</f>
        <v>South</v>
      </c>
      <c r="D287" s="5" t="str">
        <f aca="false">cleaned_data!$D$287</f>
        <v>High Street</v>
      </c>
      <c r="E287" s="27" t="n">
        <f aca="false">cleaned_data!$M$287</f>
        <v>714083.68</v>
      </c>
      <c r="F287" s="27" t="n">
        <f aca="false">multiple_regression!$O$18+multiple_regression!$O$19*cleaned_data!$F$287+multiple_regression!$O$20*cleaned_data!$E$287+multiple_regression!$O$21*cleaned_data!$I$287+multiple_regression!$O$22*cleaned_data!$H$287+multiple_regression!$O$23*dummy_variables!$D$287+multiple_regression!$O$24*dummy_variables!$E$287+multiple_regression!$O$25*dummy_variables!$F$287+multiple_regression!$O$26*dummy_variables!$G$287+multiple_regression!$O$27*dummy_variables!$H$287+multiple_regression!$O$28*dummy_variables!$I$287</f>
        <v>703100.795072556</v>
      </c>
      <c r="G287" s="27" t="n">
        <f aca="false">E287-F287</f>
        <v>10982.884927444</v>
      </c>
    </row>
    <row r="288" customFormat="false" ht="15" hidden="false" customHeight="true" outlineLevel="0" collapsed="false">
      <c r="A288" s="5" t="str">
        <f aca="false">cleaned_data!$A$288</f>
        <v>STR-1071</v>
      </c>
      <c r="B288" s="26" t="str">
        <f aca="false">cleaned_data!$B$288</f>
        <v>2025-04-01</v>
      </c>
      <c r="C288" s="5" t="str">
        <f aca="false">cleaned_data!$C$288</f>
        <v>South</v>
      </c>
      <c r="D288" s="5" t="str">
        <f aca="false">cleaned_data!$D$288</f>
        <v>High Street</v>
      </c>
      <c r="E288" s="27" t="n">
        <f aca="false">cleaned_data!$M$288</f>
        <v>497439.82</v>
      </c>
      <c r="F288" s="27" t="n">
        <f aca="false">multiple_regression!$O$18+multiple_regression!$O$19*cleaned_data!$F$288+multiple_regression!$O$20*cleaned_data!$E$288+multiple_regression!$O$21*cleaned_data!$I$288+multiple_regression!$O$22*cleaned_data!$H$288+multiple_regression!$O$23*dummy_variables!$D$288+multiple_regression!$O$24*dummy_variables!$E$288+multiple_regression!$O$25*dummy_variables!$F$288+multiple_regression!$O$26*dummy_variables!$G$288+multiple_regression!$O$27*dummy_variables!$H$288+multiple_regression!$O$28*dummy_variables!$I$288</f>
        <v>507497.961929234</v>
      </c>
      <c r="G288" s="27" t="n">
        <f aca="false">E288-F288</f>
        <v>-10058.1419292338</v>
      </c>
    </row>
    <row r="289" customFormat="false" ht="15" hidden="false" customHeight="true" outlineLevel="0" collapsed="false">
      <c r="A289" s="5" t="str">
        <f aca="false">cleaned_data!$A$289</f>
        <v>STR-1072</v>
      </c>
      <c r="B289" s="26" t="str">
        <f aca="false">cleaned_data!$B$289</f>
        <v>2025-01-01</v>
      </c>
      <c r="C289" s="5" t="str">
        <f aca="false">cleaned_data!$C$289</f>
        <v>West</v>
      </c>
      <c r="D289" s="5" t="str">
        <f aca="false">cleaned_data!$D$289</f>
        <v>Residential</v>
      </c>
      <c r="E289" s="27" t="n">
        <f aca="false">cleaned_data!$M$289</f>
        <v>636775.66</v>
      </c>
      <c r="F289" s="27" t="n">
        <f aca="false">multiple_regression!$O$18+multiple_regression!$O$19*cleaned_data!$F$289+multiple_regression!$O$20*cleaned_data!$E$289+multiple_regression!$O$21*cleaned_data!$I$289+multiple_regression!$O$22*cleaned_data!$H$289+multiple_regression!$O$23*dummy_variables!$D$289+multiple_regression!$O$24*dummy_variables!$E$289+multiple_regression!$O$25*dummy_variables!$F$289+multiple_regression!$O$26*dummy_variables!$G$289+multiple_regression!$O$27*dummy_variables!$H$289+multiple_regression!$O$28*dummy_variables!$I$289</f>
        <v>631771.993061623</v>
      </c>
      <c r="G289" s="27" t="n">
        <f aca="false">E289-F289</f>
        <v>5003.66693837673</v>
      </c>
    </row>
    <row r="290" customFormat="false" ht="15" hidden="false" customHeight="true" outlineLevel="0" collapsed="false">
      <c r="A290" s="5" t="str">
        <f aca="false">cleaned_data!$A$290</f>
        <v>STR-1072</v>
      </c>
      <c r="B290" s="26" t="str">
        <f aca="false">cleaned_data!$B$290</f>
        <v>2025-02-01</v>
      </c>
      <c r="C290" s="5" t="str">
        <f aca="false">cleaned_data!$C$290</f>
        <v>West</v>
      </c>
      <c r="D290" s="5" t="str">
        <f aca="false">cleaned_data!$D$290</f>
        <v>Residential</v>
      </c>
      <c r="E290" s="27" t="n">
        <f aca="false">cleaned_data!$M$290</f>
        <v>633009.53</v>
      </c>
      <c r="F290" s="27" t="n">
        <f aca="false">multiple_regression!$O$18+multiple_regression!$O$19*cleaned_data!$F$290+multiple_regression!$O$20*cleaned_data!$E$290+multiple_regression!$O$21*cleaned_data!$I$290+multiple_regression!$O$22*cleaned_data!$H$290+multiple_regression!$O$23*dummy_variables!$D$290+multiple_regression!$O$24*dummy_variables!$E$290+multiple_regression!$O$25*dummy_variables!$F$290+multiple_regression!$O$26*dummy_variables!$G$290+multiple_regression!$O$27*dummy_variables!$H$290+multiple_regression!$O$28*dummy_variables!$I$290</f>
        <v>621571.493000215</v>
      </c>
      <c r="G290" s="27" t="n">
        <f aca="false">E290-F290</f>
        <v>11438.0369997848</v>
      </c>
    </row>
    <row r="291" customFormat="false" ht="15" hidden="false" customHeight="true" outlineLevel="0" collapsed="false">
      <c r="A291" s="5" t="str">
        <f aca="false">cleaned_data!$A$291</f>
        <v>STR-1072</v>
      </c>
      <c r="B291" s="26" t="str">
        <f aca="false">cleaned_data!$B$291</f>
        <v>2025-03-01</v>
      </c>
      <c r="C291" s="5" t="str">
        <f aca="false">cleaned_data!$C$291</f>
        <v>West</v>
      </c>
      <c r="D291" s="5" t="str">
        <f aca="false">cleaned_data!$D$291</f>
        <v>Residential</v>
      </c>
      <c r="E291" s="27" t="n">
        <f aca="false">cleaned_data!$M$291</f>
        <v>609949</v>
      </c>
      <c r="F291" s="27" t="n">
        <f aca="false">multiple_regression!$O$18+multiple_regression!$O$19*cleaned_data!$F$291+multiple_regression!$O$20*cleaned_data!$E$291+multiple_regression!$O$21*cleaned_data!$I$291+multiple_regression!$O$22*cleaned_data!$H$291+multiple_regression!$O$23*dummy_variables!$D$291+multiple_regression!$O$24*dummy_variables!$E$291+multiple_regression!$O$25*dummy_variables!$F$291+multiple_regression!$O$26*dummy_variables!$G$291+multiple_regression!$O$27*dummy_variables!$H$291+multiple_regression!$O$28*dummy_variables!$I$291</f>
        <v>597302.886120257</v>
      </c>
      <c r="G291" s="27" t="n">
        <f aca="false">E291-F291</f>
        <v>12646.1138797434</v>
      </c>
    </row>
    <row r="292" customFormat="false" ht="15" hidden="false" customHeight="true" outlineLevel="0" collapsed="false">
      <c r="A292" s="5" t="str">
        <f aca="false">cleaned_data!$A$292</f>
        <v>STR-1072</v>
      </c>
      <c r="B292" s="26" t="str">
        <f aca="false">cleaned_data!$B$292</f>
        <v>2025-04-01</v>
      </c>
      <c r="C292" s="5" t="str">
        <f aca="false">cleaned_data!$C$292</f>
        <v>West</v>
      </c>
      <c r="D292" s="5" t="str">
        <f aca="false">cleaned_data!$D$292</f>
        <v>Residential</v>
      </c>
      <c r="E292" s="27" t="n">
        <f aca="false">cleaned_data!$M$292</f>
        <v>548103.7</v>
      </c>
      <c r="F292" s="27" t="n">
        <f aca="false">multiple_regression!$O$18+multiple_regression!$O$19*cleaned_data!$F$292+multiple_regression!$O$20*cleaned_data!$E$292+multiple_regression!$O$21*cleaned_data!$I$292+multiple_regression!$O$22*cleaned_data!$H$292+multiple_regression!$O$23*dummy_variables!$D$292+multiple_regression!$O$24*dummy_variables!$E$292+multiple_regression!$O$25*dummy_variables!$F$292+multiple_regression!$O$26*dummy_variables!$G$292+multiple_regression!$O$27*dummy_variables!$H$292+multiple_regression!$O$28*dummy_variables!$I$292</f>
        <v>555140.589793216</v>
      </c>
      <c r="G292" s="27" t="n">
        <f aca="false">E292-F292</f>
        <v>-7036.88979321613</v>
      </c>
    </row>
    <row r="293" customFormat="false" ht="15" hidden="false" customHeight="true" outlineLevel="0" collapsed="false">
      <c r="A293" s="5" t="str">
        <f aca="false">cleaned_data!$A$293</f>
        <v>STR-1073</v>
      </c>
      <c r="B293" s="26" t="str">
        <f aca="false">cleaned_data!$B$293</f>
        <v>2025-01-01</v>
      </c>
      <c r="C293" s="5" t="str">
        <f aca="false">cleaned_data!$C$293</f>
        <v>East</v>
      </c>
      <c r="D293" s="5" t="str">
        <f aca="false">cleaned_data!$D$293</f>
        <v>Residential</v>
      </c>
      <c r="E293" s="27" t="n">
        <f aca="false">cleaned_data!$M$293</f>
        <v>729424.42</v>
      </c>
      <c r="F293" s="27" t="n">
        <f aca="false">multiple_regression!$O$18+multiple_regression!$O$19*cleaned_data!$F$293+multiple_regression!$O$20*cleaned_data!$E$293+multiple_regression!$O$21*cleaned_data!$I$293+multiple_regression!$O$22*cleaned_data!$H$293+multiple_regression!$O$23*dummy_variables!$D$293+multiple_regression!$O$24*dummy_variables!$E$293+multiple_regression!$O$25*dummy_variables!$F$293+multiple_regression!$O$26*dummy_variables!$G$293+multiple_regression!$O$27*dummy_variables!$H$293+multiple_regression!$O$28*dummy_variables!$I$293</f>
        <v>696313.808418825</v>
      </c>
      <c r="G293" s="27" t="n">
        <f aca="false">E293-F293</f>
        <v>33110.6115811756</v>
      </c>
    </row>
    <row r="294" customFormat="false" ht="15" hidden="false" customHeight="true" outlineLevel="0" collapsed="false">
      <c r="A294" s="5" t="str">
        <f aca="false">cleaned_data!$A$294</f>
        <v>STR-1073</v>
      </c>
      <c r="B294" s="26" t="str">
        <f aca="false">cleaned_data!$B$294</f>
        <v>2025-02-01</v>
      </c>
      <c r="C294" s="5" t="str">
        <f aca="false">cleaned_data!$C$294</f>
        <v>East</v>
      </c>
      <c r="D294" s="5" t="str">
        <f aca="false">cleaned_data!$D$294</f>
        <v>Residential</v>
      </c>
      <c r="E294" s="27" t="n">
        <f aca="false">cleaned_data!$M$294</f>
        <v>696261.49</v>
      </c>
      <c r="F294" s="27" t="n">
        <f aca="false">multiple_regression!$O$18+multiple_regression!$O$19*cleaned_data!$F$294+multiple_regression!$O$20*cleaned_data!$E$294+multiple_regression!$O$21*cleaned_data!$I$294+multiple_regression!$O$22*cleaned_data!$H$294+multiple_regression!$O$23*dummy_variables!$D$294+multiple_regression!$O$24*dummy_variables!$E$294+multiple_regression!$O$25*dummy_variables!$F$294+multiple_regression!$O$26*dummy_variables!$G$294+multiple_regression!$O$27*dummy_variables!$H$294+multiple_regression!$O$28*dummy_variables!$I$294</f>
        <v>720690.19931065</v>
      </c>
      <c r="G294" s="27" t="n">
        <f aca="false">E294-F294</f>
        <v>-24428.7093106504</v>
      </c>
    </row>
    <row r="295" customFormat="false" ht="15" hidden="false" customHeight="true" outlineLevel="0" collapsed="false">
      <c r="A295" s="5" t="str">
        <f aca="false">cleaned_data!$A$295</f>
        <v>STR-1073</v>
      </c>
      <c r="B295" s="26" t="str">
        <f aca="false">cleaned_data!$B$295</f>
        <v>2025-03-01</v>
      </c>
      <c r="C295" s="5" t="str">
        <f aca="false">cleaned_data!$C$295</f>
        <v>East</v>
      </c>
      <c r="D295" s="5" t="str">
        <f aca="false">cleaned_data!$D$295</f>
        <v>Residential</v>
      </c>
      <c r="E295" s="27" t="n">
        <f aca="false">cleaned_data!$M$295</f>
        <v>813316.71</v>
      </c>
      <c r="F295" s="27" t="n">
        <f aca="false">multiple_regression!$O$18+multiple_regression!$O$19*cleaned_data!$F$295+multiple_regression!$O$20*cleaned_data!$E$295+multiple_regression!$O$21*cleaned_data!$I$295+multiple_regression!$O$22*cleaned_data!$H$295+multiple_regression!$O$23*dummy_variables!$D$295+multiple_regression!$O$24*dummy_variables!$E$295+multiple_regression!$O$25*dummy_variables!$F$295+multiple_regression!$O$26*dummy_variables!$G$295+multiple_regression!$O$27*dummy_variables!$H$295+multiple_regression!$O$28*dummy_variables!$I$295</f>
        <v>700782.648258939</v>
      </c>
      <c r="G295" s="27" t="n">
        <f aca="false">E295-F295</f>
        <v>112534.061741062</v>
      </c>
    </row>
    <row r="296" customFormat="false" ht="15" hidden="false" customHeight="true" outlineLevel="0" collapsed="false">
      <c r="A296" s="5" t="str">
        <f aca="false">cleaned_data!$A$296</f>
        <v>STR-1073</v>
      </c>
      <c r="B296" s="26" t="str">
        <f aca="false">cleaned_data!$B$296</f>
        <v>2025-04-01</v>
      </c>
      <c r="C296" s="5" t="str">
        <f aca="false">cleaned_data!$C$296</f>
        <v>East</v>
      </c>
      <c r="D296" s="5" t="str">
        <f aca="false">cleaned_data!$D$296</f>
        <v>Residential</v>
      </c>
      <c r="E296" s="27" t="n">
        <f aca="false">cleaned_data!$M$296</f>
        <v>702068.92</v>
      </c>
      <c r="F296" s="27" t="n">
        <f aca="false">multiple_regression!$O$18+multiple_regression!$O$19*cleaned_data!$F$296+multiple_regression!$O$20*cleaned_data!$E$296+multiple_regression!$O$21*cleaned_data!$I$296+multiple_regression!$O$22*cleaned_data!$H$296+multiple_regression!$O$23*dummy_variables!$D$296+multiple_regression!$O$24*dummy_variables!$E$296+multiple_regression!$O$25*dummy_variables!$F$296+multiple_regression!$O$26*dummy_variables!$G$296+multiple_regression!$O$27*dummy_variables!$H$296+multiple_regression!$O$28*dummy_variables!$I$296</f>
        <v>687283.07880946</v>
      </c>
      <c r="G296" s="27" t="n">
        <f aca="false">E296-F296</f>
        <v>14785.8411905405</v>
      </c>
    </row>
    <row r="297" customFormat="false" ht="15" hidden="false" customHeight="true" outlineLevel="0" collapsed="false">
      <c r="A297" s="5" t="str">
        <f aca="false">cleaned_data!$A$297</f>
        <v>STR-1074</v>
      </c>
      <c r="B297" s="26" t="str">
        <f aca="false">cleaned_data!$B$297</f>
        <v>2025-01-01</v>
      </c>
      <c r="C297" s="5" t="str">
        <f aca="false">cleaned_data!$C$297</f>
        <v>West</v>
      </c>
      <c r="D297" s="5" t="str">
        <f aca="false">cleaned_data!$D$297</f>
        <v>High Street</v>
      </c>
      <c r="E297" s="27" t="n">
        <f aca="false">cleaned_data!$M$297</f>
        <v>546223.7</v>
      </c>
      <c r="F297" s="27" t="n">
        <f aca="false">multiple_regression!$O$18+multiple_regression!$O$19*cleaned_data!$F$297+multiple_regression!$O$20*cleaned_data!$E$297+multiple_regression!$O$21*cleaned_data!$I$297+multiple_regression!$O$22*cleaned_data!$H$297+multiple_regression!$O$23*dummy_variables!$D$297+multiple_regression!$O$24*dummy_variables!$E$297+multiple_regression!$O$25*dummy_variables!$F$297+multiple_regression!$O$26*dummy_variables!$G$297+multiple_regression!$O$27*dummy_variables!$H$297+multiple_regression!$O$28*dummy_variables!$I$297</f>
        <v>576998.434540188</v>
      </c>
      <c r="G297" s="27" t="n">
        <f aca="false">E297-F297</f>
        <v>-30774.7345401875</v>
      </c>
    </row>
    <row r="298" customFormat="false" ht="15" hidden="false" customHeight="true" outlineLevel="0" collapsed="false">
      <c r="A298" s="5" t="str">
        <f aca="false">cleaned_data!$A$298</f>
        <v>STR-1074</v>
      </c>
      <c r="B298" s="26" t="str">
        <f aca="false">cleaned_data!$B$298</f>
        <v>2025-02-01</v>
      </c>
      <c r="C298" s="5" t="str">
        <f aca="false">cleaned_data!$C$298</f>
        <v>West</v>
      </c>
      <c r="D298" s="5" t="str">
        <f aca="false">cleaned_data!$D$298</f>
        <v>High Street</v>
      </c>
      <c r="E298" s="27" t="n">
        <f aca="false">cleaned_data!$M$298</f>
        <v>533121.26</v>
      </c>
      <c r="F298" s="27" t="n">
        <f aca="false">multiple_regression!$O$18+multiple_regression!$O$19*cleaned_data!$F$298+multiple_regression!$O$20*cleaned_data!$E$298+multiple_regression!$O$21*cleaned_data!$I$298+multiple_regression!$O$22*cleaned_data!$H$298+multiple_regression!$O$23*dummy_variables!$D$298+multiple_regression!$O$24*dummy_variables!$E$298+multiple_regression!$O$25*dummy_variables!$F$298+multiple_regression!$O$26*dummy_variables!$G$298+multiple_regression!$O$27*dummy_variables!$H$298+multiple_regression!$O$28*dummy_variables!$I$298</f>
        <v>529285.478507949</v>
      </c>
      <c r="G298" s="27" t="n">
        <f aca="false">E298-F298</f>
        <v>3835.78149205097</v>
      </c>
    </row>
    <row r="299" customFormat="false" ht="15" hidden="false" customHeight="true" outlineLevel="0" collapsed="false">
      <c r="A299" s="5" t="str">
        <f aca="false">cleaned_data!$A$299</f>
        <v>STR-1074</v>
      </c>
      <c r="B299" s="26" t="str">
        <f aca="false">cleaned_data!$B$299</f>
        <v>2025-03-01</v>
      </c>
      <c r="C299" s="5" t="str">
        <f aca="false">cleaned_data!$C$299</f>
        <v>West</v>
      </c>
      <c r="D299" s="5" t="str">
        <f aca="false">cleaned_data!$D$299</f>
        <v>High Street</v>
      </c>
      <c r="E299" s="27" t="n">
        <f aca="false">cleaned_data!$M$299</f>
        <v>498970.32</v>
      </c>
      <c r="F299" s="27" t="n">
        <f aca="false">multiple_regression!$O$18+multiple_regression!$O$19*cleaned_data!$F$299+multiple_regression!$O$20*cleaned_data!$E$299+multiple_regression!$O$21*cleaned_data!$I$299+multiple_regression!$O$22*cleaned_data!$H$299+multiple_regression!$O$23*dummy_variables!$D$299+multiple_regression!$O$24*dummy_variables!$E$299+multiple_regression!$O$25*dummy_variables!$F$299+multiple_regression!$O$26*dummy_variables!$G$299+multiple_regression!$O$27*dummy_variables!$H$299+multiple_regression!$O$28*dummy_variables!$I$299</f>
        <v>511019.474160632</v>
      </c>
      <c r="G299" s="27" t="n">
        <f aca="false">E299-F299</f>
        <v>-12049.1541606316</v>
      </c>
    </row>
    <row r="300" customFormat="false" ht="15" hidden="false" customHeight="true" outlineLevel="0" collapsed="false">
      <c r="A300" s="5" t="str">
        <f aca="false">cleaned_data!$A$300</f>
        <v>STR-1074</v>
      </c>
      <c r="B300" s="26" t="str">
        <f aca="false">cleaned_data!$B$300</f>
        <v>2025-04-01</v>
      </c>
      <c r="C300" s="5" t="str">
        <f aca="false">cleaned_data!$C$300</f>
        <v>West</v>
      </c>
      <c r="D300" s="5" t="str">
        <f aca="false">cleaned_data!$D$300</f>
        <v>High Street</v>
      </c>
      <c r="E300" s="27" t="n">
        <f aca="false">cleaned_data!$M$300</f>
        <v>487738.26</v>
      </c>
      <c r="F300" s="27" t="n">
        <f aca="false">multiple_regression!$O$18+multiple_regression!$O$19*cleaned_data!$F$300+multiple_regression!$O$20*cleaned_data!$E$300+multiple_regression!$O$21*cleaned_data!$I$300+multiple_regression!$O$22*cleaned_data!$H$300+multiple_regression!$O$23*dummy_variables!$D$300+multiple_regression!$O$24*dummy_variables!$E$300+multiple_regression!$O$25*dummy_variables!$F$300+multiple_regression!$O$26*dummy_variables!$G$300+multiple_regression!$O$27*dummy_variables!$H$300+multiple_regression!$O$28*dummy_variables!$I$300</f>
        <v>472942.986687953</v>
      </c>
      <c r="G300" s="27" t="n">
        <f aca="false">E300-F300</f>
        <v>14795.2733120467</v>
      </c>
    </row>
    <row r="301" customFormat="false" ht="15" hidden="false" customHeight="true" outlineLevel="0" collapsed="false">
      <c r="A301" s="5" t="str">
        <f aca="false">cleaned_data!$A$301</f>
        <v>STR-1075</v>
      </c>
      <c r="B301" s="26" t="str">
        <f aca="false">cleaned_data!$B$301</f>
        <v>2025-01-01</v>
      </c>
      <c r="C301" s="5" t="str">
        <f aca="false">cleaned_data!$C$301</f>
        <v>West</v>
      </c>
      <c r="D301" s="5" t="str">
        <f aca="false">cleaned_data!$D$301</f>
        <v>High Street</v>
      </c>
      <c r="E301" s="27" t="n">
        <f aca="false">cleaned_data!$M$301</f>
        <v>668459.37</v>
      </c>
      <c r="F301" s="27" t="n">
        <f aca="false">multiple_regression!$O$18+multiple_regression!$O$19*cleaned_data!$F$301+multiple_regression!$O$20*cleaned_data!$E$301+multiple_regression!$O$21*cleaned_data!$I$301+multiple_regression!$O$22*cleaned_data!$H$301+multiple_regression!$O$23*dummy_variables!$D$301+multiple_regression!$O$24*dummy_variables!$E$301+multiple_regression!$O$25*dummy_variables!$F$301+multiple_regression!$O$26*dummy_variables!$G$301+multiple_regression!$O$27*dummy_variables!$H$301+multiple_regression!$O$28*dummy_variables!$I$301</f>
        <v>671056.127710187</v>
      </c>
      <c r="G301" s="27" t="n">
        <f aca="false">E301-F301</f>
        <v>-2596.75771018676</v>
      </c>
    </row>
    <row r="302" customFormat="false" ht="15" hidden="false" customHeight="true" outlineLevel="0" collapsed="false">
      <c r="A302" s="5" t="str">
        <f aca="false">cleaned_data!$A$302</f>
        <v>STR-1075</v>
      </c>
      <c r="B302" s="26" t="str">
        <f aca="false">cleaned_data!$B$302</f>
        <v>2025-02-01</v>
      </c>
      <c r="C302" s="5" t="str">
        <f aca="false">cleaned_data!$C$302</f>
        <v>West</v>
      </c>
      <c r="D302" s="5" t="str">
        <f aca="false">cleaned_data!$D$302</f>
        <v>High Street</v>
      </c>
      <c r="E302" s="27" t="n">
        <f aca="false">cleaned_data!$M$302</f>
        <v>763162.45</v>
      </c>
      <c r="F302" s="27" t="n">
        <f aca="false">multiple_regression!$O$18+multiple_regression!$O$19*cleaned_data!$F$302+multiple_regression!$O$20*cleaned_data!$E$302+multiple_regression!$O$21*cleaned_data!$I$302+multiple_regression!$O$22*cleaned_data!$H$302+multiple_regression!$O$23*dummy_variables!$D$302+multiple_regression!$O$24*dummy_variables!$E$302+multiple_regression!$O$25*dummy_variables!$F$302+multiple_regression!$O$26*dummy_variables!$G$302+multiple_regression!$O$27*dummy_variables!$H$302+multiple_regression!$O$28*dummy_variables!$I$302</f>
        <v>686006.11758008</v>
      </c>
      <c r="G302" s="27" t="n">
        <f aca="false">E302-F302</f>
        <v>77156.3324199197</v>
      </c>
    </row>
    <row r="303" customFormat="false" ht="15" hidden="false" customHeight="true" outlineLevel="0" collapsed="false">
      <c r="A303" s="5" t="str">
        <f aca="false">cleaned_data!$A$303</f>
        <v>STR-1075</v>
      </c>
      <c r="B303" s="26" t="str">
        <f aca="false">cleaned_data!$B$303</f>
        <v>2025-03-01</v>
      </c>
      <c r="C303" s="5" t="str">
        <f aca="false">cleaned_data!$C$303</f>
        <v>West</v>
      </c>
      <c r="D303" s="5" t="str">
        <f aca="false">cleaned_data!$D$303</f>
        <v>High Street</v>
      </c>
      <c r="E303" s="27" t="n">
        <f aca="false">cleaned_data!$M$303</f>
        <v>599017.33</v>
      </c>
      <c r="F303" s="27" t="n">
        <f aca="false">multiple_regression!$O$18+multiple_regression!$O$19*cleaned_data!$F$303+multiple_regression!$O$20*cleaned_data!$E$303+multiple_regression!$O$21*cleaned_data!$I$303+multiple_regression!$O$22*cleaned_data!$H$303+multiple_regression!$O$23*dummy_variables!$D$303+multiple_regression!$O$24*dummy_variables!$E$303+multiple_regression!$O$25*dummy_variables!$F$303+multiple_regression!$O$26*dummy_variables!$G$303+multiple_regression!$O$27*dummy_variables!$H$303+multiple_regression!$O$28*dummy_variables!$I$303</f>
        <v>624228.340875653</v>
      </c>
      <c r="G303" s="27" t="n">
        <f aca="false">E303-F303</f>
        <v>-25211.0108756525</v>
      </c>
    </row>
    <row r="304" customFormat="false" ht="15" hidden="false" customHeight="true" outlineLevel="0" collapsed="false">
      <c r="A304" s="5" t="str">
        <f aca="false">cleaned_data!$A$304</f>
        <v>STR-1075</v>
      </c>
      <c r="B304" s="26" t="str">
        <f aca="false">cleaned_data!$B$304</f>
        <v>2025-04-01</v>
      </c>
      <c r="C304" s="5" t="str">
        <f aca="false">cleaned_data!$C$304</f>
        <v>West</v>
      </c>
      <c r="D304" s="5" t="str">
        <f aca="false">cleaned_data!$D$304</f>
        <v>High Street</v>
      </c>
      <c r="E304" s="27" t="n">
        <f aca="false">cleaned_data!$M$304</f>
        <v>401582.58</v>
      </c>
      <c r="F304" s="27" t="n">
        <f aca="false">multiple_regression!$O$18+multiple_regression!$O$19*cleaned_data!$F$304+multiple_regression!$O$20*cleaned_data!$E$304+multiple_regression!$O$21*cleaned_data!$I$304+multiple_regression!$O$22*cleaned_data!$H$304+multiple_regression!$O$23*dummy_variables!$D$304+multiple_regression!$O$24*dummy_variables!$E$304+multiple_regression!$O$25*dummy_variables!$F$304+multiple_regression!$O$26*dummy_variables!$G$304+multiple_regression!$O$27*dummy_variables!$H$304+multiple_regression!$O$28*dummy_variables!$I$304</f>
        <v>478412.479877103</v>
      </c>
      <c r="G304" s="27" t="n">
        <f aca="false">E304-F304</f>
        <v>-76829.8998771026</v>
      </c>
    </row>
    <row r="305" customFormat="false" ht="15" hidden="false" customHeight="true" outlineLevel="0" collapsed="false">
      <c r="A305" s="5" t="str">
        <f aca="false">cleaned_data!$A$305</f>
        <v>STR-1076</v>
      </c>
      <c r="B305" s="26" t="str">
        <f aca="false">cleaned_data!$B$305</f>
        <v>2025-01-01</v>
      </c>
      <c r="C305" s="5" t="str">
        <f aca="false">cleaned_data!$C$305</f>
        <v>North</v>
      </c>
      <c r="D305" s="5" t="str">
        <f aca="false">cleaned_data!$D$305</f>
        <v>Mall</v>
      </c>
      <c r="E305" s="27" t="n">
        <f aca="false">cleaned_data!$M$305</f>
        <v>703812.99</v>
      </c>
      <c r="F305" s="27" t="n">
        <f aca="false">multiple_regression!$O$18+multiple_regression!$O$19*cleaned_data!$F$305+multiple_regression!$O$20*cleaned_data!$E$305+multiple_regression!$O$21*cleaned_data!$I$305+multiple_regression!$O$22*cleaned_data!$H$305+multiple_regression!$O$23*dummy_variables!$D$305+multiple_regression!$O$24*dummy_variables!$E$305+multiple_regression!$O$25*dummy_variables!$F$305+multiple_regression!$O$26*dummy_variables!$G$305+multiple_regression!$O$27*dummy_variables!$H$305+multiple_regression!$O$28*dummy_variables!$I$305</f>
        <v>735518.006063038</v>
      </c>
      <c r="G305" s="27" t="n">
        <f aca="false">E305-F305</f>
        <v>-31705.0160630377</v>
      </c>
    </row>
    <row r="306" customFormat="false" ht="15" hidden="false" customHeight="true" outlineLevel="0" collapsed="false">
      <c r="A306" s="5" t="str">
        <f aca="false">cleaned_data!$A$306</f>
        <v>STR-1076</v>
      </c>
      <c r="B306" s="26" t="str">
        <f aca="false">cleaned_data!$B$306</f>
        <v>2025-02-01</v>
      </c>
      <c r="C306" s="5" t="str">
        <f aca="false">cleaned_data!$C$306</f>
        <v>North</v>
      </c>
      <c r="D306" s="5" t="str">
        <f aca="false">cleaned_data!$D$306</f>
        <v>Mall</v>
      </c>
      <c r="E306" s="27" t="n">
        <f aca="false">cleaned_data!$M$306</f>
        <v>724346.73</v>
      </c>
      <c r="F306" s="27" t="n">
        <f aca="false">multiple_regression!$O$18+multiple_regression!$O$19*cleaned_data!$F$306+multiple_regression!$O$20*cleaned_data!$E$306+multiple_regression!$O$21*cleaned_data!$I$306+multiple_regression!$O$22*cleaned_data!$H$306+multiple_regression!$O$23*dummy_variables!$D$306+multiple_regression!$O$24*dummy_variables!$E$306+multiple_regression!$O$25*dummy_variables!$F$306+multiple_regression!$O$26*dummy_variables!$G$306+multiple_regression!$O$27*dummy_variables!$H$306+multiple_regression!$O$28*dummy_variables!$I$306</f>
        <v>735030.134087958</v>
      </c>
      <c r="G306" s="27" t="n">
        <f aca="false">E306-F306</f>
        <v>-10683.4040879578</v>
      </c>
    </row>
    <row r="307" customFormat="false" ht="15" hidden="false" customHeight="true" outlineLevel="0" collapsed="false">
      <c r="A307" s="5" t="str">
        <f aca="false">cleaned_data!$A$307</f>
        <v>STR-1076</v>
      </c>
      <c r="B307" s="26" t="str">
        <f aca="false">cleaned_data!$B$307</f>
        <v>2025-03-01</v>
      </c>
      <c r="C307" s="5" t="str">
        <f aca="false">cleaned_data!$C$307</f>
        <v>North</v>
      </c>
      <c r="D307" s="5" t="str">
        <f aca="false">cleaned_data!$D$307</f>
        <v>Mall</v>
      </c>
      <c r="E307" s="27" t="n">
        <f aca="false">cleaned_data!$M$307</f>
        <v>730890.01</v>
      </c>
      <c r="F307" s="27" t="n">
        <f aca="false">multiple_regression!$O$18+multiple_regression!$O$19*cleaned_data!$F$307+multiple_regression!$O$20*cleaned_data!$E$307+multiple_regression!$O$21*cleaned_data!$I$307+multiple_regression!$O$22*cleaned_data!$H$307+multiple_regression!$O$23*dummy_variables!$D$307+multiple_regression!$O$24*dummy_variables!$E$307+multiple_regression!$O$25*dummy_variables!$F$307+multiple_regression!$O$26*dummy_variables!$G$307+multiple_regression!$O$27*dummy_variables!$H$307+multiple_regression!$O$28*dummy_variables!$I$307</f>
        <v>739218.363296424</v>
      </c>
      <c r="G307" s="27" t="n">
        <f aca="false">E307-F307</f>
        <v>-8328.35329642415</v>
      </c>
    </row>
    <row r="308" customFormat="false" ht="15" hidden="false" customHeight="true" outlineLevel="0" collapsed="false">
      <c r="A308" s="5" t="str">
        <f aca="false">cleaned_data!$A$308</f>
        <v>STR-1076</v>
      </c>
      <c r="B308" s="26" t="str">
        <f aca="false">cleaned_data!$B$308</f>
        <v>2025-04-01</v>
      </c>
      <c r="C308" s="5" t="str">
        <f aca="false">cleaned_data!$C$308</f>
        <v>North</v>
      </c>
      <c r="D308" s="5" t="str">
        <f aca="false">cleaned_data!$D$308</f>
        <v>Mall</v>
      </c>
      <c r="E308" s="27" t="n">
        <f aca="false">cleaned_data!$M$308</f>
        <v>780580.95</v>
      </c>
      <c r="F308" s="27" t="n">
        <f aca="false">multiple_regression!$O$18+multiple_regression!$O$19*cleaned_data!$F$308+multiple_regression!$O$20*cleaned_data!$E$308+multiple_regression!$O$21*cleaned_data!$I$308+multiple_regression!$O$22*cleaned_data!$H$308+multiple_regression!$O$23*dummy_variables!$D$308+multiple_regression!$O$24*dummy_variables!$E$308+multiple_regression!$O$25*dummy_variables!$F$308+multiple_regression!$O$26*dummy_variables!$G$308+multiple_regression!$O$27*dummy_variables!$H$308+multiple_regression!$O$28*dummy_variables!$I$308</f>
        <v>726630.515899894</v>
      </c>
      <c r="G308" s="27" t="n">
        <f aca="false">E308-F308</f>
        <v>53950.4341001057</v>
      </c>
    </row>
    <row r="309" customFormat="false" ht="15" hidden="false" customHeight="true" outlineLevel="0" collapsed="false">
      <c r="A309" s="5" t="str">
        <f aca="false">cleaned_data!$A$309</f>
        <v>STR-1077</v>
      </c>
      <c r="B309" s="26" t="str">
        <f aca="false">cleaned_data!$B$309</f>
        <v>2025-01-01</v>
      </c>
      <c r="C309" s="5" t="str">
        <f aca="false">cleaned_data!$C$309</f>
        <v>South</v>
      </c>
      <c r="D309" s="5" t="str">
        <f aca="false">cleaned_data!$D$309</f>
        <v>Residential</v>
      </c>
      <c r="E309" s="27" t="n">
        <f aca="false">cleaned_data!$M$309</f>
        <v>727957.48</v>
      </c>
      <c r="F309" s="27" t="n">
        <f aca="false">multiple_regression!$O$18+multiple_regression!$O$19*cleaned_data!$F$309+multiple_regression!$O$20*cleaned_data!$E$309+multiple_regression!$O$21*cleaned_data!$I$309+multiple_regression!$O$22*cleaned_data!$H$309+multiple_regression!$O$23*dummy_variables!$D$309+multiple_regression!$O$24*dummy_variables!$E$309+multiple_regression!$O$25*dummy_variables!$F$309+multiple_regression!$O$26*dummy_variables!$G$309+multiple_regression!$O$27*dummy_variables!$H$309+multiple_regression!$O$28*dummy_variables!$I$309</f>
        <v>683075.685507589</v>
      </c>
      <c r="G309" s="27" t="n">
        <f aca="false">E309-F309</f>
        <v>44881.7944924108</v>
      </c>
    </row>
    <row r="310" customFormat="false" ht="15" hidden="false" customHeight="true" outlineLevel="0" collapsed="false">
      <c r="A310" s="5" t="str">
        <f aca="false">cleaned_data!$A$310</f>
        <v>STR-1077</v>
      </c>
      <c r="B310" s="26" t="str">
        <f aca="false">cleaned_data!$B$310</f>
        <v>2025-02-01</v>
      </c>
      <c r="C310" s="5" t="str">
        <f aca="false">cleaned_data!$C$310</f>
        <v>South</v>
      </c>
      <c r="D310" s="5" t="str">
        <f aca="false">cleaned_data!$D$310</f>
        <v>Residential</v>
      </c>
      <c r="E310" s="27" t="n">
        <f aca="false">cleaned_data!$M$310</f>
        <v>538376</v>
      </c>
      <c r="F310" s="27" t="n">
        <f aca="false">multiple_regression!$O$18+multiple_regression!$O$19*cleaned_data!$F$310+multiple_regression!$O$20*cleaned_data!$E$310+multiple_regression!$O$21*cleaned_data!$I$310+multiple_regression!$O$22*cleaned_data!$H$310+multiple_regression!$O$23*dummy_variables!$D$310+multiple_regression!$O$24*dummy_variables!$E$310+multiple_regression!$O$25*dummy_variables!$F$310+multiple_regression!$O$26*dummy_variables!$G$310+multiple_regression!$O$27*dummy_variables!$H$310+multiple_regression!$O$28*dummy_variables!$I$310</f>
        <v>634456.174514726</v>
      </c>
      <c r="G310" s="27" t="n">
        <f aca="false">E310-F310</f>
        <v>-96080.1745147263</v>
      </c>
    </row>
    <row r="311" customFormat="false" ht="15" hidden="false" customHeight="true" outlineLevel="0" collapsed="false">
      <c r="A311" s="5" t="str">
        <f aca="false">cleaned_data!$A$311</f>
        <v>STR-1077</v>
      </c>
      <c r="B311" s="26" t="str">
        <f aca="false">cleaned_data!$B$311</f>
        <v>2025-03-01</v>
      </c>
      <c r="C311" s="5" t="str">
        <f aca="false">cleaned_data!$C$311</f>
        <v>South</v>
      </c>
      <c r="D311" s="5" t="str">
        <f aca="false">cleaned_data!$D$311</f>
        <v>Residential</v>
      </c>
      <c r="E311" s="27" t="n">
        <f aca="false">cleaned_data!$M$311</f>
        <v>665342.49</v>
      </c>
      <c r="F311" s="27" t="n">
        <f aca="false">multiple_regression!$O$18+multiple_regression!$O$19*cleaned_data!$F$311+multiple_regression!$O$20*cleaned_data!$E$311+multiple_regression!$O$21*cleaned_data!$I$311+multiple_regression!$O$22*cleaned_data!$H$311+multiple_regression!$O$23*dummy_variables!$D$311+multiple_regression!$O$24*dummy_variables!$E$311+multiple_regression!$O$25*dummy_variables!$F$311+multiple_regression!$O$26*dummy_variables!$G$311+multiple_regression!$O$27*dummy_variables!$H$311+multiple_regression!$O$28*dummy_variables!$I$311</f>
        <v>612315.900132623</v>
      </c>
      <c r="G311" s="27" t="n">
        <f aca="false">E311-F311</f>
        <v>53026.5898673774</v>
      </c>
    </row>
    <row r="312" customFormat="false" ht="15" hidden="false" customHeight="true" outlineLevel="0" collapsed="false">
      <c r="A312" s="5" t="str">
        <f aca="false">cleaned_data!$A$312</f>
        <v>STR-1077</v>
      </c>
      <c r="B312" s="26" t="str">
        <f aca="false">cleaned_data!$B$312</f>
        <v>2025-04-01</v>
      </c>
      <c r="C312" s="5" t="str">
        <f aca="false">cleaned_data!$C$312</f>
        <v>South</v>
      </c>
      <c r="D312" s="5" t="str">
        <f aca="false">cleaned_data!$D$312</f>
        <v>Residential</v>
      </c>
      <c r="E312" s="27" t="n">
        <f aca="false">cleaned_data!$M$312</f>
        <v>651164.18</v>
      </c>
      <c r="F312" s="27" t="n">
        <f aca="false">multiple_regression!$O$18+multiple_regression!$O$19*cleaned_data!$F$312+multiple_regression!$O$20*cleaned_data!$E$312+multiple_regression!$O$21*cleaned_data!$I$312+multiple_regression!$O$22*cleaned_data!$H$312+multiple_regression!$O$23*dummy_variables!$D$312+multiple_regression!$O$24*dummy_variables!$E$312+multiple_regression!$O$25*dummy_variables!$F$312+multiple_regression!$O$26*dummy_variables!$G$312+multiple_regression!$O$27*dummy_variables!$H$312+multiple_regression!$O$28*dummy_variables!$I$312</f>
        <v>705011.651654251</v>
      </c>
      <c r="G312" s="27" t="n">
        <f aca="false">E312-F312</f>
        <v>-53847.4716542505</v>
      </c>
    </row>
    <row r="313" customFormat="false" ht="15" hidden="false" customHeight="true" outlineLevel="0" collapsed="false">
      <c r="A313" s="5" t="str">
        <f aca="false">cleaned_data!$A$313</f>
        <v>STR-1078</v>
      </c>
      <c r="B313" s="26" t="str">
        <f aca="false">cleaned_data!$B$313</f>
        <v>2025-01-01</v>
      </c>
      <c r="C313" s="5" t="str">
        <f aca="false">cleaned_data!$C$313</f>
        <v>South</v>
      </c>
      <c r="D313" s="5" t="str">
        <f aca="false">cleaned_data!$D$313</f>
        <v>High Street</v>
      </c>
      <c r="E313" s="27" t="n">
        <f aca="false">cleaned_data!$M$313</f>
        <v>628538.3</v>
      </c>
      <c r="F313" s="27" t="n">
        <f aca="false">multiple_regression!$O$18+multiple_regression!$O$19*cleaned_data!$F$313+multiple_regression!$O$20*cleaned_data!$E$313+multiple_regression!$O$21*cleaned_data!$I$313+multiple_regression!$O$22*cleaned_data!$H$313+multiple_regression!$O$23*dummy_variables!$D$313+multiple_regression!$O$24*dummy_variables!$E$313+multiple_regression!$O$25*dummy_variables!$F$313+multiple_regression!$O$26*dummy_variables!$G$313+multiple_regression!$O$27*dummy_variables!$H$313+multiple_regression!$O$28*dummy_variables!$I$313</f>
        <v>646713.785352172</v>
      </c>
      <c r="G313" s="27" t="n">
        <f aca="false">E313-F313</f>
        <v>-18175.4853521719</v>
      </c>
    </row>
    <row r="314" customFormat="false" ht="15" hidden="false" customHeight="true" outlineLevel="0" collapsed="false">
      <c r="A314" s="5" t="str">
        <f aca="false">cleaned_data!$A$314</f>
        <v>STR-1078</v>
      </c>
      <c r="B314" s="26" t="str">
        <f aca="false">cleaned_data!$B$314</f>
        <v>2025-02-01</v>
      </c>
      <c r="C314" s="5" t="str">
        <f aca="false">cleaned_data!$C$314</f>
        <v>South</v>
      </c>
      <c r="D314" s="5" t="str">
        <f aca="false">cleaned_data!$D$314</f>
        <v>High Street</v>
      </c>
      <c r="E314" s="27" t="n">
        <f aca="false">cleaned_data!$M$314</f>
        <v>536524.84</v>
      </c>
      <c r="F314" s="27" t="n">
        <f aca="false">multiple_regression!$O$18+multiple_regression!$O$19*cleaned_data!$F$314+multiple_regression!$O$20*cleaned_data!$E$314+multiple_regression!$O$21*cleaned_data!$I$314+multiple_regression!$O$22*cleaned_data!$H$314+multiple_regression!$O$23*dummy_variables!$D$314+multiple_regression!$O$24*dummy_variables!$E$314+multiple_regression!$O$25*dummy_variables!$F$314+multiple_regression!$O$26*dummy_variables!$G$314+multiple_regression!$O$27*dummy_variables!$H$314+multiple_regression!$O$28*dummy_variables!$I$314</f>
        <v>583350.696189667</v>
      </c>
      <c r="G314" s="27" t="n">
        <f aca="false">E314-F314</f>
        <v>-46825.8561896669</v>
      </c>
    </row>
    <row r="315" customFormat="false" ht="15" hidden="false" customHeight="true" outlineLevel="0" collapsed="false">
      <c r="A315" s="5" t="str">
        <f aca="false">cleaned_data!$A$315</f>
        <v>STR-1078</v>
      </c>
      <c r="B315" s="26" t="str">
        <f aca="false">cleaned_data!$B$315</f>
        <v>2025-03-01</v>
      </c>
      <c r="C315" s="5" t="str">
        <f aca="false">cleaned_data!$C$315</f>
        <v>South</v>
      </c>
      <c r="D315" s="5" t="str">
        <f aca="false">cleaned_data!$D$315</f>
        <v>High Street</v>
      </c>
      <c r="E315" s="27" t="n">
        <f aca="false">cleaned_data!$M$315</f>
        <v>621677.3</v>
      </c>
      <c r="F315" s="27" t="n">
        <f aca="false">multiple_regression!$O$18+multiple_regression!$O$19*cleaned_data!$F$315+multiple_regression!$O$20*cleaned_data!$E$315+multiple_regression!$O$21*cleaned_data!$I$315+multiple_regression!$O$22*cleaned_data!$H$315+multiple_regression!$O$23*dummy_variables!$D$315+multiple_regression!$O$24*dummy_variables!$E$315+multiple_regression!$O$25*dummy_variables!$F$315+multiple_regression!$O$26*dummy_variables!$G$315+multiple_regression!$O$27*dummy_variables!$H$315+multiple_regression!$O$28*dummy_variables!$I$315</f>
        <v>638812.628513073</v>
      </c>
      <c r="G315" s="27" t="n">
        <f aca="false">E315-F315</f>
        <v>-17135.3285130727</v>
      </c>
    </row>
    <row r="316" customFormat="false" ht="15" hidden="false" customHeight="true" outlineLevel="0" collapsed="false">
      <c r="A316" s="5" t="str">
        <f aca="false">cleaned_data!$A$316</f>
        <v>STR-1078</v>
      </c>
      <c r="B316" s="26" t="str">
        <f aca="false">cleaned_data!$B$316</f>
        <v>2025-04-01</v>
      </c>
      <c r="C316" s="5" t="str">
        <f aca="false">cleaned_data!$C$316</f>
        <v>South</v>
      </c>
      <c r="D316" s="5" t="str">
        <f aca="false">cleaned_data!$D$316</f>
        <v>High Street</v>
      </c>
      <c r="E316" s="27" t="n">
        <f aca="false">cleaned_data!$M$316</f>
        <v>771129.07</v>
      </c>
      <c r="F316" s="27" t="n">
        <f aca="false">multiple_regression!$O$18+multiple_regression!$O$19*cleaned_data!$F$316+multiple_regression!$O$20*cleaned_data!$E$316+multiple_regression!$O$21*cleaned_data!$I$316+multiple_regression!$O$22*cleaned_data!$H$316+multiple_regression!$O$23*dummy_variables!$D$316+multiple_regression!$O$24*dummy_variables!$E$316+multiple_regression!$O$25*dummy_variables!$F$316+multiple_regression!$O$26*dummy_variables!$G$316+multiple_regression!$O$27*dummy_variables!$H$316+multiple_regression!$O$28*dummy_variables!$I$316</f>
        <v>764420.568708774</v>
      </c>
      <c r="G316" s="27" t="n">
        <f aca="false">E316-F316</f>
        <v>6708.50129122601</v>
      </c>
    </row>
    <row r="317" customFormat="false" ht="15" hidden="false" customHeight="true" outlineLevel="0" collapsed="false">
      <c r="A317" s="5" t="str">
        <f aca="false">cleaned_data!$A$317</f>
        <v>STR-1079</v>
      </c>
      <c r="B317" s="26" t="str">
        <f aca="false">cleaned_data!$B$317</f>
        <v>2025-01-01</v>
      </c>
      <c r="C317" s="5" t="str">
        <f aca="false">cleaned_data!$C$317</f>
        <v>North</v>
      </c>
      <c r="D317" s="5" t="str">
        <f aca="false">cleaned_data!$D$317</f>
        <v>Residential</v>
      </c>
      <c r="E317" s="27" t="n">
        <f aca="false">cleaned_data!$M$317</f>
        <v>702052.47</v>
      </c>
      <c r="F317" s="27" t="n">
        <f aca="false">multiple_regression!$O$18+multiple_regression!$O$19*cleaned_data!$F$317+multiple_regression!$O$20*cleaned_data!$E$317+multiple_regression!$O$21*cleaned_data!$I$317+multiple_regression!$O$22*cleaned_data!$H$317+multiple_regression!$O$23*dummy_variables!$D$317+multiple_regression!$O$24*dummy_variables!$E$317+multiple_regression!$O$25*dummy_variables!$F$317+multiple_regression!$O$26*dummy_variables!$G$317+multiple_regression!$O$27*dummy_variables!$H$317+multiple_regression!$O$28*dummy_variables!$I$317</f>
        <v>665849.988805777</v>
      </c>
      <c r="G317" s="27" t="n">
        <f aca="false">E317-F317</f>
        <v>36202.4811942226</v>
      </c>
    </row>
    <row r="318" customFormat="false" ht="15" hidden="false" customHeight="true" outlineLevel="0" collapsed="false">
      <c r="A318" s="5" t="str">
        <f aca="false">cleaned_data!$A$318</f>
        <v>STR-1079</v>
      </c>
      <c r="B318" s="26" t="str">
        <f aca="false">cleaned_data!$B$318</f>
        <v>2025-02-01</v>
      </c>
      <c r="C318" s="5" t="str">
        <f aca="false">cleaned_data!$C$318</f>
        <v>North</v>
      </c>
      <c r="D318" s="5" t="str">
        <f aca="false">cleaned_data!$D$318</f>
        <v>Residential</v>
      </c>
      <c r="E318" s="27" t="n">
        <f aca="false">cleaned_data!$M$318</f>
        <v>688368.46</v>
      </c>
      <c r="F318" s="27" t="n">
        <f aca="false">multiple_regression!$O$18+multiple_regression!$O$19*cleaned_data!$F$318+multiple_regression!$O$20*cleaned_data!$E$318+multiple_regression!$O$21*cleaned_data!$I$318+multiple_regression!$O$22*cleaned_data!$H$318+multiple_regression!$O$23*dummy_variables!$D$318+multiple_regression!$O$24*dummy_variables!$E$318+multiple_regression!$O$25*dummy_variables!$F$318+multiple_regression!$O$26*dummy_variables!$G$318+multiple_regression!$O$27*dummy_variables!$H$318+multiple_regression!$O$28*dummy_variables!$I$318</f>
        <v>713723.751197563</v>
      </c>
      <c r="G318" s="27" t="n">
        <f aca="false">E318-F318</f>
        <v>-25355.2911975632</v>
      </c>
    </row>
    <row r="319" customFormat="false" ht="15" hidden="false" customHeight="true" outlineLevel="0" collapsed="false">
      <c r="A319" s="5" t="str">
        <f aca="false">cleaned_data!$A$319</f>
        <v>STR-1079</v>
      </c>
      <c r="B319" s="26" t="str">
        <f aca="false">cleaned_data!$B$319</f>
        <v>2025-03-01</v>
      </c>
      <c r="C319" s="5" t="str">
        <f aca="false">cleaned_data!$C$319</f>
        <v>North</v>
      </c>
      <c r="D319" s="5" t="str">
        <f aca="false">cleaned_data!$D$319</f>
        <v>Residential</v>
      </c>
      <c r="E319" s="27" t="n">
        <f aca="false">cleaned_data!$M$319</f>
        <v>712375.77</v>
      </c>
      <c r="F319" s="27" t="n">
        <f aca="false">multiple_regression!$O$18+multiple_regression!$O$19*cleaned_data!$F$319+multiple_regression!$O$20*cleaned_data!$E$319+multiple_regression!$O$21*cleaned_data!$I$319+multiple_regression!$O$22*cleaned_data!$H$319+multiple_regression!$O$23*dummy_variables!$D$319+multiple_regression!$O$24*dummy_variables!$E$319+multiple_regression!$O$25*dummy_variables!$F$319+multiple_regression!$O$26*dummy_variables!$G$319+multiple_regression!$O$27*dummy_variables!$H$319+multiple_regression!$O$28*dummy_variables!$I$319</f>
        <v>674365.131582483</v>
      </c>
      <c r="G319" s="27" t="n">
        <f aca="false">E319-F319</f>
        <v>38010.6384175175</v>
      </c>
    </row>
    <row r="320" customFormat="false" ht="15" hidden="false" customHeight="true" outlineLevel="0" collapsed="false">
      <c r="A320" s="5" t="str">
        <f aca="false">cleaned_data!$A$320</f>
        <v>STR-1079</v>
      </c>
      <c r="B320" s="26" t="str">
        <f aca="false">cleaned_data!$B$320</f>
        <v>2025-04-01</v>
      </c>
      <c r="C320" s="5" t="str">
        <f aca="false">cleaned_data!$C$320</f>
        <v>North</v>
      </c>
      <c r="D320" s="5" t="str">
        <f aca="false">cleaned_data!$D$320</f>
        <v>Residential</v>
      </c>
      <c r="E320" s="27" t="n">
        <f aca="false">cleaned_data!$M$320</f>
        <v>844710.67</v>
      </c>
      <c r="F320" s="27" t="n">
        <f aca="false">multiple_regression!$O$18+multiple_regression!$O$19*cleaned_data!$F$320+multiple_regression!$O$20*cleaned_data!$E$320+multiple_regression!$O$21*cleaned_data!$I$320+multiple_regression!$O$22*cleaned_data!$H$320+multiple_regression!$O$23*dummy_variables!$D$320+multiple_regression!$O$24*dummy_variables!$E$320+multiple_regression!$O$25*dummy_variables!$F$320+multiple_regression!$O$26*dummy_variables!$G$320+multiple_regression!$O$27*dummy_variables!$H$320+multiple_regression!$O$28*dummy_variables!$I$320</f>
        <v>799596.169190273</v>
      </c>
      <c r="G320" s="27" t="n">
        <f aca="false">E320-F320</f>
        <v>45114.5008097267</v>
      </c>
    </row>
    <row r="321" customFormat="false" ht="15" hidden="false" customHeight="true" outlineLevel="0" collapsed="false">
      <c r="A321" s="5" t="str">
        <f aca="false">cleaned_data!$A$321</f>
        <v>STR-1080</v>
      </c>
      <c r="B321" s="26" t="str">
        <f aca="false">cleaned_data!$B$321</f>
        <v>2025-01-01</v>
      </c>
      <c r="C321" s="5" t="str">
        <f aca="false">cleaned_data!$C$321</f>
        <v>East</v>
      </c>
      <c r="D321" s="5" t="str">
        <f aca="false">cleaned_data!$D$321</f>
        <v>Residential</v>
      </c>
      <c r="E321" s="27" t="n">
        <f aca="false">cleaned_data!$M$321</f>
        <v>620264.2</v>
      </c>
      <c r="F321" s="27" t="n">
        <f aca="false">multiple_regression!$O$18+multiple_regression!$O$19*cleaned_data!$F$321+multiple_regression!$O$20*cleaned_data!$E$321+multiple_regression!$O$21*cleaned_data!$I$321+multiple_regression!$O$22*cleaned_data!$H$321+multiple_regression!$O$23*dummy_variables!$D$321+multiple_regression!$O$24*dummy_variables!$E$321+multiple_regression!$O$25*dummy_variables!$F$321+multiple_regression!$O$26*dummy_variables!$G$321+multiple_regression!$O$27*dummy_variables!$H$321+multiple_regression!$O$28*dummy_variables!$I$321</f>
        <v>659785.884582217</v>
      </c>
      <c r="G321" s="27" t="n">
        <f aca="false">E321-F321</f>
        <v>-39521.6845822171</v>
      </c>
    </row>
    <row r="322" customFormat="false" ht="15" hidden="false" customHeight="true" outlineLevel="0" collapsed="false">
      <c r="A322" s="5" t="str">
        <f aca="false">cleaned_data!$A$322</f>
        <v>STR-1080</v>
      </c>
      <c r="B322" s="26" t="str">
        <f aca="false">cleaned_data!$B$322</f>
        <v>2025-02-01</v>
      </c>
      <c r="C322" s="5" t="str">
        <f aca="false">cleaned_data!$C$322</f>
        <v>East</v>
      </c>
      <c r="D322" s="5" t="str">
        <f aca="false">cleaned_data!$D$322</f>
        <v>Residential</v>
      </c>
      <c r="E322" s="27" t="n">
        <f aca="false">cleaned_data!$M$322</f>
        <v>536845.42</v>
      </c>
      <c r="F322" s="27" t="n">
        <f aca="false">multiple_regression!$O$18+multiple_regression!$O$19*cleaned_data!$F$322+multiple_regression!$O$20*cleaned_data!$E$322+multiple_regression!$O$21*cleaned_data!$I$322+multiple_regression!$O$22*cleaned_data!$H$322+multiple_regression!$O$23*dummy_variables!$D$322+multiple_regression!$O$24*dummy_variables!$E$322+multiple_regression!$O$25*dummy_variables!$F$322+multiple_regression!$O$26*dummy_variables!$G$322+multiple_regression!$O$27*dummy_variables!$H$322+multiple_regression!$O$28*dummy_variables!$I$322</f>
        <v>509616.121486772</v>
      </c>
      <c r="G322" s="27" t="n">
        <f aca="false">E322-F322</f>
        <v>27229.2985132284</v>
      </c>
    </row>
    <row r="323" customFormat="false" ht="15" hidden="false" customHeight="true" outlineLevel="0" collapsed="false">
      <c r="A323" s="5" t="str">
        <f aca="false">cleaned_data!$A$323</f>
        <v>STR-1080</v>
      </c>
      <c r="B323" s="26" t="str">
        <f aca="false">cleaned_data!$B$323</f>
        <v>2025-03-01</v>
      </c>
      <c r="C323" s="5" t="str">
        <f aca="false">cleaned_data!$C$323</f>
        <v>East</v>
      </c>
      <c r="D323" s="5" t="str">
        <f aca="false">cleaned_data!$D$323</f>
        <v>Residential</v>
      </c>
      <c r="E323" s="27" t="n">
        <f aca="false">cleaned_data!$M$323</f>
        <v>726776.22</v>
      </c>
      <c r="F323" s="27" t="n">
        <f aca="false">multiple_regression!$O$18+multiple_regression!$O$19*cleaned_data!$F$323+multiple_regression!$O$20*cleaned_data!$E$323+multiple_regression!$O$21*cleaned_data!$I$323+multiple_regression!$O$22*cleaned_data!$H$323+multiple_regression!$O$23*dummy_variables!$D$323+multiple_regression!$O$24*dummy_variables!$E$323+multiple_regression!$O$25*dummy_variables!$F$323+multiple_regression!$O$26*dummy_variables!$G$323+multiple_regression!$O$27*dummy_variables!$H$323+multiple_regression!$O$28*dummy_variables!$I$323</f>
        <v>718398.026809076</v>
      </c>
      <c r="G323" s="27" t="n">
        <f aca="false">E323-F323</f>
        <v>8378.19319092401</v>
      </c>
    </row>
    <row r="324" customFormat="false" ht="15" hidden="false" customHeight="true" outlineLevel="0" collapsed="false">
      <c r="A324" s="5" t="str">
        <f aca="false">cleaned_data!$A$324</f>
        <v>STR-1080</v>
      </c>
      <c r="B324" s="26" t="str">
        <f aca="false">cleaned_data!$B$324</f>
        <v>2025-04-01</v>
      </c>
      <c r="C324" s="5" t="str">
        <f aca="false">cleaned_data!$C$324</f>
        <v>East</v>
      </c>
      <c r="D324" s="5" t="str">
        <f aca="false">cleaned_data!$D$324</f>
        <v>Residential</v>
      </c>
      <c r="E324" s="27" t="n">
        <f aca="false">cleaned_data!$M$324</f>
        <v>559660.84</v>
      </c>
      <c r="F324" s="27" t="n">
        <f aca="false">multiple_regression!$O$18+multiple_regression!$O$19*cleaned_data!$F$324+multiple_regression!$O$20*cleaned_data!$E$324+multiple_regression!$O$21*cleaned_data!$I$324+multiple_regression!$O$22*cleaned_data!$H$324+multiple_regression!$O$23*dummy_variables!$D$324+multiple_regression!$O$24*dummy_variables!$E$324+multiple_regression!$O$25*dummy_variables!$F$324+multiple_regression!$O$26*dummy_variables!$G$324+multiple_regression!$O$27*dummy_variables!$H$324+multiple_regression!$O$28*dummy_variables!$I$324</f>
        <v>587933.095197709</v>
      </c>
      <c r="G324" s="27" t="n">
        <f aca="false">E324-F324</f>
        <v>-28272.2551977087</v>
      </c>
    </row>
    <row r="327" customFormat="false" ht="15" hidden="false" customHeight="true" outlineLevel="0" collapsed="false">
      <c r="A327" s="28" t="s">
        <v>153</v>
      </c>
      <c r="B327" s="28"/>
      <c r="C327" s="28"/>
      <c r="D327" s="28"/>
      <c r="E327" s="28"/>
      <c r="F327" s="28"/>
      <c r="G327" s="28"/>
    </row>
    <row r="328" customFormat="false" ht="23.25" hidden="false" customHeight="true" outlineLevel="0" collapsed="false">
      <c r="A328" s="4" t="s">
        <v>2</v>
      </c>
      <c r="B328" s="4" t="s">
        <v>3</v>
      </c>
      <c r="C328" s="4" t="s">
        <v>4</v>
      </c>
      <c r="D328" s="4" t="s">
        <v>5</v>
      </c>
      <c r="E328" s="4" t="s">
        <v>150</v>
      </c>
      <c r="F328" s="4" t="s">
        <v>151</v>
      </c>
      <c r="G328" s="4" t="s">
        <v>152</v>
      </c>
    </row>
    <row r="329" customFormat="false" ht="15" hidden="false" customHeight="true" outlineLevel="0" collapsed="false">
      <c r="A329" s="18" t="str">
        <f aca="false">INDEX($A$5:$A$324,MATCH(G329,$G$5:$G$324,0))</f>
        <v>STR-1073</v>
      </c>
      <c r="B329" s="29" t="str">
        <f aca="false">INDEX($B$5:$B$324,MATCH(G329,$G$5:$G$324,0))</f>
        <v>2025-03-01</v>
      </c>
      <c r="C329" s="18" t="str">
        <f aca="false">INDEX($C$5:$C$324,MATCH(G329,$G$5:$G$324,0))</f>
        <v>East</v>
      </c>
      <c r="D329" s="18" t="str">
        <f aca="false">INDEX($D$5:$D$324,MATCH(G329,$G$5:$G$324,0))</f>
        <v>Residential</v>
      </c>
      <c r="E329" s="30" t="n">
        <f aca="false">INDEX($E$5:$E$324,MATCH(G329,$G$5:$G$324,0))</f>
        <v>813316.71</v>
      </c>
      <c r="F329" s="30" t="n">
        <f aca="false">INDEX($F$5:$F$324,MATCH(G329,$G$5:$G$324,0))</f>
        <v>700782.648258939</v>
      </c>
      <c r="G329" s="30" t="n">
        <f aca="false">LARGE($G$5:$G$324,1)</f>
        <v>112534.061741062</v>
      </c>
    </row>
    <row r="330" customFormat="false" ht="15" hidden="false" customHeight="true" outlineLevel="0" collapsed="false">
      <c r="A330" s="18" t="str">
        <f aca="false">INDEX($A$5:$A$324,MATCH(G330,$G$5:$G$324,0))</f>
        <v>STR-1028</v>
      </c>
      <c r="B330" s="29" t="str">
        <f aca="false">INDEX($B$5:$B$324,MATCH(G330,$G$5:$G$324,0))</f>
        <v>2025-04-01</v>
      </c>
      <c r="C330" s="18" t="str">
        <f aca="false">INDEX($C$5:$C$324,MATCH(G330,$G$5:$G$324,0))</f>
        <v>East</v>
      </c>
      <c r="D330" s="18" t="str">
        <f aca="false">INDEX($D$5:$D$324,MATCH(G330,$G$5:$G$324,0))</f>
        <v>Mall</v>
      </c>
      <c r="E330" s="30" t="n">
        <f aca="false">INDEX($E$5:$E$324,MATCH(G330,$G$5:$G$324,0))</f>
        <v>713611.16</v>
      </c>
      <c r="F330" s="30" t="n">
        <f aca="false">INDEX($F$5:$F$324,MATCH(G330,$G$5:$G$324,0))</f>
        <v>603971.420045151</v>
      </c>
      <c r="G330" s="30" t="n">
        <f aca="false">LARGE($G$5:$G$324,2)</f>
        <v>109639.739954849</v>
      </c>
    </row>
    <row r="331" customFormat="false" ht="15" hidden="false" customHeight="true" outlineLevel="0" collapsed="false">
      <c r="A331" s="18" t="str">
        <f aca="false">INDEX($A$5:$A$324,MATCH(G331,$G$5:$G$324,0))</f>
        <v>STR-1026</v>
      </c>
      <c r="B331" s="29" t="str">
        <f aca="false">INDEX($B$5:$B$324,MATCH(G331,$G$5:$G$324,0))</f>
        <v>2025-04-01</v>
      </c>
      <c r="C331" s="18" t="str">
        <f aca="false">INDEX($C$5:$C$324,MATCH(G331,$G$5:$G$324,0))</f>
        <v>East</v>
      </c>
      <c r="D331" s="18" t="str">
        <f aca="false">INDEX($D$5:$D$324,MATCH(G331,$G$5:$G$324,0))</f>
        <v>Mall</v>
      </c>
      <c r="E331" s="30" t="n">
        <f aca="false">INDEX($E$5:$E$324,MATCH(G331,$G$5:$G$324,0))</f>
        <v>625514.04</v>
      </c>
      <c r="F331" s="30" t="n">
        <f aca="false">INDEX($F$5:$F$324,MATCH(G331,$G$5:$G$324,0))</f>
        <v>519632.050552492</v>
      </c>
      <c r="G331" s="30" t="n">
        <f aca="false">LARGE($G$5:$G$324,3)</f>
        <v>105881.989447509</v>
      </c>
    </row>
    <row r="332" customFormat="false" ht="15" hidden="false" customHeight="true" outlineLevel="0" collapsed="false">
      <c r="A332" s="18" t="str">
        <f aca="false">INDEX($A$5:$A$324,MATCH(G332,$G$5:$G$324,0))</f>
        <v>STR-1030</v>
      </c>
      <c r="B332" s="29" t="str">
        <f aca="false">INDEX($B$5:$B$324,MATCH(G332,$G$5:$G$324,0))</f>
        <v>2025-02-01</v>
      </c>
      <c r="C332" s="18" t="str">
        <f aca="false">INDEX($C$5:$C$324,MATCH(G332,$G$5:$G$324,0))</f>
        <v>West</v>
      </c>
      <c r="D332" s="18" t="str">
        <f aca="false">INDEX($D$5:$D$324,MATCH(G332,$G$5:$G$324,0))</f>
        <v>Residential</v>
      </c>
      <c r="E332" s="30" t="n">
        <f aca="false">INDEX($E$5:$E$324,MATCH(G332,$G$5:$G$324,0))</f>
        <v>820519.04</v>
      </c>
      <c r="F332" s="30" t="n">
        <f aca="false">INDEX($F$5:$F$324,MATCH(G332,$G$5:$G$324,0))</f>
        <v>721391.558132306</v>
      </c>
      <c r="G332" s="30" t="n">
        <f aca="false">LARGE($G$5:$G$324,4)</f>
        <v>99127.4818676944</v>
      </c>
    </row>
    <row r="333" customFormat="false" ht="15" hidden="false" customHeight="true" outlineLevel="0" collapsed="false">
      <c r="A333" s="18" t="str">
        <f aca="false">INDEX($A$5:$A$324,MATCH(G333,$G$5:$G$324,0))</f>
        <v>STR-1051</v>
      </c>
      <c r="B333" s="29" t="str">
        <f aca="false">INDEX($B$5:$B$324,MATCH(G333,$G$5:$G$324,0))</f>
        <v>2025-02-01</v>
      </c>
      <c r="C333" s="18" t="str">
        <f aca="false">INDEX($C$5:$C$324,MATCH(G333,$G$5:$G$324,0))</f>
        <v>East</v>
      </c>
      <c r="D333" s="18" t="str">
        <f aca="false">INDEX($D$5:$D$324,MATCH(G333,$G$5:$G$324,0))</f>
        <v>Airport</v>
      </c>
      <c r="E333" s="30" t="n">
        <f aca="false">INDEX($E$5:$E$324,MATCH(G333,$G$5:$G$324,0))</f>
        <v>787715.51</v>
      </c>
      <c r="F333" s="30" t="n">
        <f aca="false">INDEX($F$5:$F$324,MATCH(G333,$G$5:$G$324,0))</f>
        <v>690488.434885743</v>
      </c>
      <c r="G333" s="30" t="n">
        <f aca="false">LARGE($G$5:$G$324,5)</f>
        <v>97227.0751142568</v>
      </c>
    </row>
    <row r="335" customFormat="false" ht="15" hidden="false" customHeight="true" outlineLevel="0" collapsed="false">
      <c r="A335" s="28" t="s">
        <v>154</v>
      </c>
      <c r="B335" s="28"/>
      <c r="C335" s="28"/>
      <c r="D335" s="28"/>
      <c r="E335" s="28"/>
      <c r="F335" s="28"/>
      <c r="G335" s="28"/>
    </row>
    <row r="336" customFormat="false" ht="23.25" hidden="false" customHeight="true" outlineLevel="0" collapsed="false">
      <c r="A336" s="4" t="s">
        <v>2</v>
      </c>
      <c r="B336" s="4" t="s">
        <v>3</v>
      </c>
      <c r="C336" s="4" t="s">
        <v>4</v>
      </c>
      <c r="D336" s="4" t="s">
        <v>5</v>
      </c>
      <c r="E336" s="4" t="s">
        <v>150</v>
      </c>
      <c r="F336" s="4" t="s">
        <v>151</v>
      </c>
      <c r="G336" s="4" t="s">
        <v>152</v>
      </c>
    </row>
    <row r="337" customFormat="false" ht="15" hidden="false" customHeight="true" outlineLevel="0" collapsed="false">
      <c r="A337" s="31" t="str">
        <f aca="false">INDEX($A$5:$A$324,MATCH(G337,$G$5:$G$324,0))</f>
        <v>STR-1017</v>
      </c>
      <c r="B337" s="32" t="str">
        <f aca="false">INDEX($B$5:$B$324,MATCH(G337,$G$5:$G$324,0))</f>
        <v>2025-03-01</v>
      </c>
      <c r="C337" s="31" t="str">
        <f aca="false">INDEX($C$5:$C$324,MATCH(G337,$G$5:$G$324,0))</f>
        <v>West</v>
      </c>
      <c r="D337" s="31" t="str">
        <f aca="false">INDEX($D$5:$D$324,MATCH(G337,$G$5:$G$324,0))</f>
        <v>High Street</v>
      </c>
      <c r="E337" s="33" t="n">
        <f aca="false">INDEX($E$5:$E$324,MATCH(G337,$G$5:$G$324,0))</f>
        <v>685379.08</v>
      </c>
      <c r="F337" s="33" t="n">
        <f aca="false">INDEX($F$5:$F$324,MATCH(G337,$G$5:$G$324,0))</f>
        <v>846559.274647993</v>
      </c>
      <c r="G337" s="33" t="n">
        <f aca="false">SMALL($G$5:$G$324,1)</f>
        <v>-161180.194647993</v>
      </c>
    </row>
    <row r="338" customFormat="false" ht="15" hidden="false" customHeight="true" outlineLevel="0" collapsed="false">
      <c r="A338" s="31" t="str">
        <f aca="false">INDEX($A$5:$A$324,MATCH(G338,$G$5:$G$324,0))</f>
        <v>STR-1012</v>
      </c>
      <c r="B338" s="32" t="str">
        <f aca="false">INDEX($B$5:$B$324,MATCH(G338,$G$5:$G$324,0))</f>
        <v>2025-01-01</v>
      </c>
      <c r="C338" s="31" t="str">
        <f aca="false">INDEX($C$5:$C$324,MATCH(G338,$G$5:$G$324,0))</f>
        <v>West</v>
      </c>
      <c r="D338" s="31" t="str">
        <f aca="false">INDEX($D$5:$D$324,MATCH(G338,$G$5:$G$324,0))</f>
        <v>Residential</v>
      </c>
      <c r="E338" s="33" t="n">
        <f aca="false">INDEX($E$5:$E$324,MATCH(G338,$G$5:$G$324,0))</f>
        <v>595467.6</v>
      </c>
      <c r="F338" s="33" t="n">
        <f aca="false">INDEX($F$5:$F$324,MATCH(G338,$G$5:$G$324,0))</f>
        <v>728950.125560315</v>
      </c>
      <c r="G338" s="33" t="n">
        <f aca="false">SMALL($G$5:$G$324,2)</f>
        <v>-133482.525560315</v>
      </c>
    </row>
    <row r="339" customFormat="false" ht="15" hidden="false" customHeight="true" outlineLevel="0" collapsed="false">
      <c r="A339" s="31" t="str">
        <f aca="false">INDEX($A$5:$A$324,MATCH(G339,$G$5:$G$324,0))</f>
        <v>STR-1023</v>
      </c>
      <c r="B339" s="32" t="str">
        <f aca="false">INDEX($B$5:$B$324,MATCH(G339,$G$5:$G$324,0))</f>
        <v>2025-02-01</v>
      </c>
      <c r="C339" s="31" t="str">
        <f aca="false">INDEX($C$5:$C$324,MATCH(G339,$G$5:$G$324,0))</f>
        <v>South</v>
      </c>
      <c r="D339" s="31" t="str">
        <f aca="false">INDEX($D$5:$D$324,MATCH(G339,$G$5:$G$324,0))</f>
        <v>Mall</v>
      </c>
      <c r="E339" s="33" t="n">
        <f aca="false">INDEX($E$5:$E$324,MATCH(G339,$G$5:$G$324,0))</f>
        <v>627171.9</v>
      </c>
      <c r="F339" s="33" t="n">
        <f aca="false">INDEX($F$5:$F$324,MATCH(G339,$G$5:$G$324,0))</f>
        <v>753497.852378947</v>
      </c>
      <c r="G339" s="33" t="n">
        <f aca="false">SMALL($G$5:$G$324,3)</f>
        <v>-126325.952378947</v>
      </c>
    </row>
    <row r="340" customFormat="false" ht="15" hidden="false" customHeight="true" outlineLevel="0" collapsed="false">
      <c r="A340" s="31" t="str">
        <f aca="false">INDEX($A$5:$A$324,MATCH(G340,$G$5:$G$324,0))</f>
        <v>STR-1007</v>
      </c>
      <c r="B340" s="32" t="str">
        <f aca="false">INDEX($B$5:$B$324,MATCH(G340,$G$5:$G$324,0))</f>
        <v>2025-02-01</v>
      </c>
      <c r="C340" s="31" t="str">
        <f aca="false">INDEX($C$5:$C$324,MATCH(G340,$G$5:$G$324,0))</f>
        <v>West</v>
      </c>
      <c r="D340" s="31" t="str">
        <f aca="false">INDEX($D$5:$D$324,MATCH(G340,$G$5:$G$324,0))</f>
        <v>Mall</v>
      </c>
      <c r="E340" s="33" t="n">
        <f aca="false">INDEX($E$5:$E$324,MATCH(G340,$G$5:$G$324,0))</f>
        <v>800451.94</v>
      </c>
      <c r="F340" s="33" t="n">
        <f aca="false">INDEX($F$5:$F$324,MATCH(G340,$G$5:$G$324,0))</f>
        <v>914908.111876831</v>
      </c>
      <c r="G340" s="33" t="n">
        <f aca="false">SMALL($G$5:$G$324,4)</f>
        <v>-114456.171876831</v>
      </c>
    </row>
    <row r="341" customFormat="false" ht="15" hidden="false" customHeight="true" outlineLevel="0" collapsed="false">
      <c r="A341" s="31" t="str">
        <f aca="false">INDEX($A$5:$A$324,MATCH(G341,$G$5:$G$324,0))</f>
        <v>STR-1009</v>
      </c>
      <c r="B341" s="32" t="str">
        <f aca="false">INDEX($B$5:$B$324,MATCH(G341,$G$5:$G$324,0))</f>
        <v>2025-01-01</v>
      </c>
      <c r="C341" s="31" t="str">
        <f aca="false">INDEX($C$5:$C$324,MATCH(G341,$G$5:$G$324,0))</f>
        <v>North</v>
      </c>
      <c r="D341" s="31" t="str">
        <f aca="false">INDEX($D$5:$D$324,MATCH(G341,$G$5:$G$324,0))</f>
        <v>Residential</v>
      </c>
      <c r="E341" s="33" t="n">
        <f aca="false">INDEX($E$5:$E$324,MATCH(G341,$G$5:$G$324,0))</f>
        <v>641865.03</v>
      </c>
      <c r="F341" s="33" t="n">
        <f aca="false">INDEX($F$5:$F$324,MATCH(G341,$G$5:$G$324,0))</f>
        <v>738721.32378904</v>
      </c>
      <c r="G341" s="33" t="n">
        <f aca="false">SMALL($G$5:$G$324,5)</f>
        <v>-96856.2937890403</v>
      </c>
    </row>
  </sheetData>
  <mergeCells count="3">
    <mergeCell ref="A2:F2"/>
    <mergeCell ref="A327:G327"/>
    <mergeCell ref="A335:G3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45"/>
    <col collapsed="false" customWidth="true" hidden="false" outlineLevel="0" max="3" min="3" style="1" width="11"/>
    <col collapsed="false" customWidth="true" hidden="false" outlineLevel="0" max="5" min="4" style="1" width="12"/>
    <col collapsed="false" customWidth="true" hidden="false" outlineLevel="0" max="6" min="6" style="1" width="38"/>
  </cols>
  <sheetData>
    <row r="1" customFormat="false" ht="15.75" hidden="false" customHeight="true" outlineLevel="0" collapsed="false">
      <c r="A1" s="2" t="s">
        <v>155</v>
      </c>
    </row>
    <row r="2" customFormat="false" ht="15" hidden="false" customHeight="true" outlineLevel="0" collapsed="false">
      <c r="A2" s="7" t="s">
        <v>156</v>
      </c>
      <c r="B2" s="7"/>
      <c r="C2" s="7"/>
      <c r="D2" s="7"/>
      <c r="E2" s="7"/>
      <c r="F2" s="7"/>
    </row>
    <row r="4" customFormat="false" ht="15" hidden="false" customHeight="true" outlineLevel="0" collapsed="false">
      <c r="A4" s="4" t="s">
        <v>157</v>
      </c>
      <c r="B4" s="4" t="s">
        <v>158</v>
      </c>
      <c r="C4" s="4" t="s">
        <v>124</v>
      </c>
      <c r="D4" s="4" t="s">
        <v>159</v>
      </c>
      <c r="E4" s="4" t="s">
        <v>160</v>
      </c>
      <c r="F4" s="4" t="s">
        <v>161</v>
      </c>
    </row>
    <row r="5" customFormat="false" ht="21.75" hidden="false" customHeight="true" outlineLevel="0" collapsed="false">
      <c r="A5" s="34" t="s">
        <v>162</v>
      </c>
      <c r="B5" s="34" t="s">
        <v>163</v>
      </c>
      <c r="C5" s="35" t="n">
        <f aca="false">simple_regression!$B$8</f>
        <v>0.736285340003311</v>
      </c>
      <c r="D5" s="36" t="n">
        <f aca="false">simple_regression!$B$12</f>
        <v>4.75036150900558E-094</v>
      </c>
      <c r="E5" s="34" t="str">
        <f aca="false">IF(simple_regression!$B$12&lt;0.05,"Yes","No")</f>
        <v>Yes</v>
      </c>
      <c r="F5" s="34" t="s">
        <v>164</v>
      </c>
    </row>
    <row r="6" customFormat="false" ht="15" hidden="false" customHeight="true" outlineLevel="0" collapsed="false">
      <c r="A6" s="34" t="s">
        <v>165</v>
      </c>
      <c r="B6" s="34" t="s">
        <v>166</v>
      </c>
      <c r="C6" s="35" t="n">
        <f aca="false">simple_regression!$B$19</f>
        <v>0.16724469112487</v>
      </c>
      <c r="D6" s="36" t="n">
        <f aca="false">simple_regression!$B$23</f>
        <v>2.480061510136E-014</v>
      </c>
      <c r="E6" s="34" t="str">
        <f aca="false">IF(simple_regression!$B$23&lt;0.05,"Yes","No")</f>
        <v>Yes</v>
      </c>
      <c r="F6" s="34" t="s">
        <v>167</v>
      </c>
    </row>
    <row r="7" customFormat="false" ht="15" hidden="false" customHeight="true" outlineLevel="0" collapsed="false">
      <c r="A7" s="34" t="s">
        <v>168</v>
      </c>
      <c r="B7" s="34" t="s">
        <v>169</v>
      </c>
      <c r="C7" s="35" t="n">
        <f aca="false">simple_regression!$B$30</f>
        <v>0.652290446988239</v>
      </c>
      <c r="D7" s="36" t="n">
        <f aca="false">simple_regression!$B$34</f>
        <v>6.25010178940452E-075</v>
      </c>
      <c r="E7" s="34" t="str">
        <f aca="false">IF(simple_regression!$B$34&lt;0.05,"Yes","No")</f>
        <v>Yes</v>
      </c>
      <c r="F7" s="34" t="s">
        <v>170</v>
      </c>
    </row>
    <row r="8" customFormat="false" ht="15" hidden="false" customHeight="true" outlineLevel="0" collapsed="false">
      <c r="A8" s="34" t="s">
        <v>171</v>
      </c>
      <c r="B8" s="34" t="s">
        <v>172</v>
      </c>
      <c r="C8" s="35" t="n">
        <f aca="false">simple_regression!$B$41</f>
        <v>0.00829050302440034</v>
      </c>
      <c r="D8" s="36" t="n">
        <f aca="false">simple_regression!$B$45</f>
        <v>0.103993046419031</v>
      </c>
      <c r="E8" s="34" t="str">
        <f aca="false">IF(simple_regression!$B$45&lt;0.05,"Yes","No")</f>
        <v>No</v>
      </c>
      <c r="F8" s="34" t="s">
        <v>173</v>
      </c>
    </row>
    <row r="9" customFormat="false" ht="45" hidden="false" customHeight="true" outlineLevel="0" collapsed="false">
      <c r="A9" s="37" t="s">
        <v>174</v>
      </c>
      <c r="B9" s="37" t="s">
        <v>175</v>
      </c>
      <c r="C9" s="38" t="n">
        <f aca="false">multiple_regression!$O$30</f>
        <v>0.829555228919719</v>
      </c>
      <c r="D9" s="37" t="s">
        <v>176</v>
      </c>
      <c r="E9" s="37" t="s">
        <v>177</v>
      </c>
      <c r="F9" s="37" t="s">
        <v>178</v>
      </c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2026-06-21T18:08:24Z</dcterms:created>
  <dc:creator>openpyxl</dc:creator>
  <dc:description/>
  <dc:language>en-US</dc:language>
  <cp:lastModifiedBy/>
  <dcterms:modified xsi:type="dcterms:W3CDTF">2026-06-21T18:10:47Z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